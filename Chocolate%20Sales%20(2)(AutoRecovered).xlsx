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hidePivotFieldList="1"/>
  <mc:AlternateContent xmlns:mc="http://schemas.openxmlformats.org/markup-compatibility/2006">
    <mc:Choice Requires="x15">
      <x15ac:absPath xmlns:x15ac="http://schemas.microsoft.com/office/spreadsheetml/2010/11/ac" url="https://d.docs.live.net/10dcc4193879c597/Desktop/Chocolate Sales/"/>
    </mc:Choice>
  </mc:AlternateContent>
  <xr:revisionPtr revIDLastSave="12" documentId="8_{504E17C7-78EF-4518-BD83-26DC18EB8BF4}" xr6:coauthVersionLast="45" xr6:coauthVersionMax="45" xr10:uidLastSave="{7E298924-81A9-4A27-9803-73ED8C4CC1B0}"/>
  <bookViews>
    <workbookView xWindow="-120" yWindow="-120" windowWidth="20730" windowHeight="11040" firstSheet="2" activeTab="6" xr2:uid="{00000000-000D-0000-FFFF-FFFF00000000}"/>
  </bookViews>
  <sheets>
    <sheet name="Dashboard" sheetId="7" r:id="rId1"/>
    <sheet name="Top 5 Products" sheetId="10" r:id="rId2"/>
    <sheet name="Moving Avg" sheetId="11" r:id="rId3"/>
    <sheet name="Country Analysis" sheetId="12" r:id="rId4"/>
    <sheet name="Sellers rate" sheetId="13" r:id="rId5"/>
    <sheet name="Sales Dynamic" sheetId="14" r:id="rId6"/>
    <sheet name="Chocolate Sales (2)" sheetId="1" r:id="rId7"/>
  </sheets>
  <definedNames>
    <definedName name="Slicer_Country">#N/A</definedName>
    <definedName name="Slicer_Product">#N/A</definedName>
    <definedName name="Slicer_Years">#N/A</definedName>
  </definedNames>
  <calcPr calcId="18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2"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3" i="1"/>
  <c r="I4" i="1"/>
  <c r="I5" i="1"/>
  <c r="I6" i="1"/>
  <c r="I7" i="1"/>
  <c r="I8" i="1"/>
  <c r="I9" i="1"/>
  <c r="I10" i="1"/>
  <c r="I11" i="1"/>
  <c r="I12" i="1"/>
  <c r="I13" i="1"/>
  <c r="I14" i="1"/>
  <c r="I15"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2" i="1"/>
  <c r="G3276" i="1"/>
  <c r="G3277" i="1"/>
  <c r="G3278" i="1"/>
  <c r="G3279" i="1"/>
  <c r="G3280" i="1"/>
  <c r="G3281" i="1"/>
  <c r="G3282" i="1"/>
  <c r="G3283"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 i="1"/>
  <c r="G4" i="1"/>
  <c r="G5" i="1"/>
  <c r="G6" i="1"/>
  <c r="G7" i="1"/>
  <c r="G8" i="1"/>
  <c r="G9" i="1"/>
  <c r="G10" i="1"/>
  <c r="G11" i="1"/>
  <c r="G12" i="1"/>
  <c r="G13" i="1"/>
  <c r="G14" i="1"/>
  <c r="G2" i="1"/>
  <c r="M3" i="7"/>
  <c r="I3" i="7"/>
  <c r="M4" i="7"/>
</calcChain>
</file>

<file path=xl/sharedStrings.xml><?xml version="1.0" encoding="utf-8"?>
<sst xmlns="http://schemas.openxmlformats.org/spreadsheetml/2006/main" count="9931" uniqueCount="81">
  <si>
    <t>Sales Person</t>
  </si>
  <si>
    <t>Country</t>
  </si>
  <si>
    <t>Product</t>
  </si>
  <si>
    <t>Date</t>
  </si>
  <si>
    <t>Amount</t>
  </si>
  <si>
    <t>Boxes Shipped</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</si>
  <si>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</si>
  <si>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</si>
  <si>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</si>
  <si>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</si>
  <si>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</si>
  <si>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</si>
  <si>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</si>
  <si>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</si>
  <si>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</si>
  <si>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</si>
  <si>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</si>
  <si>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</si>
  <si>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</si>
  <si>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</si>
  <si>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</si>
  <si>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</si>
  <si>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</si>
  <si>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</si>
  <si>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</si>
  <si>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</si>
  <si>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</si>
  <si>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</si>
  <si>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</si>
  <si>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</si>
  <si>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</si>
  <si>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</si>
  <si>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</si>
  <si>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</si>
  <si>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</si>
  <si>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</si>
  <si>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</si>
  <si>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</si>
  <si>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</si>
  <si>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</si>
  <si>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</si>
  <si>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</si>
  <si>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</si>
  <si>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</si>
  <si>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</si>
  <si>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</si>
  <si>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</si>
  <si>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</si>
  <si>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</si>
  <si>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</si>
  <si>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</si>
  <si>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</si>
  <si>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</si>
  <si>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</si>
  <si>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</si>
  <si>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</si>
  <si>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</si>
  <si>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</si>
  <si>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</si>
  <si>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price per box</t>
  </si>
  <si>
    <t>Quarter</t>
  </si>
  <si>
    <t>Month</t>
  </si>
  <si>
    <t>Profit/Margin</t>
  </si>
  <si>
    <t>Sum of Amount</t>
  </si>
  <si>
    <t>Row Labels</t>
  </si>
  <si>
    <t>January</t>
  </si>
  <si>
    <t>February</t>
  </si>
  <si>
    <t>March</t>
  </si>
  <si>
    <t>April</t>
  </si>
  <si>
    <t>May</t>
  </si>
  <si>
    <t>June</t>
  </si>
  <si>
    <t>July</t>
  </si>
  <si>
    <t>August</t>
  </si>
  <si>
    <t>Grand Total</t>
  </si>
  <si>
    <t>Column Labels</t>
  </si>
  <si>
    <t>&lt;1/3/2022</t>
  </si>
  <si>
    <t>2022</t>
  </si>
  <si>
    <t>2023</t>
  </si>
  <si>
    <t>2024</t>
  </si>
  <si>
    <t>YoY Growth %</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</si>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</sst>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quot;M&quot;"/>
    <numFmt numFmtId="166" formatCode="#,##0.00,\ &quot;K&quot;"/>
  </numFmts>
  <fonts count="18" x14ac:knownFonts="1">
    <font>
      <sz val="11"/>
      <color theme="1"/>
      <name val="Sylfaen"/>
      <family val="2"/>
      <scheme val="minor"/>
    </font>
    <font>
      <sz val="11"/>
      <color theme="1"/>
      <name val="Sylfaen"/>
      <family val="2"/>
      <scheme val="minor"/>
    </font>
    <font>
      <sz val="18"/>
      <color theme="3"/>
      <name val="Sylfaen"/>
      <family val="2"/>
      <scheme val="major"/>
    </font>
    <font>
      <b/>
      <sz val="15"/>
      <color theme="3"/>
      <name val="Sylfaen"/>
      <family val="2"/>
      <scheme val="minor"/>
    </font>
    <font>
      <b/>
      <sz val="13"/>
      <color theme="3"/>
      <name val="Sylfaen"/>
      <family val="2"/>
      <scheme val="minor"/>
    </font>
    <font>
      <b/>
      <sz val="11"/>
      <color theme="3"/>
      <name val="Sylfaen"/>
      <family val="2"/>
      <scheme val="minor"/>
    </font>
    <font>
      <sz val="11"/>
      <color rgb="FF006100"/>
      <name val="Sylfaen"/>
      <family val="2"/>
      <scheme val="minor"/>
    </font>
    <font>
      <sz val="11"/>
      <color rgb="FF9C0006"/>
      <name val="Sylfaen"/>
      <family val="2"/>
      <scheme val="minor"/>
    </font>
    <font>
      <sz val="11"/>
      <color rgb="FF9C5700"/>
      <name val="Sylfaen"/>
      <family val="2"/>
      <scheme val="minor"/>
    </font>
    <font>
      <sz val="11"/>
      <color rgb="FF3F3F76"/>
      <name val="Sylfaen"/>
      <family val="2"/>
      <scheme val="minor"/>
    </font>
    <font>
      <b/>
      <sz val="11"/>
      <color rgb="FF3F3F3F"/>
      <name val="Sylfaen"/>
      <family val="2"/>
      <scheme val="minor"/>
    </font>
    <font>
      <b/>
      <sz val="11"/>
      <color rgb="FFFA7D00"/>
      <name val="Sylfaen"/>
      <family val="2"/>
      <scheme val="minor"/>
    </font>
    <font>
      <sz val="11"/>
      <color rgb="FFFA7D00"/>
      <name val="Sylfaen"/>
      <family val="2"/>
      <scheme val="minor"/>
    </font>
    <font>
      <b/>
      <sz val="11"/>
      <color theme="0"/>
      <name val="Sylfaen"/>
      <family val="2"/>
      <scheme val="minor"/>
    </font>
    <font>
      <sz val="11"/>
      <color rgb="FFFF0000"/>
      <name val="Sylfaen"/>
      <family val="2"/>
      <scheme val="minor"/>
    </font>
    <font>
      <i/>
      <sz val="11"/>
      <color rgb="FF7F7F7F"/>
      <name val="Sylfaen"/>
      <family val="2"/>
      <scheme val="minor"/>
    </font>
    <font>
      <b/>
      <sz val="11"/>
      <color theme="1"/>
      <name val="Sylfaen"/>
      <family val="2"/>
      <scheme val="minor"/>
    </font>
    <font>
      <sz val="11"/>
      <color theme="0"/>
      <name val="Sylfaen"/>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165" fontId="0" fillId="33" borderId="0" xfId="0" applyNumberFormat="1" applyFill="1" applyAlignment="1">
      <alignment horizontal="center"/>
    </xf>
    <xf numFmtId="0" fontId="0" fillId="33" borderId="0" xfId="0" applyFill="1" applyAlignment="1">
      <alignment horizontal="left"/>
    </xf>
    <xf numFmtId="0" fontId="0" fillId="33" borderId="0" xfId="0" applyNumberFormat="1" applyFill="1"/>
    <xf numFmtId="10" fontId="0" fillId="33" borderId="0" xfId="0" applyNumberFormat="1" applyFill="1"/>
    <xf numFmtId="0" fontId="0" fillId="33" borderId="0" xfId="0" applyFill="1" applyBorder="1"/>
    <xf numFmtId="166" fontId="0" fillId="33" borderId="0" xfId="0" applyNumberFormat="1" applyFill="1"/>
    <xf numFmtId="9" fontId="0" fillId="33" borderId="0" xfId="42"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9">
    <dxf>
      <numFmt numFmtId="164" formatCode="&quot;$&quot;#,##0.00"/>
    </dxf>
    <dxf>
      <numFmt numFmtId="164" formatCode="&quot;$&quot;#,##0.00"/>
    </dxf>
    <dxf>
      <numFmt numFmtId="19" formatCode="m/d/yyyy"/>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[Chocolate^120Sales^120(2)(AutoRecovered).xlsx]Country Analysis!PivotTable7</c:name>
    <c:fmtId val="5"/>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6"/>
        <c:marker>
          <c:symbol val="none"/>
        </c:marker>
        <c:dLbl>
          <c:idx val="0"/>
          <c:delete val="1"/>
          <c:extLst>
            <c:ext xmlns:c15="http://schemas.microsoft.com/office/drawing/2012/chart" uri="{CE6537A1-D6FC-4f65-9D91-7224C49458BB}"/>
          </c:extLst>
        </c:dLbl>
      </c:pivotFmt>
      <c:pivotFmt>
        <c:idx val="67"/>
        <c:marker>
          <c:symbol val="none"/>
        </c:marker>
        <c:dLbl>
          <c:idx val="0"/>
          <c:delete val="1"/>
          <c:extLst>
            <c:ext xmlns:c15="http://schemas.microsoft.com/office/drawing/2012/chart" uri="{CE6537A1-D6FC-4f65-9D91-7224C49458BB}"/>
          </c:extLst>
        </c:dLbl>
      </c:pivotFmt>
      <c:pivotFmt>
        <c:idx val="68"/>
        <c:marker>
          <c:symbol val="none"/>
        </c:marker>
        <c:dLbl>
          <c:idx val="0"/>
          <c:delete val="1"/>
          <c:extLst>
            <c:ext xmlns:c15="http://schemas.microsoft.com/office/drawing/2012/chart" uri="{CE6537A1-D6FC-4f65-9D91-7224C49458BB}"/>
          </c:extLst>
        </c:dLbl>
      </c:pivotFmt>
      <c:pivotFmt>
        <c:idx val="69"/>
        <c:marker>
          <c:symbol val="none"/>
        </c:marker>
        <c:dLbl>
          <c:idx val="0"/>
          <c:delete val="1"/>
          <c:extLst>
            <c:ext xmlns:c15="http://schemas.microsoft.com/office/drawing/2012/chart" uri="{CE6537A1-D6FC-4f65-9D91-7224C49458BB}"/>
          </c:extLst>
        </c:dLbl>
      </c:pivotFmt>
      <c:pivotFmt>
        <c:idx val="70"/>
        <c:marker>
          <c:symbol val="none"/>
        </c:marker>
        <c:dLbl>
          <c:idx val="0"/>
          <c:delete val="1"/>
          <c:extLst>
            <c:ext xmlns:c15="http://schemas.microsoft.com/office/drawing/2012/chart" uri="{CE6537A1-D6FC-4f65-9D91-7224C49458BB}"/>
          </c:extLst>
        </c:dLbl>
      </c:pivotFmt>
      <c:pivotFmt>
        <c:idx val="71"/>
        <c:marker>
          <c:symbol val="none"/>
        </c:marker>
        <c:dLbl>
          <c:idx val="0"/>
          <c:delete val="1"/>
          <c:extLst>
            <c:ext xmlns:c15="http://schemas.microsoft.com/office/drawing/2012/chart" uri="{CE6537A1-D6FC-4f65-9D91-7224C49458BB}"/>
          </c:extLst>
        </c:dLbl>
      </c:pivotFmt>
      <c:pivotFmt>
        <c:idx val="72"/>
        <c:marker>
          <c:symbol val="none"/>
        </c:marker>
        <c:dLbl>
          <c:idx val="0"/>
          <c:delete val="1"/>
          <c:extLst>
            <c:ext xmlns:c15="http://schemas.microsoft.com/office/drawing/2012/chart" uri="{CE6537A1-D6FC-4f65-9D91-7224C49458BB}"/>
          </c:extLst>
        </c:dLbl>
      </c:pivotFmt>
      <c:pivotFmt>
        <c:idx val="73"/>
        <c:marker>
          <c:symbol val="none"/>
        </c:marker>
        <c:dLbl>
          <c:idx val="0"/>
          <c:delete val="1"/>
          <c:extLst>
            <c:ext xmlns:c15="http://schemas.microsoft.com/office/drawing/2012/chart" uri="{CE6537A1-D6FC-4f65-9D91-7224C49458BB}"/>
          </c:extLst>
        </c:dLbl>
      </c:pivotFmt>
      <c:pivotFmt>
        <c:idx val="74"/>
        <c:marker>
          <c:symbol val="none"/>
        </c:marker>
        <c:dLbl>
          <c:idx val="0"/>
          <c:delete val="1"/>
          <c:extLst>
            <c:ext xmlns:c15="http://schemas.microsoft.com/office/drawing/2012/chart" uri="{CE6537A1-D6FC-4f65-9D91-7224C49458BB}"/>
          </c:extLst>
        </c:dLbl>
      </c:pivotFmt>
      <c:pivotFmt>
        <c:idx val="75"/>
        <c:marker>
          <c:symbol val="none"/>
        </c:marker>
        <c:dLbl>
          <c:idx val="0"/>
          <c:delete val="1"/>
          <c:extLst>
            <c:ext xmlns:c15="http://schemas.microsoft.com/office/drawing/2012/chart" uri="{CE6537A1-D6FC-4f65-9D91-7224C49458BB}"/>
          </c:extLst>
        </c:dLbl>
      </c:pivotFmt>
      <c:pivotFmt>
        <c:idx val="76"/>
        <c:marker>
          <c:symbol val="none"/>
        </c:marker>
        <c:dLbl>
          <c:idx val="0"/>
          <c:delete val="1"/>
          <c:extLst>
            <c:ext xmlns:c15="http://schemas.microsoft.com/office/drawing/2012/chart" uri="{CE6537A1-D6FC-4f65-9D91-7224C49458BB}"/>
          </c:extLst>
        </c:dLbl>
      </c:pivotFmt>
      <c:pivotFmt>
        <c:idx val="77"/>
        <c:marker>
          <c:symbol val="none"/>
        </c:marker>
        <c:dLbl>
          <c:idx val="0"/>
          <c:delete val="1"/>
          <c:extLst>
            <c:ext xmlns:c15="http://schemas.microsoft.com/office/drawing/2012/chart" uri="{CE6537A1-D6FC-4f65-9D91-7224C49458BB}"/>
          </c:extLst>
        </c:dLbl>
      </c:pivotFmt>
      <c:pivotFmt>
        <c:idx val="78"/>
        <c:marker>
          <c:symbol val="none"/>
        </c:marker>
        <c:dLbl>
          <c:idx val="0"/>
          <c:delete val="1"/>
          <c:extLst>
            <c:ext xmlns:c15="http://schemas.microsoft.com/office/drawing/2012/chart" uri="{CE6537A1-D6FC-4f65-9D91-7224C49458BB}"/>
          </c:extLst>
        </c:dLbl>
      </c:pivotFmt>
      <c:pivotFmt>
        <c:idx val="79"/>
        <c:marker>
          <c:symbol val="none"/>
        </c:marker>
        <c:dLbl>
          <c:idx val="0"/>
          <c:delete val="1"/>
          <c:extLst>
            <c:ext xmlns:c15="http://schemas.microsoft.com/office/drawing/2012/chart" uri="{CE6537A1-D6FC-4f65-9D91-7224C49458BB}"/>
          </c:extLst>
        </c:dLbl>
      </c:pivotFmt>
      <c:pivotFmt>
        <c:idx val="80"/>
        <c:marker>
          <c:symbol val="none"/>
        </c:marker>
        <c:dLbl>
          <c:idx val="0"/>
          <c:delete val="1"/>
          <c:extLst>
            <c:ext xmlns:c15="http://schemas.microsoft.com/office/drawing/2012/chart" uri="{CE6537A1-D6FC-4f65-9D91-7224C49458BB}"/>
          </c:extLst>
        </c:dLbl>
      </c:pivotFmt>
      <c:pivotFmt>
        <c:idx val="81"/>
        <c:marker>
          <c:symbol val="none"/>
        </c:marker>
        <c:dLbl>
          <c:idx val="0"/>
          <c:delete val="1"/>
          <c:extLst>
            <c:ext xmlns:c15="http://schemas.microsoft.com/office/drawing/2012/chart" uri="{CE6537A1-D6FC-4f65-9D91-7224C49458BB}"/>
          </c:extLst>
        </c:dLbl>
      </c:pivotFmt>
      <c:pivotFmt>
        <c:idx val="82"/>
        <c:marker>
          <c:symbol val="none"/>
        </c:marker>
        <c:dLbl>
          <c:idx val="0"/>
          <c:delete val="1"/>
          <c:extLst>
            <c:ext xmlns:c15="http://schemas.microsoft.com/office/drawing/2012/chart" uri="{CE6537A1-D6FC-4f65-9D91-7224C49458BB}"/>
          </c:extLst>
        </c:dLbl>
      </c:pivotFmt>
      <c:pivotFmt>
        <c:idx val="83"/>
        <c:marker>
          <c:symbol val="none"/>
        </c:marker>
        <c:dLbl>
          <c:idx val="0"/>
          <c:delete val="1"/>
          <c:extLst>
            <c:ext xmlns:c15="http://schemas.microsoft.com/office/drawing/2012/chart" uri="{CE6537A1-D6FC-4f65-9D91-7224C49458BB}"/>
          </c:extLst>
        </c:dLbl>
      </c:pivotFmt>
      <c:pivotFmt>
        <c:idx val="84"/>
        <c:marker>
          <c:symbol val="none"/>
        </c:marker>
        <c:dLbl>
          <c:idx val="0"/>
          <c:delete val="1"/>
          <c:extLst>
            <c:ext xmlns:c15="http://schemas.microsoft.com/office/drawing/2012/chart" uri="{CE6537A1-D6FC-4f65-9D91-7224C49458BB}"/>
          </c:extLst>
        </c:dLbl>
      </c:pivotFmt>
      <c:pivotFmt>
        <c:idx val="85"/>
        <c:marker>
          <c:symbol val="none"/>
        </c:marker>
        <c:dLbl>
          <c:idx val="0"/>
          <c:delete val="1"/>
          <c:extLst>
            <c:ext xmlns:c15="http://schemas.microsoft.com/office/drawing/2012/chart" uri="{CE6537A1-D6FC-4f65-9D91-7224C49458BB}"/>
          </c:extLst>
        </c:dLbl>
      </c:pivotFmt>
      <c:pivotFmt>
        <c:idx val="86"/>
        <c:marker>
          <c:symbol val="none"/>
        </c:marker>
        <c:dLbl>
          <c:idx val="0"/>
          <c:delete val="1"/>
          <c:extLst>
            <c:ext xmlns:c15="http://schemas.microsoft.com/office/drawing/2012/chart" uri="{CE6537A1-D6FC-4f65-9D91-7224C49458BB}"/>
          </c:extLst>
        </c:dLbl>
      </c:pivotFmt>
      <c:pivotFmt>
        <c:idx val="87"/>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22"/>
          <c:order val="0"/>
          <c:tx>
            <c:strRef>
              <c:f>'Country Analysis'!$B$3:$B$4</c:f>
              <c:strCache>
                <c:ptCount val="1"/>
                <c:pt idx="0">
                  <c:v>50% Dark Bites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Analysis'!$B$5:$B$11</c:f>
              <c:numCache>
                <c:formatCode>General</c:formatCode>
                <c:ptCount val="6"/>
                <c:pt idx="0">
                  <c:v>280066.82</c:v>
                </c:pt>
                <c:pt idx="1">
                  <c:v>141804.26999999996</c:v>
                </c:pt>
                <c:pt idx="2">
                  <c:v>206943.76</c:v>
                </c:pt>
                <c:pt idx="3">
                  <c:v>114195.93999999999</c:v>
                </c:pt>
                <c:pt idx="4">
                  <c:v>160112.11999999997</c:v>
                </c:pt>
                <c:pt idx="5">
                  <c:v>184536.44000000006</c:v>
                </c:pt>
              </c:numCache>
            </c:numRef>
          </c:val>
          <c:extLst>
            <c:ext xmlns:c16="http://schemas.microsoft.com/office/drawing/2014/chart" uri="{C3380CC4-5D6E-409C-BE32-E72D297353CC}">
              <c16:uniqueId val="{00000042-9AA1-4CAD-9A9A-4E0CE6BE010F}"/>
            </c:ext>
          </c:extLst>
        </c:ser>
        <c:ser>
          <c:idx val="23"/>
          <c:order val="1"/>
          <c:tx>
            <c:strRef>
              <c:f>'Country Analysis'!$C$3:$C$4</c:f>
              <c:strCache>
                <c:ptCount val="1"/>
                <c:pt idx="0">
                  <c:v>70% Dark Bites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Analysis'!$C$5:$C$11</c:f>
              <c:numCache>
                <c:formatCode>General</c:formatCode>
                <c:ptCount val="6"/>
                <c:pt idx="0">
                  <c:v>127540.45999999998</c:v>
                </c:pt>
                <c:pt idx="1">
                  <c:v>189698.50999999995</c:v>
                </c:pt>
                <c:pt idx="2">
                  <c:v>110588.32</c:v>
                </c:pt>
                <c:pt idx="3">
                  <c:v>116637.66000000002</c:v>
                </c:pt>
                <c:pt idx="4">
                  <c:v>66751.89</c:v>
                </c:pt>
                <c:pt idx="5">
                  <c:v>66129.38</c:v>
                </c:pt>
              </c:numCache>
            </c:numRef>
          </c:val>
          <c:extLst>
            <c:ext xmlns:c16="http://schemas.microsoft.com/office/drawing/2014/chart" uri="{C3380CC4-5D6E-409C-BE32-E72D297353CC}">
              <c16:uniqueId val="{00000043-9AA1-4CAD-9A9A-4E0CE6BE010F}"/>
            </c:ext>
          </c:extLst>
        </c:ser>
        <c:ser>
          <c:idx val="24"/>
          <c:order val="2"/>
          <c:tx>
            <c:strRef>
              <c:f>'Country Analysis'!$D$3:$D$4</c:f>
              <c:strCache>
                <c:ptCount val="1"/>
                <c:pt idx="0">
                  <c:v>85% Dark Bars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Analysis'!$D$5:$D$11</c:f>
              <c:numCache>
                <c:formatCode>General</c:formatCode>
                <c:ptCount val="6"/>
                <c:pt idx="0">
                  <c:v>123398.33000000002</c:v>
                </c:pt>
                <c:pt idx="1">
                  <c:v>120293.78</c:v>
                </c:pt>
                <c:pt idx="2">
                  <c:v>179605.93999999997</c:v>
                </c:pt>
                <c:pt idx="3">
                  <c:v>215881.58000000002</c:v>
                </c:pt>
                <c:pt idx="4">
                  <c:v>132181.76000000001</c:v>
                </c:pt>
                <c:pt idx="5">
                  <c:v>183906.85</c:v>
                </c:pt>
              </c:numCache>
            </c:numRef>
          </c:val>
          <c:extLst>
            <c:ext xmlns:c16="http://schemas.microsoft.com/office/drawing/2014/chart" uri="{C3380CC4-5D6E-409C-BE32-E72D297353CC}">
              <c16:uniqueId val="{00000044-9AA1-4CAD-9A9A-4E0CE6BE010F}"/>
            </c:ext>
          </c:extLst>
        </c:ser>
        <c:ser>
          <c:idx val="25"/>
          <c:order val="3"/>
          <c:tx>
            <c:strRef>
              <c:f>'Country Analysis'!$E$3:$E$4</c:f>
              <c:strCache>
                <c:ptCount val="1"/>
                <c:pt idx="0">
                  <c:v>99% Dark &amp; Pure</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Analysis'!$E$5:$E$11</c:f>
              <c:numCache>
                <c:formatCode>General</c:formatCode>
                <c:ptCount val="6"/>
                <c:pt idx="0">
                  <c:v>176247.62</c:v>
                </c:pt>
                <c:pt idx="1">
                  <c:v>140413.72</c:v>
                </c:pt>
                <c:pt idx="2">
                  <c:v>135933.68</c:v>
                </c:pt>
                <c:pt idx="3">
                  <c:v>104141.19</c:v>
                </c:pt>
                <c:pt idx="4">
                  <c:v>251626.82000000007</c:v>
                </c:pt>
                <c:pt idx="5">
                  <c:v>151670.41999999998</c:v>
                </c:pt>
              </c:numCache>
            </c:numRef>
          </c:val>
          <c:extLst>
            <c:ext xmlns:c16="http://schemas.microsoft.com/office/drawing/2014/chart" uri="{C3380CC4-5D6E-409C-BE32-E72D297353CC}">
              <c16:uniqueId val="{00000045-9AA1-4CAD-9A9A-4E0CE6BE010F}"/>
            </c:ext>
          </c:extLst>
        </c:ser>
        <c:ser>
          <c:idx val="26"/>
          <c:order val="4"/>
          <c:tx>
            <c:strRef>
              <c:f>'Country Analysis'!$F$3:$F$4</c:f>
              <c:strCache>
                <c:ptCount val="1"/>
                <c:pt idx="0">
                  <c:v>After Nines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Analysis'!$F$5:$F$11</c:f>
              <c:numCache>
                <c:formatCode>General</c:formatCode>
                <c:ptCount val="6"/>
                <c:pt idx="0">
                  <c:v>89658.710000000021</c:v>
                </c:pt>
                <c:pt idx="1">
                  <c:v>134870.95000000001</c:v>
                </c:pt>
                <c:pt idx="2">
                  <c:v>187638.02</c:v>
                </c:pt>
                <c:pt idx="3">
                  <c:v>177409.92999999996</c:v>
                </c:pt>
                <c:pt idx="4">
                  <c:v>109266.08</c:v>
                </c:pt>
                <c:pt idx="5">
                  <c:v>138371.97999999998</c:v>
                </c:pt>
              </c:numCache>
            </c:numRef>
          </c:val>
          <c:extLst>
            <c:ext xmlns:c16="http://schemas.microsoft.com/office/drawing/2014/chart" uri="{C3380CC4-5D6E-409C-BE32-E72D297353CC}">
              <c16:uniqueId val="{00000046-9AA1-4CAD-9A9A-4E0CE6BE010F}"/>
            </c:ext>
          </c:extLst>
        </c:ser>
        <c:ser>
          <c:idx val="27"/>
          <c:order val="5"/>
          <c:tx>
            <c:strRef>
              <c:f>'Country Analysis'!$G$3:$G$4</c:f>
              <c:strCache>
                <c:ptCount val="1"/>
                <c:pt idx="0">
                  <c:v>Almond Choco</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Analysis'!$G$5:$G$11</c:f>
              <c:numCache>
                <c:formatCode>General</c:formatCode>
                <c:ptCount val="6"/>
                <c:pt idx="0">
                  <c:v>150814</c:v>
                </c:pt>
                <c:pt idx="1">
                  <c:v>135514.43000000002</c:v>
                </c:pt>
                <c:pt idx="2">
                  <c:v>163100.6</c:v>
                </c:pt>
                <c:pt idx="3">
                  <c:v>93512.63</c:v>
                </c:pt>
                <c:pt idx="4">
                  <c:v>190853.25000000006</c:v>
                </c:pt>
                <c:pt idx="5">
                  <c:v>156659.74000000002</c:v>
                </c:pt>
              </c:numCache>
            </c:numRef>
          </c:val>
          <c:extLst>
            <c:ext xmlns:c16="http://schemas.microsoft.com/office/drawing/2014/chart" uri="{C3380CC4-5D6E-409C-BE32-E72D297353CC}">
              <c16:uniqueId val="{00000047-9AA1-4CAD-9A9A-4E0CE6BE010F}"/>
            </c:ext>
          </c:extLst>
        </c:ser>
        <c:ser>
          <c:idx val="28"/>
          <c:order val="6"/>
          <c:tx>
            <c:strRef>
              <c:f>'Country Analysis'!$H$3:$H$4</c:f>
              <c:strCache>
                <c:ptCount val="1"/>
                <c:pt idx="0">
                  <c:v>Baker's Choco Chips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Analysis'!$H$5:$H$11</c:f>
              <c:numCache>
                <c:formatCode>General</c:formatCode>
                <c:ptCount val="6"/>
                <c:pt idx="0">
                  <c:v>185739.43999999994</c:v>
                </c:pt>
                <c:pt idx="1">
                  <c:v>116561.38</c:v>
                </c:pt>
                <c:pt idx="2">
                  <c:v>88893.04</c:v>
                </c:pt>
                <c:pt idx="3">
                  <c:v>146569.54</c:v>
                </c:pt>
                <c:pt idx="4">
                  <c:v>125906.45999999996</c:v>
                </c:pt>
                <c:pt idx="5">
                  <c:v>135415.81</c:v>
                </c:pt>
              </c:numCache>
            </c:numRef>
          </c:val>
          <c:extLst>
            <c:ext xmlns:c16="http://schemas.microsoft.com/office/drawing/2014/chart" uri="{C3380CC4-5D6E-409C-BE32-E72D297353CC}">
              <c16:uniqueId val="{00000048-9AA1-4CAD-9A9A-4E0CE6BE010F}"/>
            </c:ext>
          </c:extLst>
        </c:ser>
        <c:ser>
          <c:idx val="29"/>
          <c:order val="7"/>
          <c:tx>
            <c:strRef>
              <c:f>'Country Analysis'!$I$3:$I$4</c:f>
              <c:strCache>
                <c:ptCount val="1"/>
                <c:pt idx="0">
                  <c:v>Caramel Stuffed Bars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Analysis'!$I$5:$I$11</c:f>
              <c:numCache>
                <c:formatCode>General</c:formatCode>
                <c:ptCount val="6"/>
                <c:pt idx="0">
                  <c:v>128775.09000000001</c:v>
                </c:pt>
                <c:pt idx="1">
                  <c:v>106229.98</c:v>
                </c:pt>
                <c:pt idx="2">
                  <c:v>114265.09999999999</c:v>
                </c:pt>
                <c:pt idx="3">
                  <c:v>109660.73000000001</c:v>
                </c:pt>
                <c:pt idx="4">
                  <c:v>163661.34999999998</c:v>
                </c:pt>
                <c:pt idx="5">
                  <c:v>119923.9</c:v>
                </c:pt>
              </c:numCache>
            </c:numRef>
          </c:val>
          <c:extLst>
            <c:ext xmlns:c16="http://schemas.microsoft.com/office/drawing/2014/chart" uri="{C3380CC4-5D6E-409C-BE32-E72D297353CC}">
              <c16:uniqueId val="{00000049-9AA1-4CAD-9A9A-4E0CE6BE010F}"/>
            </c:ext>
          </c:extLst>
        </c:ser>
        <c:ser>
          <c:idx val="30"/>
          <c:order val="8"/>
          <c:tx>
            <c:strRef>
              <c:f>'Country Analysis'!$J$3:$J$4</c:f>
              <c:strCache>
                <c:ptCount val="1"/>
                <c:pt idx="0">
                  <c:v>Choco Coated Almonds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Analysis'!$J$5:$J$11</c:f>
              <c:numCache>
                <c:formatCode>General</c:formatCode>
                <c:ptCount val="6"/>
                <c:pt idx="0">
                  <c:v>119163.18999999999</c:v>
                </c:pt>
                <c:pt idx="1">
                  <c:v>183459.19</c:v>
                </c:pt>
                <c:pt idx="2">
                  <c:v>89730.06</c:v>
                </c:pt>
                <c:pt idx="3">
                  <c:v>66397.55</c:v>
                </c:pt>
                <c:pt idx="4">
                  <c:v>181114.14</c:v>
                </c:pt>
                <c:pt idx="5">
                  <c:v>133198.78000000003</c:v>
                </c:pt>
              </c:numCache>
            </c:numRef>
          </c:val>
          <c:extLst>
            <c:ext xmlns:c16="http://schemas.microsoft.com/office/drawing/2014/chart" uri="{C3380CC4-5D6E-409C-BE32-E72D297353CC}">
              <c16:uniqueId val="{0000004A-9AA1-4CAD-9A9A-4E0CE6BE010F}"/>
            </c:ext>
          </c:extLst>
        </c:ser>
        <c:ser>
          <c:idx val="31"/>
          <c:order val="9"/>
          <c:tx>
            <c:strRef>
              <c:f>'Country Analysis'!$K$3:$K$4</c:f>
              <c:strCache>
                <c:ptCount val="1"/>
                <c:pt idx="0">
                  <c:v>Drinking Coco</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Analysis'!$K$5:$K$11</c:f>
              <c:numCache>
                <c:formatCode>General</c:formatCode>
                <c:ptCount val="6"/>
                <c:pt idx="0">
                  <c:v>165478.55999999997</c:v>
                </c:pt>
                <c:pt idx="1">
                  <c:v>153041.34000000003</c:v>
                </c:pt>
                <c:pt idx="2">
                  <c:v>148303.51</c:v>
                </c:pt>
                <c:pt idx="3">
                  <c:v>101281.46999999999</c:v>
                </c:pt>
                <c:pt idx="4">
                  <c:v>131735.22</c:v>
                </c:pt>
                <c:pt idx="5">
                  <c:v>122405.47</c:v>
                </c:pt>
              </c:numCache>
            </c:numRef>
          </c:val>
          <c:extLst>
            <c:ext xmlns:c16="http://schemas.microsoft.com/office/drawing/2014/chart" uri="{C3380CC4-5D6E-409C-BE32-E72D297353CC}">
              <c16:uniqueId val="{0000004B-9AA1-4CAD-9A9A-4E0CE6BE010F}"/>
            </c:ext>
          </c:extLst>
        </c:ser>
        <c:ser>
          <c:idx val="32"/>
          <c:order val="10"/>
          <c:tx>
            <c:strRef>
              <c:f>'Country Analysis'!$L$3:$L$4</c:f>
              <c:strCache>
                <c:ptCount val="1"/>
                <c:pt idx="0">
                  <c:v>Eclairs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Analysis'!$L$5:$L$11</c:f>
              <c:numCache>
                <c:formatCode>General</c:formatCode>
                <c:ptCount val="6"/>
                <c:pt idx="0">
                  <c:v>208469.73</c:v>
                </c:pt>
                <c:pt idx="1">
                  <c:v>77787.02</c:v>
                </c:pt>
                <c:pt idx="2">
                  <c:v>252107.53999999995</c:v>
                </c:pt>
                <c:pt idx="3">
                  <c:v>190830.28000000003</c:v>
                </c:pt>
                <c:pt idx="4">
                  <c:v>124547.98999999999</c:v>
                </c:pt>
                <c:pt idx="5">
                  <c:v>143205.4</c:v>
                </c:pt>
              </c:numCache>
            </c:numRef>
          </c:val>
          <c:extLst>
            <c:ext xmlns:c16="http://schemas.microsoft.com/office/drawing/2014/chart" uri="{C3380CC4-5D6E-409C-BE32-E72D297353CC}">
              <c16:uniqueId val="{0000004C-9AA1-4CAD-9A9A-4E0CE6BE010F}"/>
            </c:ext>
          </c:extLst>
        </c:ser>
        <c:ser>
          <c:idx val="33"/>
          <c:order val="11"/>
          <c:tx>
            <c:strRef>
              <c:f>'Country Analysis'!$M$3:$M$4</c:f>
              <c:strCache>
                <c:ptCount val="1"/>
                <c:pt idx="0">
                  <c:v>Fruit &amp; Nut Bars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Analysis'!$M$5:$M$11</c:f>
              <c:numCache>
                <c:formatCode>General</c:formatCode>
                <c:ptCount val="6"/>
                <c:pt idx="0">
                  <c:v>167568.73999999996</c:v>
                </c:pt>
                <c:pt idx="1">
                  <c:v>159492.52999999997</c:v>
                </c:pt>
                <c:pt idx="2">
                  <c:v>58842.21</c:v>
                </c:pt>
                <c:pt idx="3">
                  <c:v>150992.70000000001</c:v>
                </c:pt>
                <c:pt idx="4">
                  <c:v>137068.31</c:v>
                </c:pt>
                <c:pt idx="5">
                  <c:v>155314.47000000003</c:v>
                </c:pt>
              </c:numCache>
            </c:numRef>
          </c:val>
          <c:extLst>
            <c:ext xmlns:c16="http://schemas.microsoft.com/office/drawing/2014/chart" uri="{C3380CC4-5D6E-409C-BE32-E72D297353CC}">
              <c16:uniqueId val="{0000004D-9AA1-4CAD-9A9A-4E0CE6BE010F}"/>
            </c:ext>
          </c:extLst>
        </c:ser>
        <c:ser>
          <c:idx val="34"/>
          <c:order val="12"/>
          <c:tx>
            <c:strRef>
              <c:f>'Country Analysis'!$N$3:$N$4</c:f>
              <c:strCache>
                <c:ptCount val="1"/>
                <c:pt idx="0">
                  <c:v>Manuka Honey Choco</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Analysis'!$N$5:$N$11</c:f>
              <c:numCache>
                <c:formatCode>General</c:formatCode>
                <c:ptCount val="6"/>
                <c:pt idx="0">
                  <c:v>149820.03</c:v>
                </c:pt>
                <c:pt idx="1">
                  <c:v>161162.28</c:v>
                </c:pt>
                <c:pt idx="2">
                  <c:v>60325.229999999996</c:v>
                </c:pt>
                <c:pt idx="3">
                  <c:v>161257.90999999997</c:v>
                </c:pt>
                <c:pt idx="4">
                  <c:v>136823.15999999997</c:v>
                </c:pt>
                <c:pt idx="5">
                  <c:v>215819.42000000004</c:v>
                </c:pt>
              </c:numCache>
            </c:numRef>
          </c:val>
          <c:extLst>
            <c:ext xmlns:c16="http://schemas.microsoft.com/office/drawing/2014/chart" uri="{C3380CC4-5D6E-409C-BE32-E72D297353CC}">
              <c16:uniqueId val="{0000004E-9AA1-4CAD-9A9A-4E0CE6BE010F}"/>
            </c:ext>
          </c:extLst>
        </c:ser>
        <c:ser>
          <c:idx val="35"/>
          <c:order val="13"/>
          <c:tx>
            <c:strRef>
              <c:f>'Country Analysis'!$O$3:$O$4</c:f>
              <c:strCache>
                <c:ptCount val="1"/>
                <c:pt idx="0">
                  <c:v>Milk Bars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Analysis'!$O$5:$O$11</c:f>
              <c:numCache>
                <c:formatCode>General</c:formatCode>
                <c:ptCount val="6"/>
                <c:pt idx="0">
                  <c:v>197947.30000000005</c:v>
                </c:pt>
                <c:pt idx="1">
                  <c:v>134345.75</c:v>
                </c:pt>
                <c:pt idx="2">
                  <c:v>77299.400000000009</c:v>
                </c:pt>
                <c:pt idx="3">
                  <c:v>117687.41999999998</c:v>
                </c:pt>
                <c:pt idx="4">
                  <c:v>185300.82999999996</c:v>
                </c:pt>
                <c:pt idx="5">
                  <c:v>153692.91999999998</c:v>
                </c:pt>
              </c:numCache>
            </c:numRef>
          </c:val>
          <c:extLst>
            <c:ext xmlns:c16="http://schemas.microsoft.com/office/drawing/2014/chart" uri="{C3380CC4-5D6E-409C-BE32-E72D297353CC}">
              <c16:uniqueId val="{0000004F-9AA1-4CAD-9A9A-4E0CE6BE010F}"/>
            </c:ext>
          </c:extLst>
        </c:ser>
        <c:ser>
          <c:idx val="36"/>
          <c:order val="14"/>
          <c:tx>
            <c:strRef>
              <c:f>'Country Analysis'!$P$3:$P$4</c:f>
              <c:strCache>
                <c:ptCount val="1"/>
                <c:pt idx="0">
                  <c:v>Mint Chip Choco</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Analysis'!$P$5:$P$11</c:f>
              <c:numCache>
                <c:formatCode>General</c:formatCode>
                <c:ptCount val="6"/>
                <c:pt idx="0">
                  <c:v>160465.4</c:v>
                </c:pt>
                <c:pt idx="1">
                  <c:v>49971.85</c:v>
                </c:pt>
                <c:pt idx="2">
                  <c:v>217420.06000000006</c:v>
                </c:pt>
                <c:pt idx="3">
                  <c:v>277979.24999999994</c:v>
                </c:pt>
                <c:pt idx="4">
                  <c:v>81764.819999999992</c:v>
                </c:pt>
                <c:pt idx="5">
                  <c:v>117388.16999999998</c:v>
                </c:pt>
              </c:numCache>
            </c:numRef>
          </c:val>
          <c:extLst>
            <c:ext xmlns:c16="http://schemas.microsoft.com/office/drawing/2014/chart" uri="{C3380CC4-5D6E-409C-BE32-E72D297353CC}">
              <c16:uniqueId val="{00000050-9AA1-4CAD-9A9A-4E0CE6BE010F}"/>
            </c:ext>
          </c:extLst>
        </c:ser>
        <c:ser>
          <c:idx val="37"/>
          <c:order val="15"/>
          <c:tx>
            <c:strRef>
              <c:f>'Country Analysis'!$Q$3:$Q$4</c:f>
              <c:strCache>
                <c:ptCount val="1"/>
                <c:pt idx="0">
                  <c:v>Orange Choco</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Analysis'!$Q$5:$Q$11</c:f>
              <c:numCache>
                <c:formatCode>General</c:formatCode>
                <c:ptCount val="6"/>
                <c:pt idx="0">
                  <c:v>191433.98999999996</c:v>
                </c:pt>
                <c:pt idx="1">
                  <c:v>164970.88999999998</c:v>
                </c:pt>
                <c:pt idx="2">
                  <c:v>75316.74000000002</c:v>
                </c:pt>
                <c:pt idx="3">
                  <c:v>100236.41000000002</c:v>
                </c:pt>
                <c:pt idx="4">
                  <c:v>134820.93000000002</c:v>
                </c:pt>
                <c:pt idx="5">
                  <c:v>157291.89000000001</c:v>
                </c:pt>
              </c:numCache>
            </c:numRef>
          </c:val>
          <c:extLst>
            <c:ext xmlns:c16="http://schemas.microsoft.com/office/drawing/2014/chart" uri="{C3380CC4-5D6E-409C-BE32-E72D297353CC}">
              <c16:uniqueId val="{00000051-9AA1-4CAD-9A9A-4E0CE6BE010F}"/>
            </c:ext>
          </c:extLst>
        </c:ser>
        <c:ser>
          <c:idx val="38"/>
          <c:order val="16"/>
          <c:tx>
            <c:strRef>
              <c:f>'Country Analysis'!$R$3:$R$4</c:f>
              <c:strCache>
                <c:ptCount val="1"/>
                <c:pt idx="0">
                  <c:v>Organic Choco Syrup</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Analysis'!$R$5:$R$11</c:f>
              <c:numCache>
                <c:formatCode>General</c:formatCode>
                <c:ptCount val="6"/>
                <c:pt idx="0">
                  <c:v>196655.35</c:v>
                </c:pt>
                <c:pt idx="1">
                  <c:v>117843.72000000003</c:v>
                </c:pt>
                <c:pt idx="2">
                  <c:v>217251.03</c:v>
                </c:pt>
                <c:pt idx="3">
                  <c:v>169172.80000000002</c:v>
                </c:pt>
                <c:pt idx="4">
                  <c:v>80994.860000000015</c:v>
                </c:pt>
                <c:pt idx="5">
                  <c:v>163427.96999999994</c:v>
                </c:pt>
              </c:numCache>
            </c:numRef>
          </c:val>
          <c:extLst>
            <c:ext xmlns:c16="http://schemas.microsoft.com/office/drawing/2014/chart" uri="{C3380CC4-5D6E-409C-BE32-E72D297353CC}">
              <c16:uniqueId val="{00000052-9AA1-4CAD-9A9A-4E0CE6BE010F}"/>
            </c:ext>
          </c:extLst>
        </c:ser>
        <c:ser>
          <c:idx val="39"/>
          <c:order val="17"/>
          <c:tx>
            <c:strRef>
              <c:f>'Country Analysis'!$S$3:$S$4</c:f>
              <c:strCache>
                <c:ptCount val="1"/>
                <c:pt idx="0">
                  <c:v>Peanut Butter Cubes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Analysis'!$S$5:$S$11</c:f>
              <c:numCache>
                <c:formatCode>General</c:formatCode>
                <c:ptCount val="6"/>
                <c:pt idx="0">
                  <c:v>131349.85</c:v>
                </c:pt>
                <c:pt idx="1">
                  <c:v>199711.91999999998</c:v>
                </c:pt>
                <c:pt idx="2">
                  <c:v>247607.77999999994</c:v>
                </c:pt>
                <c:pt idx="3">
                  <c:v>99434.599999999991</c:v>
                </c:pt>
                <c:pt idx="4">
                  <c:v>252099.20000000001</c:v>
                </c:pt>
                <c:pt idx="5">
                  <c:v>106387.74</c:v>
                </c:pt>
              </c:numCache>
            </c:numRef>
          </c:val>
          <c:extLst>
            <c:ext xmlns:c16="http://schemas.microsoft.com/office/drawing/2014/chart" uri="{C3380CC4-5D6E-409C-BE32-E72D297353CC}">
              <c16:uniqueId val="{00000053-9AA1-4CAD-9A9A-4E0CE6BE010F}"/>
            </c:ext>
          </c:extLst>
        </c:ser>
        <c:ser>
          <c:idx val="40"/>
          <c:order val="18"/>
          <c:tx>
            <c:strRef>
              <c:f>'Country Analysis'!$T$3:$T$4</c:f>
              <c:strCache>
                <c:ptCount val="1"/>
                <c:pt idx="0">
                  <c:v>Raspberry Choco</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Analysis'!$T$5:$T$11</c:f>
              <c:numCache>
                <c:formatCode>General</c:formatCode>
                <c:ptCount val="6"/>
                <c:pt idx="0">
                  <c:v>169015.14</c:v>
                </c:pt>
                <c:pt idx="1">
                  <c:v>41308.060000000005</c:v>
                </c:pt>
                <c:pt idx="2">
                  <c:v>126311.03000000001</c:v>
                </c:pt>
                <c:pt idx="3">
                  <c:v>104449.00000000001</c:v>
                </c:pt>
                <c:pt idx="4">
                  <c:v>139177.54999999999</c:v>
                </c:pt>
                <c:pt idx="5">
                  <c:v>265127.63</c:v>
                </c:pt>
              </c:numCache>
            </c:numRef>
          </c:val>
          <c:extLst>
            <c:ext xmlns:c16="http://schemas.microsoft.com/office/drawing/2014/chart" uri="{C3380CC4-5D6E-409C-BE32-E72D297353CC}">
              <c16:uniqueId val="{00000054-9AA1-4CAD-9A9A-4E0CE6BE010F}"/>
            </c:ext>
          </c:extLst>
        </c:ser>
        <c:ser>
          <c:idx val="41"/>
          <c:order val="19"/>
          <c:tx>
            <c:strRef>
              <c:f>'Country Analysis'!$U$3:$U$4</c:f>
              <c:strCache>
                <c:ptCount val="1"/>
                <c:pt idx="0">
                  <c:v>Smooth Sliky Salty</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Analysis'!$U$5:$U$11</c:f>
              <c:numCache>
                <c:formatCode>General</c:formatCode>
                <c:ptCount val="6"/>
                <c:pt idx="0">
                  <c:v>145313.03999999998</c:v>
                </c:pt>
                <c:pt idx="1">
                  <c:v>218122.4</c:v>
                </c:pt>
                <c:pt idx="2">
                  <c:v>241770.37</c:v>
                </c:pt>
                <c:pt idx="3">
                  <c:v>125698.28999999996</c:v>
                </c:pt>
                <c:pt idx="4">
                  <c:v>244456.77000000002</c:v>
                </c:pt>
                <c:pt idx="5">
                  <c:v>144840.22</c:v>
                </c:pt>
              </c:numCache>
            </c:numRef>
          </c:val>
          <c:extLst>
            <c:ext xmlns:c16="http://schemas.microsoft.com/office/drawing/2014/chart" uri="{C3380CC4-5D6E-409C-BE32-E72D297353CC}">
              <c16:uniqueId val="{00000055-9AA1-4CAD-9A9A-4E0CE6BE010F}"/>
            </c:ext>
          </c:extLst>
        </c:ser>
        <c:ser>
          <c:idx val="42"/>
          <c:order val="20"/>
          <c:tx>
            <c:strRef>
              <c:f>'Country Analysis'!$V$3:$V$4</c:f>
              <c:strCache>
                <c:ptCount val="1"/>
                <c:pt idx="0">
                  <c:v>Spicy Special Slims</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Analysis'!$V$5:$V$11</c:f>
              <c:numCache>
                <c:formatCode>General</c:formatCode>
                <c:ptCount val="6"/>
                <c:pt idx="0">
                  <c:v>196749.39999999997</c:v>
                </c:pt>
                <c:pt idx="1">
                  <c:v>185301.81</c:v>
                </c:pt>
                <c:pt idx="2">
                  <c:v>240993.15999999992</c:v>
                </c:pt>
                <c:pt idx="3">
                  <c:v>115175.04000000001</c:v>
                </c:pt>
                <c:pt idx="4">
                  <c:v>118162.52999999998</c:v>
                </c:pt>
                <c:pt idx="5">
                  <c:v>81749.75</c:v>
                </c:pt>
              </c:numCache>
            </c:numRef>
          </c:val>
          <c:extLst>
            <c:ext xmlns:c16="http://schemas.microsoft.com/office/drawing/2014/chart" uri="{C3380CC4-5D6E-409C-BE32-E72D297353CC}">
              <c16:uniqueId val="{00000056-9AA1-4CAD-9A9A-4E0CE6BE010F}"/>
            </c:ext>
          </c:extLst>
        </c:ser>
        <c:ser>
          <c:idx val="43"/>
          <c:order val="21"/>
          <c:tx>
            <c:strRef>
              <c:f>'Country Analysis'!$W$3:$W$4</c:f>
              <c:strCache>
                <c:ptCount val="1"/>
                <c:pt idx="0">
                  <c:v>White Choc</c:v>
                </c:pt>
              </c:strCache>
            </c:strRef>
          </c:tx>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Analysis'!$W$5:$W$11</c:f>
              <c:numCache>
                <c:formatCode>General</c:formatCode>
                <c:ptCount val="6"/>
                <c:pt idx="0">
                  <c:v>184774.16</c:v>
                </c:pt>
                <c:pt idx="1">
                  <c:v>146589.87</c:v>
                </c:pt>
                <c:pt idx="2">
                  <c:v>103484.24999999999</c:v>
                </c:pt>
                <c:pt idx="3">
                  <c:v>185052.11999999997</c:v>
                </c:pt>
                <c:pt idx="4">
                  <c:v>216962.86</c:v>
                </c:pt>
                <c:pt idx="5">
                  <c:v>217393.74000000005</c:v>
                </c:pt>
              </c:numCache>
            </c:numRef>
          </c:val>
          <c:extLst>
            <c:ext xmlns:c16="http://schemas.microsoft.com/office/drawing/2014/chart" uri="{C3380CC4-5D6E-409C-BE32-E72D297353CC}">
              <c16:uniqueId val="{00000057-9AA1-4CAD-9A9A-4E0CE6BE010F}"/>
            </c:ext>
          </c:extLst>
        </c:ser>
        <c:dLbls>
          <c:showLegendKey val="0"/>
          <c:showVal val="0"/>
          <c:showCatName val="0"/>
          <c:showSerName val="0"/>
          <c:showPercent val="0"/>
          <c:showBubbleSize val="0"/>
        </c:dLbls>
        <c:gapWidth val="150"/>
        <c:overlap val="100"/>
        <c:axId val="674628456"/>
        <c:axId val="674630752"/>
      </c:barChart>
      <c:catAx>
        <c:axId val="67462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74630752"/>
        <c:crosses val="autoZero"/>
        <c:auto val="1"/>
        <c:lblAlgn val="ctr"/>
        <c:lblOffset val="100"/>
        <c:noMultiLvlLbl val="0"/>
      </c:catAx>
      <c:valAx>
        <c:axId val="67463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746284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showDLblsOverMax val="0"/>
    <c:extLst/>
  </c:chart>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[Chocolate^120Sales^120(2)(AutoRecovered).xlsx]Sales Dynamic!PivotTable4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'Sales Dynamic'!$B$3</c:f>
              <c:strCache>
                <c:ptCount val="1"/>
                <c:pt idx="0">
                  <c:v>Total</c:v>
                </c:pt>
              </c:strCache>
            </c:strRef>
          </c:tx>
          <c:invertIfNegative val="0"/>
          <c:cat>
            <c:strRef>
              <c:f>'Sales Dynamic'!$A$4:$A$12</c:f>
              <c:strCache>
                <c:ptCount val="8"/>
                <c:pt idx="0">
                  <c:v>January</c:v>
                </c:pt>
                <c:pt idx="1">
                  <c:v>February</c:v>
                </c:pt>
                <c:pt idx="2">
                  <c:v>March</c:v>
                </c:pt>
                <c:pt idx="3">
                  <c:v>April</c:v>
                </c:pt>
                <c:pt idx="4">
                  <c:v>May</c:v>
                </c:pt>
                <c:pt idx="5">
                  <c:v>June</c:v>
                </c:pt>
                <c:pt idx="6">
                  <c:v>July</c:v>
                </c:pt>
                <c:pt idx="7">
                  <c:v>August</c:v>
                </c:pt>
              </c:strCache>
            </c:strRef>
          </c:cat>
          <c:val>
            <c:numRef>
              <c:f>'Sales Dynamic'!$B$4:$B$12</c:f>
              <c:numCache>
                <c:formatCode>General</c:formatCode>
                <c:ptCount val="8"/>
                <c:pt idx="0">
                  <c:v>2868712.5899999961</c:v>
                </c:pt>
                <c:pt idx="1">
                  <c:v>2232096.9</c:v>
                </c:pt>
                <c:pt idx="2">
                  <c:v>2404769.2899999996</c:v>
                </c:pt>
                <c:pt idx="3">
                  <c:v>2161927.2200000011</c:v>
                </c:pt>
                <c:pt idx="4">
                  <c:v>2415750.5699999998</c:v>
                </c:pt>
                <c:pt idx="5">
                  <c:v>2773931.9400000009</c:v>
                </c:pt>
                <c:pt idx="6">
                  <c:v>2567532.2900000005</c:v>
                </c:pt>
                <c:pt idx="7">
                  <c:v>2366851.06</c:v>
                </c:pt>
              </c:numCache>
            </c:numRef>
          </c:val>
          <c:extLst>
            <c:ext xmlns:c16="http://schemas.microsoft.com/office/drawing/2014/chart" uri="{C3380CC4-5D6E-409C-BE32-E72D297353CC}">
              <c16:uniqueId val="{00000003-F476-40C9-9F4C-1B3E946C9571}"/>
            </c:ext>
          </c:extLst>
        </c:ser>
        <c:dLbls>
          <c:showLegendKey val="0"/>
          <c:showVal val="0"/>
          <c:showCatName val="0"/>
          <c:showSerName val="0"/>
          <c:showPercent val="0"/>
          <c:showBubbleSize val="0"/>
        </c:dLbls>
        <c:gapWidth val="219"/>
        <c:overlap val="-27"/>
        <c:axId val="454823440"/>
        <c:axId val="454823768"/>
      </c:barChart>
      <c:catAx>
        <c:axId val="45482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454823768"/>
        <c:crosses val="autoZero"/>
        <c:auto val="1"/>
        <c:lblAlgn val="ctr"/>
        <c:lblOffset val="100"/>
        <c:noMultiLvlLbl val="0"/>
      </c:catAx>
      <c:valAx>
        <c:axId val="454823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45482344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showDLblsOverMax val="0"/>
    <c:extLst/>
  </c:chart>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[Chocolate^120Sales^120(2)(AutoRecovered).xlsx]Moving Avg!PivotTable5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0"/>
          <c:tx>
            <c:strRef>
              <c:f>'Moving Avg'!$B$3</c:f>
              <c:strCache>
                <c:ptCount val="1"/>
                <c:pt idx="0">
                  <c:v>Total</c:v>
                </c:pt>
              </c:strCache>
            </c:strRef>
          </c:tx>
          <c:invertIfNegative val="0"/>
          <c:cat>
            <c:strRef>
              <c:f>'Moving Avg'!$A$4:$A$7</c:f>
              <c:strCache>
                <c:ptCount val="3"/>
                <c:pt idx="0">
                  <c:v>2022</c:v>
                </c:pt>
                <c:pt idx="1">
                  <c:v>2023</c:v>
                </c:pt>
                <c:pt idx="2">
                  <c:v>2024</c:v>
                </c:pt>
              </c:strCache>
            </c:strRef>
          </c:cat>
          <c:val>
            <c:numRef>
              <c:f>'Moving Avg'!$B$4:$B$7</c:f>
              <c:numCache>
                <c:formatCode>General</c:formatCode>
                <c:ptCount val="3"/>
                <c:pt idx="0">
                  <c:v>6183625</c:v>
                </c:pt>
                <c:pt idx="1">
                  <c:v>6643377.9599999972</c:v>
                </c:pt>
                <c:pt idx="2">
                  <c:v>6964568.8999999957</c:v>
                </c:pt>
              </c:numCache>
            </c:numRef>
          </c:val>
          <c:extLst>
            <c:ext xmlns:c16="http://schemas.microsoft.com/office/drawing/2014/chart" uri="{C3380CC4-5D6E-409C-BE32-E72D297353CC}">
              <c16:uniqueId val="{00000006-4988-4B47-B148-6EFC534B2439}"/>
            </c:ext>
          </c:extLst>
        </c:ser>
        <c:dLbls>
          <c:showLegendKey val="0"/>
          <c:showVal val="0"/>
          <c:showCatName val="0"/>
          <c:showSerName val="0"/>
          <c:showPercent val="0"/>
          <c:showBubbleSize val="0"/>
        </c:dLbls>
        <c:gapWidth val="219"/>
        <c:overlap val="-27"/>
        <c:axId val="317357744"/>
        <c:axId val="317359056"/>
      </c:barChart>
      <c:catAx>
        <c:axId val="31735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317359056"/>
        <c:crosses val="autoZero"/>
        <c:auto val="1"/>
        <c:lblAlgn val="ctr"/>
        <c:lblOffset val="100"/>
        <c:noMultiLvlLbl val="0"/>
      </c:catAx>
      <c:valAx>
        <c:axId val="3173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31735774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showDLblsOverMax val="0"/>
    <c:extLst/>
  </c:chart>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[Chocolate^120Sales^120(2)(AutoRecovered).xlsx]Top 5 Products!PivotTable6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'Top 5 Products'!$B$3</c:f>
              <c:strCache>
                <c:ptCount val="1"/>
                <c:pt idx="0">
                  <c:v>Total</c:v>
                </c:pt>
              </c:strCache>
            </c:strRef>
          </c:tx>
          <c:spPr>
            <a:solidFill>
              <a:schemeClr val="accent1"/>
            </a:solidFill>
            <a:ln>
              <a:noFill/>
            </a:ln>
            <a:effectLst/>
          </c:spPr>
          <c:invertIfNegative val="0"/>
          <c:cat>
            <c:strRef>
              <c:f>'Top 5 Products'!$A$4:$A$9</c:f>
              <c:strCache>
                <c:ptCount val="5"/>
                <c:pt idx="0">
                  <c:v>Eclairs</c:v>
                </c:pt>
                <c:pt idx="1">
                  <c:v>Peanut Butter Cubes</c:v>
                </c:pt>
                <c:pt idx="2">
                  <c:v>White Choc</c:v>
                </c:pt>
                <c:pt idx="3">
                  <c:v>50% Dark Bites</c:v>
                </c:pt>
                <c:pt idx="4">
                  <c:v>Smooth Sliky Salty</c:v>
                </c:pt>
              </c:strCache>
            </c:strRef>
          </c:cat>
          <c:val>
            <c:numRef>
              <c:f>'Top 5 Products'!$B$4:$B$9</c:f>
              <c:numCache>
                <c:formatCode>General</c:formatCode>
                <c:ptCount val="5"/>
                <c:pt idx="0">
                  <c:v>996947.96000000043</c:v>
                </c:pt>
                <c:pt idx="1">
                  <c:v>1036591.0900000002</c:v>
                </c:pt>
                <c:pt idx="2">
                  <c:v>1054257.0000000002</c:v>
                </c:pt>
                <c:pt idx="3">
                  <c:v>1087659.3499999992</c:v>
                </c:pt>
                <c:pt idx="4">
                  <c:v>1120201.0899999999</c:v>
                </c:pt>
              </c:numCache>
            </c:numRef>
          </c:val>
          <c:extLst>
            <c:ext xmlns:c16="http://schemas.microsoft.com/office/drawing/2014/chart" uri="{C3380CC4-5D6E-409C-BE32-E72D297353CC}">
              <c16:uniqueId val="{00000001-0814-40DB-806B-3FBFB2D9C3D6}"/>
            </c:ext>
          </c:extLst>
        </c:ser>
        <c:dLbls>
          <c:showLegendKey val="0"/>
          <c:showVal val="0"/>
          <c:showCatName val="0"/>
          <c:showSerName val="0"/>
          <c:showPercent val="0"/>
          <c:showBubbleSize val="0"/>
        </c:dLbls>
        <c:gapWidth val="182"/>
        <c:axId val="565158024"/>
        <c:axId val="565156056"/>
      </c:barChart>
      <c:catAx>
        <c:axId val="565158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5156056"/>
        <c:crosses val="autoZero"/>
        <c:auto val="1"/>
        <c:lblAlgn val="ctr"/>
        <c:lblOffset val="100"/>
        <c:noMultiLvlLbl val="0"/>
      </c:catAx>
      <c:valAx>
        <c:axId val="565156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515802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showDLblsOverMax val="0"/>
    <c:extLst/>
  </c:chart>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[Chocolate^120Sales^120(2)(AutoRecovered).xlsx]Sellers rate!PivotTable2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'Sellers rate'!$B$3</c:f>
              <c:strCache>
                <c:ptCount val="1"/>
                <c:pt idx="0">
                  <c:v>Total</c:v>
                </c:pt>
              </c:strCache>
            </c:strRef>
          </c:tx>
          <c:spPr>
            <a:solidFill>
              <a:schemeClr val="accent1"/>
            </a:solidFill>
            <a:ln>
              <a:noFill/>
            </a:ln>
            <a:effectLst/>
          </c:spPr>
          <c:invertIfNegative val="0"/>
          <c:cat>
            <c:strRef>
              <c:f>'Sellers rate'!$A$4:$A$9</c:f>
              <c:strCache>
                <c:ptCount val="5"/>
                <c:pt idx="0">
                  <c:v>Ches Bonnell</c:v>
                </c:pt>
                <c:pt idx="1">
                  <c:v>Oby Sorrel</c:v>
                </c:pt>
                <c:pt idx="2">
                  <c:v>Madelene Upcott</c:v>
                </c:pt>
                <c:pt idx="3">
                  <c:v>Kelci Walkden</c:v>
                </c:pt>
                <c:pt idx="4">
                  <c:v>Brien Boise</c:v>
                </c:pt>
              </c:strCache>
            </c:strRef>
          </c:cat>
          <c:val>
            <c:numRef>
              <c:f>'Sellers rate'!$B$4:$B$9</c:f>
              <c:numCache>
                <c:formatCode>General</c:formatCode>
                <c:ptCount val="5"/>
                <c:pt idx="0">
                  <c:v>1022599.9599999997</c:v>
                </c:pt>
                <c:pt idx="1">
                  <c:v>1017204.12</c:v>
                </c:pt>
                <c:pt idx="2">
                  <c:v>1010028.7199999996</c:v>
                </c:pt>
                <c:pt idx="3">
                  <c:v>1002929.0999999999</c:v>
                </c:pt>
                <c:pt idx="4">
                  <c:v>997326.48000000033</c:v>
                </c:pt>
              </c:numCache>
            </c:numRef>
          </c:val>
          <c:extLst>
            <c:ext xmlns:c16="http://schemas.microsoft.com/office/drawing/2014/chart" uri="{C3380CC4-5D6E-409C-BE32-E72D297353CC}">
              <c16:uniqueId val="{00000000-AF94-49FC-B2B4-62199A891046}"/>
            </c:ext>
          </c:extLst>
        </c:ser>
        <c:dLbls>
          <c:showLegendKey val="0"/>
          <c:showVal val="0"/>
          <c:showCatName val="0"/>
          <c:showSerName val="0"/>
          <c:showPercent val="0"/>
          <c:showBubbleSize val="0"/>
        </c:dLbls>
        <c:gapWidth val="219"/>
        <c:overlap val="-27"/>
        <c:axId val="455883776"/>
        <c:axId val="455884760"/>
      </c:barChart>
      <c:catAx>
        <c:axId val="4558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455884760"/>
        <c:crosses val="autoZero"/>
        <c:auto val="1"/>
        <c:lblAlgn val="ctr"/>
        <c:lblOffset val="100"/>
        <c:noMultiLvlLbl val="0"/>
      </c:catAx>
      <c:valAx>
        <c:axId val="455884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4558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[Chocolate^120Sales^120(2)(AutoRecovered).xlsx]Top 5 Products!PivotTable6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Products'!$B$3</c:f>
              <c:strCache>
                <c:ptCount val="1"/>
                <c:pt idx="0">
                  <c:v>Total</c:v>
                </c:pt>
              </c:strCache>
            </c:strRef>
          </c:tx>
          <c:spPr>
            <a:solidFill>
              <a:schemeClr val="accent1"/>
            </a:solidFill>
            <a:ln>
              <a:noFill/>
            </a:ln>
            <a:effectLst/>
          </c:spPr>
          <c:invertIfNegative val="0"/>
          <c:cat>
            <c:strRef>
              <c:f>'Top 5 Products'!$A$4:$A$9</c:f>
              <c:strCache>
                <c:ptCount val="5"/>
                <c:pt idx="0">
                  <c:v>Eclairs</c:v>
                </c:pt>
                <c:pt idx="1">
                  <c:v>Peanut Butter Cubes</c:v>
                </c:pt>
                <c:pt idx="2">
                  <c:v>White Choc</c:v>
                </c:pt>
                <c:pt idx="3">
                  <c:v>50% Dark Bites</c:v>
                </c:pt>
                <c:pt idx="4">
                  <c:v>Smooth Sliky Salty</c:v>
                </c:pt>
              </c:strCache>
            </c:strRef>
          </c:cat>
          <c:val>
            <c:numRef>
              <c:f>'Top 5 Products'!$B$4:$B$9</c:f>
              <c:numCache>
                <c:formatCode>General</c:formatCode>
                <c:ptCount val="5"/>
                <c:pt idx="0">
                  <c:v>996947.96000000043</c:v>
                </c:pt>
                <c:pt idx="1">
                  <c:v>1036591.0900000002</c:v>
                </c:pt>
                <c:pt idx="2">
                  <c:v>1054257.0000000002</c:v>
                </c:pt>
                <c:pt idx="3">
                  <c:v>1087659.3499999992</c:v>
                </c:pt>
                <c:pt idx="4">
                  <c:v>1120201.0899999999</c:v>
                </c:pt>
              </c:numCache>
            </c:numRef>
          </c:val>
          <c:extLst>
            <c:ext xmlns:c16="http://schemas.microsoft.com/office/drawing/2014/chart" uri="{C3380CC4-5D6E-409C-BE32-E72D297353CC}">
              <c16:uniqueId val="{00000000-19E3-4ED4-B1F4-A38482BB164A}"/>
            </c:ext>
          </c:extLst>
        </c:ser>
        <c:dLbls>
          <c:showLegendKey val="0"/>
          <c:showVal val="0"/>
          <c:showCatName val="0"/>
          <c:showSerName val="0"/>
          <c:showPercent val="0"/>
          <c:showBubbleSize val="0"/>
        </c:dLbls>
        <c:gapWidth val="182"/>
        <c:axId val="565158024"/>
        <c:axId val="565156056"/>
      </c:barChart>
      <c:catAx>
        <c:axId val="565158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5156056"/>
        <c:crosses val="autoZero"/>
        <c:auto val="1"/>
        <c:lblAlgn val="ctr"/>
        <c:lblOffset val="100"/>
        <c:noMultiLvlLbl val="0"/>
      </c:catAx>
      <c:valAx>
        <c:axId val="565156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565158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[Chocolate^120Sales^120(2)(AutoRecovered).xlsx]Moving Avg!PivotTable5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'Moving Avg'!$B$3</c:f>
              <c:strCache>
                <c:ptCount val="1"/>
                <c:pt idx="0">
                  <c:v>Total</c:v>
                </c:pt>
              </c:strCache>
            </c:strRef>
          </c:tx>
          <c:spPr>
            <a:solidFill>
              <a:schemeClr val="accent1"/>
            </a:solidFill>
            <a:ln>
              <a:noFill/>
            </a:ln>
            <a:effectLst/>
          </c:spPr>
          <c:invertIfNegative val="0"/>
          <c:trendline>
            <c:name>3</c:name>
            <c:spPr>
              <a:ln w="19050" cap="rnd">
                <a:solidFill>
                  <a:schemeClr val="accent1"/>
                </a:solidFill>
                <a:prstDash val="sysDot"/>
              </a:ln>
              <a:effectLst/>
            </c:spPr>
            <c:trendlineType val="movingAvg"/>
            <c:period val="2"/>
            <c:dispRSqr val="0"/>
            <c:dispEq val="0"/>
          </c:trendline>
          <c:cat>
            <c:strRef>
              <c:f>'Moving Avg'!$A$4:$A$7</c:f>
              <c:strCache>
                <c:ptCount val="3"/>
                <c:pt idx="0">
                  <c:v>2022</c:v>
                </c:pt>
                <c:pt idx="1">
                  <c:v>2023</c:v>
                </c:pt>
                <c:pt idx="2">
                  <c:v>2024</c:v>
                </c:pt>
              </c:strCache>
            </c:strRef>
          </c:cat>
          <c:val>
            <c:numRef>
              <c:f>'Moving Avg'!$B$4:$B$7</c:f>
              <c:numCache>
                <c:formatCode>General</c:formatCode>
                <c:ptCount val="3"/>
                <c:pt idx="0">
                  <c:v>6183625</c:v>
                </c:pt>
                <c:pt idx="1">
                  <c:v>6643377.9599999972</c:v>
                </c:pt>
                <c:pt idx="2">
                  <c:v>6964568.8999999957</c:v>
                </c:pt>
              </c:numCache>
            </c:numRef>
          </c:val>
          <c:extLst>
            <c:ext xmlns:c16="http://schemas.microsoft.com/office/drawing/2014/chart" uri="{C3380CC4-5D6E-409C-BE32-E72D297353CC}">
              <c16:uniqueId val="{00000000-09FA-431D-BA90-8B4BB1DD5B43}"/>
            </c:ext>
          </c:extLst>
        </c:ser>
        <c:dLbls>
          <c:showLegendKey val="0"/>
          <c:showVal val="0"/>
          <c:showCatName val="0"/>
          <c:showSerName val="0"/>
          <c:showPercent val="0"/>
          <c:showBubbleSize val="0"/>
        </c:dLbls>
        <c:gapWidth val="219"/>
        <c:overlap val="-27"/>
        <c:axId val="317357744"/>
        <c:axId val="317359056"/>
      </c:barChart>
      <c:catAx>
        <c:axId val="31735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317359056"/>
        <c:crosses val="autoZero"/>
        <c:auto val="1"/>
        <c:lblAlgn val="ctr"/>
        <c:lblOffset val="100"/>
        <c:noMultiLvlLbl val="0"/>
      </c:catAx>
      <c:valAx>
        <c:axId val="31735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31735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[Chocolate^120Sales^120(2)(AutoRecovered).xlsx]Country Analysis!PivotTable7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 Analysis'!$B$3:$B$4</c:f>
              <c:strCache>
                <c:ptCount val="1"/>
                <c:pt idx="0">
                  <c:v>50% Dark Bites</c:v>
                </c:pt>
              </c:strCache>
            </c:strRef>
          </c:tx>
          <c:spPr>
            <a:solidFill>
              <a:schemeClr val="accent1"/>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Analysis'!$B$5:$B$11</c:f>
              <c:numCache>
                <c:formatCode>General</c:formatCode>
                <c:ptCount val="6"/>
                <c:pt idx="0">
                  <c:v>280066.82</c:v>
                </c:pt>
                <c:pt idx="1">
                  <c:v>141804.26999999996</c:v>
                </c:pt>
                <c:pt idx="2">
                  <c:v>206943.76</c:v>
                </c:pt>
                <c:pt idx="3">
                  <c:v>114195.93999999999</c:v>
                </c:pt>
                <c:pt idx="4">
                  <c:v>160112.11999999997</c:v>
                </c:pt>
                <c:pt idx="5">
                  <c:v>184536.44000000006</c:v>
                </c:pt>
              </c:numCache>
            </c:numRef>
          </c:val>
          <c:extLst>
            <c:ext xmlns:c16="http://schemas.microsoft.com/office/drawing/2014/chart" uri="{C3380CC4-5D6E-409C-BE32-E72D297353CC}">
              <c16:uniqueId val="{00000000-080D-4DA6-B0BF-B5243F1BAD0C}"/>
            </c:ext>
          </c:extLst>
        </c:ser>
        <c:ser>
          <c:idx val="1"/>
          <c:order val="1"/>
          <c:tx>
            <c:strRef>
              <c:f>'Country Analysis'!$C$3:$C$4</c:f>
              <c:strCache>
                <c:ptCount val="1"/>
                <c:pt idx="0">
                  <c:v>70% Dark Bites</c:v>
                </c:pt>
              </c:strCache>
            </c:strRef>
          </c:tx>
          <c:spPr>
            <a:solidFill>
              <a:schemeClr val="accent2"/>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Analysis'!$C$5:$C$11</c:f>
              <c:numCache>
                <c:formatCode>General</c:formatCode>
                <c:ptCount val="6"/>
                <c:pt idx="0">
                  <c:v>127540.45999999998</c:v>
                </c:pt>
                <c:pt idx="1">
                  <c:v>189698.50999999995</c:v>
                </c:pt>
                <c:pt idx="2">
                  <c:v>110588.32</c:v>
                </c:pt>
                <c:pt idx="3">
                  <c:v>116637.66000000002</c:v>
                </c:pt>
                <c:pt idx="4">
                  <c:v>66751.89</c:v>
                </c:pt>
                <c:pt idx="5">
                  <c:v>66129.38</c:v>
                </c:pt>
              </c:numCache>
            </c:numRef>
          </c:val>
          <c:extLst>
            <c:ext xmlns:c16="http://schemas.microsoft.com/office/drawing/2014/chart" uri="{C3380CC4-5D6E-409C-BE32-E72D297353CC}">
              <c16:uniqueId val="{00000001-080D-4DA6-B0BF-B5243F1BAD0C}"/>
            </c:ext>
          </c:extLst>
        </c:ser>
        <c:ser>
          <c:idx val="2"/>
          <c:order val="2"/>
          <c:tx>
            <c:strRef>
              <c:f>'Country Analysis'!$D$3:$D$4</c:f>
              <c:strCache>
                <c:ptCount val="1"/>
                <c:pt idx="0">
                  <c:v>85% Dark Bars</c:v>
                </c:pt>
              </c:strCache>
            </c:strRef>
          </c:tx>
          <c:spPr>
            <a:solidFill>
              <a:schemeClr val="accent3"/>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Analysis'!$D$5:$D$11</c:f>
              <c:numCache>
                <c:formatCode>General</c:formatCode>
                <c:ptCount val="6"/>
                <c:pt idx="0">
                  <c:v>123398.33000000002</c:v>
                </c:pt>
                <c:pt idx="1">
                  <c:v>120293.78</c:v>
                </c:pt>
                <c:pt idx="2">
                  <c:v>179605.93999999997</c:v>
                </c:pt>
                <c:pt idx="3">
                  <c:v>215881.58000000002</c:v>
                </c:pt>
                <c:pt idx="4">
                  <c:v>132181.76000000001</c:v>
                </c:pt>
                <c:pt idx="5">
                  <c:v>183906.85</c:v>
                </c:pt>
              </c:numCache>
            </c:numRef>
          </c:val>
          <c:extLst>
            <c:ext xmlns:c16="http://schemas.microsoft.com/office/drawing/2014/chart" uri="{C3380CC4-5D6E-409C-BE32-E72D297353CC}">
              <c16:uniqueId val="{00000002-080D-4DA6-B0BF-B5243F1BAD0C}"/>
            </c:ext>
          </c:extLst>
        </c:ser>
        <c:ser>
          <c:idx val="3"/>
          <c:order val="3"/>
          <c:tx>
            <c:strRef>
              <c:f>'Country Analysis'!$E$3:$E$4</c:f>
              <c:strCache>
                <c:ptCount val="1"/>
                <c:pt idx="0">
                  <c:v>99% Dark &amp; Pure</c:v>
                </c:pt>
              </c:strCache>
            </c:strRef>
          </c:tx>
          <c:spPr>
            <a:solidFill>
              <a:schemeClr val="accent4"/>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Analysis'!$E$5:$E$11</c:f>
              <c:numCache>
                <c:formatCode>General</c:formatCode>
                <c:ptCount val="6"/>
                <c:pt idx="0">
                  <c:v>176247.62</c:v>
                </c:pt>
                <c:pt idx="1">
                  <c:v>140413.72</c:v>
                </c:pt>
                <c:pt idx="2">
                  <c:v>135933.68</c:v>
                </c:pt>
                <c:pt idx="3">
                  <c:v>104141.19</c:v>
                </c:pt>
                <c:pt idx="4">
                  <c:v>251626.82000000007</c:v>
                </c:pt>
                <c:pt idx="5">
                  <c:v>151670.41999999998</c:v>
                </c:pt>
              </c:numCache>
            </c:numRef>
          </c:val>
          <c:extLst>
            <c:ext xmlns:c16="http://schemas.microsoft.com/office/drawing/2014/chart" uri="{C3380CC4-5D6E-409C-BE32-E72D297353CC}">
              <c16:uniqueId val="{00000003-080D-4DA6-B0BF-B5243F1BAD0C}"/>
            </c:ext>
          </c:extLst>
        </c:ser>
        <c:ser>
          <c:idx val="4"/>
          <c:order val="4"/>
          <c:tx>
            <c:strRef>
              <c:f>'Country Analysis'!$F$3:$F$4</c:f>
              <c:strCache>
                <c:ptCount val="1"/>
                <c:pt idx="0">
                  <c:v>After Nines</c:v>
                </c:pt>
              </c:strCache>
            </c:strRef>
          </c:tx>
          <c:spPr>
            <a:solidFill>
              <a:schemeClr val="accent5"/>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Analysis'!$F$5:$F$11</c:f>
              <c:numCache>
                <c:formatCode>General</c:formatCode>
                <c:ptCount val="6"/>
                <c:pt idx="0">
                  <c:v>89658.710000000021</c:v>
                </c:pt>
                <c:pt idx="1">
                  <c:v>134870.95000000001</c:v>
                </c:pt>
                <c:pt idx="2">
                  <c:v>187638.02</c:v>
                </c:pt>
                <c:pt idx="3">
                  <c:v>177409.92999999996</c:v>
                </c:pt>
                <c:pt idx="4">
                  <c:v>109266.08</c:v>
                </c:pt>
                <c:pt idx="5">
                  <c:v>138371.97999999998</c:v>
                </c:pt>
              </c:numCache>
            </c:numRef>
          </c:val>
          <c:extLst>
            <c:ext xmlns:c16="http://schemas.microsoft.com/office/drawing/2014/chart" uri="{C3380CC4-5D6E-409C-BE32-E72D297353CC}">
              <c16:uniqueId val="{00000004-080D-4DA6-B0BF-B5243F1BAD0C}"/>
            </c:ext>
          </c:extLst>
        </c:ser>
        <c:ser>
          <c:idx val="5"/>
          <c:order val="5"/>
          <c:tx>
            <c:strRef>
              <c:f>'Country Analysis'!$G$3:$G$4</c:f>
              <c:strCache>
                <c:ptCount val="1"/>
                <c:pt idx="0">
                  <c:v>Almond Choco</c:v>
                </c:pt>
              </c:strCache>
            </c:strRef>
          </c:tx>
          <c:spPr>
            <a:solidFill>
              <a:schemeClr val="accent6"/>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Analysis'!$G$5:$G$11</c:f>
              <c:numCache>
                <c:formatCode>General</c:formatCode>
                <c:ptCount val="6"/>
                <c:pt idx="0">
                  <c:v>150814</c:v>
                </c:pt>
                <c:pt idx="1">
                  <c:v>135514.43000000002</c:v>
                </c:pt>
                <c:pt idx="2">
                  <c:v>163100.6</c:v>
                </c:pt>
                <c:pt idx="3">
                  <c:v>93512.63</c:v>
                </c:pt>
                <c:pt idx="4">
                  <c:v>190853.25000000006</c:v>
                </c:pt>
                <c:pt idx="5">
                  <c:v>156659.74000000002</c:v>
                </c:pt>
              </c:numCache>
            </c:numRef>
          </c:val>
          <c:extLst>
            <c:ext xmlns:c16="http://schemas.microsoft.com/office/drawing/2014/chart" uri="{C3380CC4-5D6E-409C-BE32-E72D297353CC}">
              <c16:uniqueId val="{00000005-080D-4DA6-B0BF-B5243F1BAD0C}"/>
            </c:ext>
          </c:extLst>
        </c:ser>
        <c:ser>
          <c:idx val="6"/>
          <c:order val="6"/>
          <c:tx>
            <c:strRef>
              <c:f>'Country Analysis'!$H$3:$H$4</c:f>
              <c:strCache>
                <c:ptCount val="1"/>
                <c:pt idx="0">
                  <c:v>Baker's Choco Chips</c:v>
                </c:pt>
              </c:strCache>
            </c:strRef>
          </c:tx>
          <c:spPr>
            <a:solidFill>
              <a:schemeClr val="accent1">
                <a:lumMod val="6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Analysis'!$H$5:$H$11</c:f>
              <c:numCache>
                <c:formatCode>General</c:formatCode>
                <c:ptCount val="6"/>
                <c:pt idx="0">
                  <c:v>185739.43999999994</c:v>
                </c:pt>
                <c:pt idx="1">
                  <c:v>116561.38</c:v>
                </c:pt>
                <c:pt idx="2">
                  <c:v>88893.04</c:v>
                </c:pt>
                <c:pt idx="3">
                  <c:v>146569.54</c:v>
                </c:pt>
                <c:pt idx="4">
                  <c:v>125906.45999999996</c:v>
                </c:pt>
                <c:pt idx="5">
                  <c:v>135415.81</c:v>
                </c:pt>
              </c:numCache>
            </c:numRef>
          </c:val>
          <c:extLst>
            <c:ext xmlns:c16="http://schemas.microsoft.com/office/drawing/2014/chart" uri="{C3380CC4-5D6E-409C-BE32-E72D297353CC}">
              <c16:uniqueId val="{00000006-080D-4DA6-B0BF-B5243F1BAD0C}"/>
            </c:ext>
          </c:extLst>
        </c:ser>
        <c:ser>
          <c:idx val="7"/>
          <c:order val="7"/>
          <c:tx>
            <c:strRef>
              <c:f>'Country Analysis'!$I$3:$I$4</c:f>
              <c:strCache>
                <c:ptCount val="1"/>
                <c:pt idx="0">
                  <c:v>Caramel Stuffed Bars</c:v>
                </c:pt>
              </c:strCache>
            </c:strRef>
          </c:tx>
          <c:spPr>
            <a:solidFill>
              <a:schemeClr val="accent2">
                <a:lumMod val="6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Analysis'!$I$5:$I$11</c:f>
              <c:numCache>
                <c:formatCode>General</c:formatCode>
                <c:ptCount val="6"/>
                <c:pt idx="0">
                  <c:v>128775.09000000001</c:v>
                </c:pt>
                <c:pt idx="1">
                  <c:v>106229.98</c:v>
                </c:pt>
                <c:pt idx="2">
                  <c:v>114265.09999999999</c:v>
                </c:pt>
                <c:pt idx="3">
                  <c:v>109660.73000000001</c:v>
                </c:pt>
                <c:pt idx="4">
                  <c:v>163661.34999999998</c:v>
                </c:pt>
                <c:pt idx="5">
                  <c:v>119923.9</c:v>
                </c:pt>
              </c:numCache>
            </c:numRef>
          </c:val>
          <c:extLst>
            <c:ext xmlns:c16="http://schemas.microsoft.com/office/drawing/2014/chart" uri="{C3380CC4-5D6E-409C-BE32-E72D297353CC}">
              <c16:uniqueId val="{00000007-080D-4DA6-B0BF-B5243F1BAD0C}"/>
            </c:ext>
          </c:extLst>
        </c:ser>
        <c:ser>
          <c:idx val="8"/>
          <c:order val="8"/>
          <c:tx>
            <c:strRef>
              <c:f>'Country Analysis'!$J$3:$J$4</c:f>
              <c:strCache>
                <c:ptCount val="1"/>
                <c:pt idx="0">
                  <c:v>Choco Coated Almonds</c:v>
                </c:pt>
              </c:strCache>
            </c:strRef>
          </c:tx>
          <c:spPr>
            <a:solidFill>
              <a:schemeClr val="accent3">
                <a:lumMod val="6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Analysis'!$J$5:$J$11</c:f>
              <c:numCache>
                <c:formatCode>General</c:formatCode>
                <c:ptCount val="6"/>
                <c:pt idx="0">
                  <c:v>119163.18999999999</c:v>
                </c:pt>
                <c:pt idx="1">
                  <c:v>183459.19</c:v>
                </c:pt>
                <c:pt idx="2">
                  <c:v>89730.06</c:v>
                </c:pt>
                <c:pt idx="3">
                  <c:v>66397.55</c:v>
                </c:pt>
                <c:pt idx="4">
                  <c:v>181114.14</c:v>
                </c:pt>
                <c:pt idx="5">
                  <c:v>133198.78000000003</c:v>
                </c:pt>
              </c:numCache>
            </c:numRef>
          </c:val>
          <c:extLst>
            <c:ext xmlns:c16="http://schemas.microsoft.com/office/drawing/2014/chart" uri="{C3380CC4-5D6E-409C-BE32-E72D297353CC}">
              <c16:uniqueId val="{00000008-080D-4DA6-B0BF-B5243F1BAD0C}"/>
            </c:ext>
          </c:extLst>
        </c:ser>
        <c:ser>
          <c:idx val="9"/>
          <c:order val="9"/>
          <c:tx>
            <c:strRef>
              <c:f>'Country Analysis'!$K$3:$K$4</c:f>
              <c:strCache>
                <c:ptCount val="1"/>
                <c:pt idx="0">
                  <c:v>Drinking Coco</c:v>
                </c:pt>
              </c:strCache>
            </c:strRef>
          </c:tx>
          <c:spPr>
            <a:solidFill>
              <a:schemeClr val="accent4">
                <a:lumMod val="6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Analysis'!$K$5:$K$11</c:f>
              <c:numCache>
                <c:formatCode>General</c:formatCode>
                <c:ptCount val="6"/>
                <c:pt idx="0">
                  <c:v>165478.55999999997</c:v>
                </c:pt>
                <c:pt idx="1">
                  <c:v>153041.34000000003</c:v>
                </c:pt>
                <c:pt idx="2">
                  <c:v>148303.51</c:v>
                </c:pt>
                <c:pt idx="3">
                  <c:v>101281.46999999999</c:v>
                </c:pt>
                <c:pt idx="4">
                  <c:v>131735.22</c:v>
                </c:pt>
                <c:pt idx="5">
                  <c:v>122405.47</c:v>
                </c:pt>
              </c:numCache>
            </c:numRef>
          </c:val>
          <c:extLst>
            <c:ext xmlns:c16="http://schemas.microsoft.com/office/drawing/2014/chart" uri="{C3380CC4-5D6E-409C-BE32-E72D297353CC}">
              <c16:uniqueId val="{00000009-080D-4DA6-B0BF-B5243F1BAD0C}"/>
            </c:ext>
          </c:extLst>
        </c:ser>
        <c:ser>
          <c:idx val="10"/>
          <c:order val="10"/>
          <c:tx>
            <c:strRef>
              <c:f>'Country Analysis'!$L$3:$L$4</c:f>
              <c:strCache>
                <c:ptCount val="1"/>
                <c:pt idx="0">
                  <c:v>Eclairs</c:v>
                </c:pt>
              </c:strCache>
            </c:strRef>
          </c:tx>
          <c:spPr>
            <a:solidFill>
              <a:schemeClr val="accent5">
                <a:lumMod val="6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Analysis'!$L$5:$L$11</c:f>
              <c:numCache>
                <c:formatCode>General</c:formatCode>
                <c:ptCount val="6"/>
                <c:pt idx="0">
                  <c:v>208469.73</c:v>
                </c:pt>
                <c:pt idx="1">
                  <c:v>77787.02</c:v>
                </c:pt>
                <c:pt idx="2">
                  <c:v>252107.53999999995</c:v>
                </c:pt>
                <c:pt idx="3">
                  <c:v>190830.28000000003</c:v>
                </c:pt>
                <c:pt idx="4">
                  <c:v>124547.98999999999</c:v>
                </c:pt>
                <c:pt idx="5">
                  <c:v>143205.4</c:v>
                </c:pt>
              </c:numCache>
            </c:numRef>
          </c:val>
          <c:extLst>
            <c:ext xmlns:c16="http://schemas.microsoft.com/office/drawing/2014/chart" uri="{C3380CC4-5D6E-409C-BE32-E72D297353CC}">
              <c16:uniqueId val="{0000000A-080D-4DA6-B0BF-B5243F1BAD0C}"/>
            </c:ext>
          </c:extLst>
        </c:ser>
        <c:ser>
          <c:idx val="11"/>
          <c:order val="11"/>
          <c:tx>
            <c:strRef>
              <c:f>'Country Analysis'!$M$3:$M$4</c:f>
              <c:strCache>
                <c:ptCount val="1"/>
                <c:pt idx="0">
                  <c:v>Fruit &amp; Nut Bars</c:v>
                </c:pt>
              </c:strCache>
            </c:strRef>
          </c:tx>
          <c:spPr>
            <a:solidFill>
              <a:schemeClr val="accent6">
                <a:lumMod val="6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Analysis'!$M$5:$M$11</c:f>
              <c:numCache>
                <c:formatCode>General</c:formatCode>
                <c:ptCount val="6"/>
                <c:pt idx="0">
                  <c:v>167568.73999999996</c:v>
                </c:pt>
                <c:pt idx="1">
                  <c:v>159492.52999999997</c:v>
                </c:pt>
                <c:pt idx="2">
                  <c:v>58842.21</c:v>
                </c:pt>
                <c:pt idx="3">
                  <c:v>150992.70000000001</c:v>
                </c:pt>
                <c:pt idx="4">
                  <c:v>137068.31</c:v>
                </c:pt>
                <c:pt idx="5">
                  <c:v>155314.47000000003</c:v>
                </c:pt>
              </c:numCache>
            </c:numRef>
          </c:val>
          <c:extLst>
            <c:ext xmlns:c16="http://schemas.microsoft.com/office/drawing/2014/chart" uri="{C3380CC4-5D6E-409C-BE32-E72D297353CC}">
              <c16:uniqueId val="{0000000B-080D-4DA6-B0BF-B5243F1BAD0C}"/>
            </c:ext>
          </c:extLst>
        </c:ser>
        <c:ser>
          <c:idx val="12"/>
          <c:order val="12"/>
          <c:tx>
            <c:strRef>
              <c:f>'Country Analysis'!$N$3:$N$4</c:f>
              <c:strCache>
                <c:ptCount val="1"/>
                <c:pt idx="0">
                  <c:v>Manuka Honey Choco</c:v>
                </c:pt>
              </c:strCache>
            </c:strRef>
          </c:tx>
          <c:spPr>
            <a:solidFill>
              <a:schemeClr val="accent1">
                <a:lumMod val="80000"/>
                <a:lumOff val="2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Analysis'!$N$5:$N$11</c:f>
              <c:numCache>
                <c:formatCode>General</c:formatCode>
                <c:ptCount val="6"/>
                <c:pt idx="0">
                  <c:v>149820.03</c:v>
                </c:pt>
                <c:pt idx="1">
                  <c:v>161162.28</c:v>
                </c:pt>
                <c:pt idx="2">
                  <c:v>60325.229999999996</c:v>
                </c:pt>
                <c:pt idx="3">
                  <c:v>161257.90999999997</c:v>
                </c:pt>
                <c:pt idx="4">
                  <c:v>136823.15999999997</c:v>
                </c:pt>
                <c:pt idx="5">
                  <c:v>215819.42000000004</c:v>
                </c:pt>
              </c:numCache>
            </c:numRef>
          </c:val>
          <c:extLst>
            <c:ext xmlns:c16="http://schemas.microsoft.com/office/drawing/2014/chart" uri="{C3380CC4-5D6E-409C-BE32-E72D297353CC}">
              <c16:uniqueId val="{0000000C-080D-4DA6-B0BF-B5243F1BAD0C}"/>
            </c:ext>
          </c:extLst>
        </c:ser>
        <c:ser>
          <c:idx val="13"/>
          <c:order val="13"/>
          <c:tx>
            <c:strRef>
              <c:f>'Country Analysis'!$O$3:$O$4</c:f>
              <c:strCache>
                <c:ptCount val="1"/>
                <c:pt idx="0">
                  <c:v>Milk Bars</c:v>
                </c:pt>
              </c:strCache>
            </c:strRef>
          </c:tx>
          <c:spPr>
            <a:solidFill>
              <a:schemeClr val="accent2">
                <a:lumMod val="80000"/>
                <a:lumOff val="2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Analysis'!$O$5:$O$11</c:f>
              <c:numCache>
                <c:formatCode>General</c:formatCode>
                <c:ptCount val="6"/>
                <c:pt idx="0">
                  <c:v>197947.30000000005</c:v>
                </c:pt>
                <c:pt idx="1">
                  <c:v>134345.75</c:v>
                </c:pt>
                <c:pt idx="2">
                  <c:v>77299.400000000009</c:v>
                </c:pt>
                <c:pt idx="3">
                  <c:v>117687.41999999998</c:v>
                </c:pt>
                <c:pt idx="4">
                  <c:v>185300.82999999996</c:v>
                </c:pt>
                <c:pt idx="5">
                  <c:v>153692.91999999998</c:v>
                </c:pt>
              </c:numCache>
            </c:numRef>
          </c:val>
          <c:extLst>
            <c:ext xmlns:c16="http://schemas.microsoft.com/office/drawing/2014/chart" uri="{C3380CC4-5D6E-409C-BE32-E72D297353CC}">
              <c16:uniqueId val="{0000000D-080D-4DA6-B0BF-B5243F1BAD0C}"/>
            </c:ext>
          </c:extLst>
        </c:ser>
        <c:ser>
          <c:idx val="14"/>
          <c:order val="14"/>
          <c:tx>
            <c:strRef>
              <c:f>'Country Analysis'!$P$3:$P$4</c:f>
              <c:strCache>
                <c:ptCount val="1"/>
                <c:pt idx="0">
                  <c:v>Mint Chip Choco</c:v>
                </c:pt>
              </c:strCache>
            </c:strRef>
          </c:tx>
          <c:spPr>
            <a:solidFill>
              <a:schemeClr val="accent3">
                <a:lumMod val="80000"/>
                <a:lumOff val="2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Analysis'!$P$5:$P$11</c:f>
              <c:numCache>
                <c:formatCode>General</c:formatCode>
                <c:ptCount val="6"/>
                <c:pt idx="0">
                  <c:v>160465.4</c:v>
                </c:pt>
                <c:pt idx="1">
                  <c:v>49971.85</c:v>
                </c:pt>
                <c:pt idx="2">
                  <c:v>217420.06000000006</c:v>
                </c:pt>
                <c:pt idx="3">
                  <c:v>277979.24999999994</c:v>
                </c:pt>
                <c:pt idx="4">
                  <c:v>81764.819999999992</c:v>
                </c:pt>
                <c:pt idx="5">
                  <c:v>117388.16999999998</c:v>
                </c:pt>
              </c:numCache>
            </c:numRef>
          </c:val>
          <c:extLst>
            <c:ext xmlns:c16="http://schemas.microsoft.com/office/drawing/2014/chart" uri="{C3380CC4-5D6E-409C-BE32-E72D297353CC}">
              <c16:uniqueId val="{0000000E-080D-4DA6-B0BF-B5243F1BAD0C}"/>
            </c:ext>
          </c:extLst>
        </c:ser>
        <c:ser>
          <c:idx val="15"/>
          <c:order val="15"/>
          <c:tx>
            <c:strRef>
              <c:f>'Country Analysis'!$Q$3:$Q$4</c:f>
              <c:strCache>
                <c:ptCount val="1"/>
                <c:pt idx="0">
                  <c:v>Orange Choco</c:v>
                </c:pt>
              </c:strCache>
            </c:strRef>
          </c:tx>
          <c:spPr>
            <a:solidFill>
              <a:schemeClr val="accent4">
                <a:lumMod val="80000"/>
                <a:lumOff val="2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Analysis'!$Q$5:$Q$11</c:f>
              <c:numCache>
                <c:formatCode>General</c:formatCode>
                <c:ptCount val="6"/>
                <c:pt idx="0">
                  <c:v>191433.98999999996</c:v>
                </c:pt>
                <c:pt idx="1">
                  <c:v>164970.88999999998</c:v>
                </c:pt>
                <c:pt idx="2">
                  <c:v>75316.74000000002</c:v>
                </c:pt>
                <c:pt idx="3">
                  <c:v>100236.41000000002</c:v>
                </c:pt>
                <c:pt idx="4">
                  <c:v>134820.93000000002</c:v>
                </c:pt>
                <c:pt idx="5">
                  <c:v>157291.89000000001</c:v>
                </c:pt>
              </c:numCache>
            </c:numRef>
          </c:val>
          <c:extLst>
            <c:ext xmlns:c16="http://schemas.microsoft.com/office/drawing/2014/chart" uri="{C3380CC4-5D6E-409C-BE32-E72D297353CC}">
              <c16:uniqueId val="{0000000F-080D-4DA6-B0BF-B5243F1BAD0C}"/>
            </c:ext>
          </c:extLst>
        </c:ser>
        <c:ser>
          <c:idx val="16"/>
          <c:order val="16"/>
          <c:tx>
            <c:strRef>
              <c:f>'Country Analysis'!$R$3:$R$4</c:f>
              <c:strCache>
                <c:ptCount val="1"/>
                <c:pt idx="0">
                  <c:v>Organic Choco Syrup</c:v>
                </c:pt>
              </c:strCache>
            </c:strRef>
          </c:tx>
          <c:spPr>
            <a:solidFill>
              <a:schemeClr val="accent5">
                <a:lumMod val="80000"/>
                <a:lumOff val="2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Analysis'!$R$5:$R$11</c:f>
              <c:numCache>
                <c:formatCode>General</c:formatCode>
                <c:ptCount val="6"/>
                <c:pt idx="0">
                  <c:v>196655.35</c:v>
                </c:pt>
                <c:pt idx="1">
                  <c:v>117843.72000000003</c:v>
                </c:pt>
                <c:pt idx="2">
                  <c:v>217251.03</c:v>
                </c:pt>
                <c:pt idx="3">
                  <c:v>169172.80000000002</c:v>
                </c:pt>
                <c:pt idx="4">
                  <c:v>80994.860000000015</c:v>
                </c:pt>
                <c:pt idx="5">
                  <c:v>163427.96999999994</c:v>
                </c:pt>
              </c:numCache>
            </c:numRef>
          </c:val>
          <c:extLst>
            <c:ext xmlns:c16="http://schemas.microsoft.com/office/drawing/2014/chart" uri="{C3380CC4-5D6E-409C-BE32-E72D297353CC}">
              <c16:uniqueId val="{00000010-080D-4DA6-B0BF-B5243F1BAD0C}"/>
            </c:ext>
          </c:extLst>
        </c:ser>
        <c:ser>
          <c:idx val="17"/>
          <c:order val="17"/>
          <c:tx>
            <c:strRef>
              <c:f>'Country Analysis'!$S$3:$S$4</c:f>
              <c:strCache>
                <c:ptCount val="1"/>
                <c:pt idx="0">
                  <c:v>Peanut Butter Cubes</c:v>
                </c:pt>
              </c:strCache>
            </c:strRef>
          </c:tx>
          <c:spPr>
            <a:solidFill>
              <a:schemeClr val="accent6">
                <a:lumMod val="80000"/>
                <a:lumOff val="2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Analysis'!$S$5:$S$11</c:f>
              <c:numCache>
                <c:formatCode>General</c:formatCode>
                <c:ptCount val="6"/>
                <c:pt idx="0">
                  <c:v>131349.85</c:v>
                </c:pt>
                <c:pt idx="1">
                  <c:v>199711.91999999998</c:v>
                </c:pt>
                <c:pt idx="2">
                  <c:v>247607.77999999994</c:v>
                </c:pt>
                <c:pt idx="3">
                  <c:v>99434.599999999991</c:v>
                </c:pt>
                <c:pt idx="4">
                  <c:v>252099.20000000001</c:v>
                </c:pt>
                <c:pt idx="5">
                  <c:v>106387.74</c:v>
                </c:pt>
              </c:numCache>
            </c:numRef>
          </c:val>
          <c:extLst>
            <c:ext xmlns:c16="http://schemas.microsoft.com/office/drawing/2014/chart" uri="{C3380CC4-5D6E-409C-BE32-E72D297353CC}">
              <c16:uniqueId val="{00000011-080D-4DA6-B0BF-B5243F1BAD0C}"/>
            </c:ext>
          </c:extLst>
        </c:ser>
        <c:ser>
          <c:idx val="18"/>
          <c:order val="18"/>
          <c:tx>
            <c:strRef>
              <c:f>'Country Analysis'!$T$3:$T$4</c:f>
              <c:strCache>
                <c:ptCount val="1"/>
                <c:pt idx="0">
                  <c:v>Raspberry Choco</c:v>
                </c:pt>
              </c:strCache>
            </c:strRef>
          </c:tx>
          <c:spPr>
            <a:solidFill>
              <a:schemeClr val="accent1">
                <a:lumMod val="8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Analysis'!$T$5:$T$11</c:f>
              <c:numCache>
                <c:formatCode>General</c:formatCode>
                <c:ptCount val="6"/>
                <c:pt idx="0">
                  <c:v>169015.14</c:v>
                </c:pt>
                <c:pt idx="1">
                  <c:v>41308.060000000005</c:v>
                </c:pt>
                <c:pt idx="2">
                  <c:v>126311.03000000001</c:v>
                </c:pt>
                <c:pt idx="3">
                  <c:v>104449.00000000001</c:v>
                </c:pt>
                <c:pt idx="4">
                  <c:v>139177.54999999999</c:v>
                </c:pt>
                <c:pt idx="5">
                  <c:v>265127.63</c:v>
                </c:pt>
              </c:numCache>
            </c:numRef>
          </c:val>
          <c:extLst>
            <c:ext xmlns:c16="http://schemas.microsoft.com/office/drawing/2014/chart" uri="{C3380CC4-5D6E-409C-BE32-E72D297353CC}">
              <c16:uniqueId val="{00000012-080D-4DA6-B0BF-B5243F1BAD0C}"/>
            </c:ext>
          </c:extLst>
        </c:ser>
        <c:ser>
          <c:idx val="19"/>
          <c:order val="19"/>
          <c:tx>
            <c:strRef>
              <c:f>'Country Analysis'!$U$3:$U$4</c:f>
              <c:strCache>
                <c:ptCount val="1"/>
                <c:pt idx="0">
                  <c:v>Smooth Sliky Salty</c:v>
                </c:pt>
              </c:strCache>
            </c:strRef>
          </c:tx>
          <c:spPr>
            <a:solidFill>
              <a:schemeClr val="accent2">
                <a:lumMod val="8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Analysis'!$U$5:$U$11</c:f>
              <c:numCache>
                <c:formatCode>General</c:formatCode>
                <c:ptCount val="6"/>
                <c:pt idx="0">
                  <c:v>145313.03999999998</c:v>
                </c:pt>
                <c:pt idx="1">
                  <c:v>218122.4</c:v>
                </c:pt>
                <c:pt idx="2">
                  <c:v>241770.37</c:v>
                </c:pt>
                <c:pt idx="3">
                  <c:v>125698.28999999996</c:v>
                </c:pt>
                <c:pt idx="4">
                  <c:v>244456.77000000002</c:v>
                </c:pt>
                <c:pt idx="5">
                  <c:v>144840.22</c:v>
                </c:pt>
              </c:numCache>
            </c:numRef>
          </c:val>
          <c:extLst>
            <c:ext xmlns:c16="http://schemas.microsoft.com/office/drawing/2014/chart" uri="{C3380CC4-5D6E-409C-BE32-E72D297353CC}">
              <c16:uniqueId val="{00000013-080D-4DA6-B0BF-B5243F1BAD0C}"/>
            </c:ext>
          </c:extLst>
        </c:ser>
        <c:ser>
          <c:idx val="20"/>
          <c:order val="20"/>
          <c:tx>
            <c:strRef>
              <c:f>'Country Analysis'!$V$3:$V$4</c:f>
              <c:strCache>
                <c:ptCount val="1"/>
                <c:pt idx="0">
                  <c:v>Spicy Special Slims</c:v>
                </c:pt>
              </c:strCache>
            </c:strRef>
          </c:tx>
          <c:spPr>
            <a:solidFill>
              <a:schemeClr val="accent3">
                <a:lumMod val="8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Analysis'!$V$5:$V$11</c:f>
              <c:numCache>
                <c:formatCode>General</c:formatCode>
                <c:ptCount val="6"/>
                <c:pt idx="0">
                  <c:v>196749.39999999997</c:v>
                </c:pt>
                <c:pt idx="1">
                  <c:v>185301.81</c:v>
                </c:pt>
                <c:pt idx="2">
                  <c:v>240993.15999999992</c:v>
                </c:pt>
                <c:pt idx="3">
                  <c:v>115175.04000000001</c:v>
                </c:pt>
                <c:pt idx="4">
                  <c:v>118162.52999999998</c:v>
                </c:pt>
                <c:pt idx="5">
                  <c:v>81749.75</c:v>
                </c:pt>
              </c:numCache>
            </c:numRef>
          </c:val>
          <c:extLst>
            <c:ext xmlns:c16="http://schemas.microsoft.com/office/drawing/2014/chart" uri="{C3380CC4-5D6E-409C-BE32-E72D297353CC}">
              <c16:uniqueId val="{00000014-080D-4DA6-B0BF-B5243F1BAD0C}"/>
            </c:ext>
          </c:extLst>
        </c:ser>
        <c:ser>
          <c:idx val="21"/>
          <c:order val="21"/>
          <c:tx>
            <c:strRef>
              <c:f>'Country Analysis'!$W$3:$W$4</c:f>
              <c:strCache>
                <c:ptCount val="1"/>
                <c:pt idx="0">
                  <c:v>White Choc</c:v>
                </c:pt>
              </c:strCache>
            </c:strRef>
          </c:tx>
          <c:spPr>
            <a:solidFill>
              <a:schemeClr val="accent4">
                <a:lumMod val="80000"/>
              </a:schemeClr>
            </a:solidFill>
            <a:ln>
              <a:noFill/>
            </a:ln>
            <a:effectLst/>
          </c:spPr>
          <c:invertIfNegative val="0"/>
          <c:cat>
            <c:strRef>
              <c:f>'Country Analysis'!$A$5:$A$11</c:f>
              <c:strCache>
                <c:ptCount val="6"/>
                <c:pt idx="0">
                  <c:v>Australia</c:v>
                </c:pt>
                <c:pt idx="1">
                  <c:v>Canada</c:v>
                </c:pt>
                <c:pt idx="2">
                  <c:v>India</c:v>
                </c:pt>
                <c:pt idx="3">
                  <c:v>New Zealand</c:v>
                </c:pt>
                <c:pt idx="4">
                  <c:v>UK</c:v>
                </c:pt>
                <c:pt idx="5">
                  <c:v>USA</c:v>
                </c:pt>
              </c:strCache>
            </c:strRef>
          </c:cat>
          <c:val>
            <c:numRef>
              <c:f>'Country Analysis'!$W$5:$W$11</c:f>
              <c:numCache>
                <c:formatCode>General</c:formatCode>
                <c:ptCount val="6"/>
                <c:pt idx="0">
                  <c:v>184774.16</c:v>
                </c:pt>
                <c:pt idx="1">
                  <c:v>146589.87</c:v>
                </c:pt>
                <c:pt idx="2">
                  <c:v>103484.24999999999</c:v>
                </c:pt>
                <c:pt idx="3">
                  <c:v>185052.11999999997</c:v>
                </c:pt>
                <c:pt idx="4">
                  <c:v>216962.86</c:v>
                </c:pt>
                <c:pt idx="5">
                  <c:v>217393.74000000005</c:v>
                </c:pt>
              </c:numCache>
            </c:numRef>
          </c:val>
          <c:extLst>
            <c:ext xmlns:c16="http://schemas.microsoft.com/office/drawing/2014/chart" uri="{C3380CC4-5D6E-409C-BE32-E72D297353CC}">
              <c16:uniqueId val="{00000015-080D-4DA6-B0BF-B5243F1BAD0C}"/>
            </c:ext>
          </c:extLst>
        </c:ser>
        <c:dLbls>
          <c:showLegendKey val="0"/>
          <c:showVal val="0"/>
          <c:showCatName val="0"/>
          <c:showSerName val="0"/>
          <c:showPercent val="0"/>
          <c:showBubbleSize val="0"/>
        </c:dLbls>
        <c:gapWidth val="150"/>
        <c:overlap val="100"/>
        <c:axId val="674628456"/>
        <c:axId val="674630752"/>
      </c:barChart>
      <c:catAx>
        <c:axId val="674628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74630752"/>
        <c:crosses val="autoZero"/>
        <c:auto val="1"/>
        <c:lblAlgn val="ctr"/>
        <c:lblOffset val="100"/>
        <c:noMultiLvlLbl val="0"/>
      </c:catAx>
      <c:valAx>
        <c:axId val="67463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674628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[Chocolate^120Sales^120(2)(AutoRecovered).xlsx]Sellers rate!PivotTable2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'Sellers rate'!$B$3</c:f>
              <c:strCache>
                <c:ptCount val="1"/>
                <c:pt idx="0">
                  <c:v>Total</c:v>
                </c:pt>
              </c:strCache>
            </c:strRef>
          </c:tx>
          <c:spPr>
            <a:solidFill>
              <a:schemeClr val="accent1"/>
            </a:solidFill>
            <a:ln>
              <a:noFill/>
            </a:ln>
            <a:effectLst/>
          </c:spPr>
          <c:invertIfNegative val="0"/>
          <c:cat>
            <c:strRef>
              <c:f>'Sellers rate'!$A$4:$A$9</c:f>
              <c:strCache>
                <c:ptCount val="5"/>
                <c:pt idx="0">
                  <c:v>Ches Bonnell</c:v>
                </c:pt>
                <c:pt idx="1">
                  <c:v>Oby Sorrel</c:v>
                </c:pt>
                <c:pt idx="2">
                  <c:v>Madelene Upcott</c:v>
                </c:pt>
                <c:pt idx="3">
                  <c:v>Kelci Walkden</c:v>
                </c:pt>
                <c:pt idx="4">
                  <c:v>Brien Boise</c:v>
                </c:pt>
              </c:strCache>
            </c:strRef>
          </c:cat>
          <c:val>
            <c:numRef>
              <c:f>'Sellers rate'!$B$4:$B$9</c:f>
              <c:numCache>
                <c:formatCode>General</c:formatCode>
                <c:ptCount val="5"/>
                <c:pt idx="0">
                  <c:v>1022599.9599999997</c:v>
                </c:pt>
                <c:pt idx="1">
                  <c:v>1017204.12</c:v>
                </c:pt>
                <c:pt idx="2">
                  <c:v>1010028.7199999996</c:v>
                </c:pt>
                <c:pt idx="3">
                  <c:v>1002929.0999999999</c:v>
                </c:pt>
                <c:pt idx="4">
                  <c:v>997326.48000000033</c:v>
                </c:pt>
              </c:numCache>
            </c:numRef>
          </c:val>
          <c:extLst>
            <c:ext xmlns:c16="http://schemas.microsoft.com/office/drawing/2014/chart" uri="{C3380CC4-5D6E-409C-BE32-E72D297353CC}">
              <c16:uniqueId val="{00000000-CA67-4F15-8E75-225C26FD2490}"/>
            </c:ext>
          </c:extLst>
        </c:ser>
        <c:dLbls>
          <c:showLegendKey val="0"/>
          <c:showVal val="0"/>
          <c:showCatName val="0"/>
          <c:showSerName val="0"/>
          <c:showPercent val="0"/>
          <c:showBubbleSize val="0"/>
        </c:dLbls>
        <c:gapWidth val="219"/>
        <c:overlap val="-27"/>
        <c:axId val="455883776"/>
        <c:axId val="455884760"/>
      </c:barChart>
      <c:catAx>
        <c:axId val="4558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455884760"/>
        <c:crosses val="autoZero"/>
        <c:auto val="1"/>
        <c:lblAlgn val="ctr"/>
        <c:lblOffset val="100"/>
        <c:noMultiLvlLbl val="0"/>
      </c:catAx>
      <c:valAx>
        <c:axId val="455884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4558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[Chocolate^120Sales^120(2)(AutoRecovered).xlsx]Sales Dynamic!PivotTable4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a-G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a-G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Dynamic'!$B$3</c:f>
              <c:strCache>
                <c:ptCount val="1"/>
                <c:pt idx="0">
                  <c:v>Total</c:v>
                </c:pt>
              </c:strCache>
            </c:strRef>
          </c:tx>
          <c:spPr>
            <a:solidFill>
              <a:schemeClr val="accent1"/>
            </a:solidFill>
            <a:ln>
              <a:noFill/>
            </a:ln>
            <a:effectLst/>
          </c:spPr>
          <c:invertIfNegative val="0"/>
          <c:cat>
            <c:strRef>
              <c:f>'Sales Dynamic'!$A$4:$A$12</c:f>
              <c:strCache>
                <c:ptCount val="8"/>
                <c:pt idx="0">
                  <c:v>January</c:v>
                </c:pt>
                <c:pt idx="1">
                  <c:v>February</c:v>
                </c:pt>
                <c:pt idx="2">
                  <c:v>March</c:v>
                </c:pt>
                <c:pt idx="3">
                  <c:v>April</c:v>
                </c:pt>
                <c:pt idx="4">
                  <c:v>May</c:v>
                </c:pt>
                <c:pt idx="5">
                  <c:v>June</c:v>
                </c:pt>
                <c:pt idx="6">
                  <c:v>July</c:v>
                </c:pt>
                <c:pt idx="7">
                  <c:v>August</c:v>
                </c:pt>
              </c:strCache>
            </c:strRef>
          </c:cat>
          <c:val>
            <c:numRef>
              <c:f>'Sales Dynamic'!$B$4:$B$12</c:f>
              <c:numCache>
                <c:formatCode>General</c:formatCode>
                <c:ptCount val="8"/>
                <c:pt idx="0">
                  <c:v>2868712.5899999961</c:v>
                </c:pt>
                <c:pt idx="1">
                  <c:v>2232096.9</c:v>
                </c:pt>
                <c:pt idx="2">
                  <c:v>2404769.2899999996</c:v>
                </c:pt>
                <c:pt idx="3">
                  <c:v>2161927.2200000011</c:v>
                </c:pt>
                <c:pt idx="4">
                  <c:v>2415750.5699999998</c:v>
                </c:pt>
                <c:pt idx="5">
                  <c:v>2773931.9400000009</c:v>
                </c:pt>
                <c:pt idx="6">
                  <c:v>2567532.2900000005</c:v>
                </c:pt>
                <c:pt idx="7">
                  <c:v>2366851.06</c:v>
                </c:pt>
              </c:numCache>
            </c:numRef>
          </c:val>
          <c:extLst>
            <c:ext xmlns:c16="http://schemas.microsoft.com/office/drawing/2014/chart" uri="{C3380CC4-5D6E-409C-BE32-E72D297353CC}">
              <c16:uniqueId val="{00000000-42B5-47BA-8810-6C4C33015E5F}"/>
            </c:ext>
          </c:extLst>
        </c:ser>
        <c:dLbls>
          <c:showLegendKey val="0"/>
          <c:showVal val="0"/>
          <c:showCatName val="0"/>
          <c:showSerName val="0"/>
          <c:showPercent val="0"/>
          <c:showBubbleSize val="0"/>
        </c:dLbls>
        <c:gapWidth val="219"/>
        <c:overlap val="-27"/>
        <c:axId val="454823440"/>
        <c:axId val="454823768"/>
      </c:barChart>
      <c:catAx>
        <c:axId val="45482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454823768"/>
        <c:crosses val="autoZero"/>
        <c:auto val="1"/>
        <c:lblAlgn val="ctr"/>
        <c:lblOffset val="100"/>
        <c:noMultiLvlLbl val="0"/>
      </c:catAx>
      <c:valAx>
        <c:axId val="454823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crossAx val="45482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a-G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a-G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123825</xdr:colOff>
      <xdr:row>0</xdr:row>
      <xdr:rowOff>9525</xdr:rowOff>
    </xdr:from>
    <xdr:to>
      <xdr:col>8</xdr:col>
      <xdr:colOff>57150</xdr:colOff>
      <xdr:row>8</xdr:row>
      <xdr:rowOff>76200</xdr:rowOff>
    </xdr:to>
    <xdr:grpSp>
      <xdr:nvGrpSpPr>
        <xdr:cNvPr id="9" name="Group 8">
          <a:extLst>
            <a:ext uri="{FF2B5EF4-FFF2-40B4-BE49-F238E27FC236}">
              <a16:creationId xmlns:a16="http://schemas.microsoft.com/office/drawing/2014/main" id="{BCACFCFA-E750-4064-B647-8D1F1E109FCE}"/>
            </a:ext>
          </a:extLst>
        </xdr:cNvPr>
        <xdr:cNvGrpSpPr/>
      </xdr:nvGrpSpPr>
      <xdr:grpSpPr>
        <a:xfrm>
          <a:off x="4819650" y="9525"/>
          <a:ext cx="2676525" cy="1590675"/>
          <a:chOff x="3724275" y="1914525"/>
          <a:chExt cx="2676525" cy="1590675"/>
        </a:xfrm>
      </xdr:grpSpPr>
      <xdr:sp macro="" textlink="">
        <xdr:nvSpPr>
          <xdr:cNvPr id="3" name="Rectangle 2">
            <a:extLst>
              <a:ext uri="{FF2B5EF4-FFF2-40B4-BE49-F238E27FC236}">
                <a16:creationId xmlns:a16="http://schemas.microsoft.com/office/drawing/2014/main" id="{80FE8BA9-98A7-484E-BD73-7B9F6FCCF132}"/>
              </a:ext>
            </a:extLst>
          </xdr:cNvPr>
          <xdr:cNvSpPr/>
        </xdr:nvSpPr>
        <xdr:spPr>
          <a:xfrm>
            <a:off x="3724275" y="1914525"/>
            <a:ext cx="2676525" cy="1590675"/>
          </a:xfrm>
          <a:prstGeom prst="rect">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a:solidFill>
                  <a:schemeClr val="accent6"/>
                </a:solidFill>
              </a:rPr>
              <a:t>Total Sales</a:t>
            </a:r>
            <a:endParaRPr lang="ka-GE" sz="2800">
              <a:solidFill>
                <a:schemeClr val="accent6"/>
              </a:solidFill>
            </a:endParaRPr>
          </a:p>
        </xdr:txBody>
      </xdr:sp>
      <xdr:sp macro="" textlink="I3">
        <xdr:nvSpPr>
          <xdr:cNvPr id="2" name="Rectangle: Rounded Corners 1">
            <a:extLst>
              <a:ext uri="{FF2B5EF4-FFF2-40B4-BE49-F238E27FC236}">
                <a16:creationId xmlns:a16="http://schemas.microsoft.com/office/drawing/2014/main" id="{F2D54E9F-5430-414E-90C7-28B6D562C22B}"/>
              </a:ext>
            </a:extLst>
          </xdr:cNvPr>
          <xdr:cNvSpPr/>
        </xdr:nvSpPr>
        <xdr:spPr>
          <a:xfrm>
            <a:off x="4076700" y="2476500"/>
            <a:ext cx="2047875" cy="87630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69CB4EA-6A3A-4652-9C1D-7EB6A6B2F7EE}" type="TxLink">
              <a:rPr lang="en-US" sz="2800" b="1" i="0" u="none" strike="noStrike">
                <a:solidFill>
                  <a:schemeClr val="tx1">
                    <a:lumMod val="50000"/>
                    <a:lumOff val="50000"/>
                  </a:schemeClr>
                </a:solidFill>
                <a:latin typeface="Sylfaen"/>
              </a:rPr>
              <a:pPr algn="ctr"/>
              <a:t>19.79 M</a:t>
            </a:fld>
            <a:endParaRPr lang="ka-GE" sz="2800" b="1">
              <a:solidFill>
                <a:schemeClr val="tx1">
                  <a:lumMod val="50000"/>
                  <a:lumOff val="50000"/>
                </a:schemeClr>
              </a:solidFill>
            </a:endParaRPr>
          </a:p>
        </xdr:txBody>
      </xdr:sp>
    </xdr:grpSp>
    <xdr:clientData/>
  </xdr:twoCellAnchor>
  <xdr:twoCellAnchor>
    <xdr:from>
      <xdr:col>8</xdr:col>
      <xdr:colOff>95250</xdr:colOff>
      <xdr:row>0</xdr:row>
      <xdr:rowOff>0</xdr:rowOff>
    </xdr:from>
    <xdr:to>
      <xdr:col>11</xdr:col>
      <xdr:colOff>161925</xdr:colOff>
      <xdr:row>8</xdr:row>
      <xdr:rowOff>76199</xdr:rowOff>
    </xdr:to>
    <xdr:grpSp>
      <xdr:nvGrpSpPr>
        <xdr:cNvPr id="10" name="Group 9">
          <a:extLst>
            <a:ext uri="{FF2B5EF4-FFF2-40B4-BE49-F238E27FC236}">
              <a16:creationId xmlns:a16="http://schemas.microsoft.com/office/drawing/2014/main" id="{61590291-3E41-4BD6-A722-C963CA77C00D}"/>
            </a:ext>
          </a:extLst>
        </xdr:cNvPr>
        <xdr:cNvGrpSpPr/>
      </xdr:nvGrpSpPr>
      <xdr:grpSpPr>
        <a:xfrm>
          <a:off x="7534275" y="0"/>
          <a:ext cx="2466975" cy="1600199"/>
          <a:chOff x="7534275" y="0"/>
          <a:chExt cx="2466975" cy="1600199"/>
        </a:xfrm>
      </xdr:grpSpPr>
      <xdr:sp macro="" textlink="">
        <xdr:nvSpPr>
          <xdr:cNvPr id="7" name="Rectangle 6">
            <a:extLst>
              <a:ext uri="{FF2B5EF4-FFF2-40B4-BE49-F238E27FC236}">
                <a16:creationId xmlns:a16="http://schemas.microsoft.com/office/drawing/2014/main" id="{DCD76277-4E2A-438F-9DFD-9C182AE5DE97}"/>
              </a:ext>
            </a:extLst>
          </xdr:cNvPr>
          <xdr:cNvSpPr/>
        </xdr:nvSpPr>
        <xdr:spPr>
          <a:xfrm>
            <a:off x="7534275" y="0"/>
            <a:ext cx="2466975" cy="160019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lang="en-US" sz="2800" b="1" i="0" u="none" strike="noStrike">
                <a:solidFill>
                  <a:schemeClr val="accent6"/>
                </a:solidFill>
                <a:latin typeface="Sylfaen"/>
              </a:rPr>
              <a:t>Average</a:t>
            </a:r>
            <a:r>
              <a:rPr lang="en-US" sz="2800" b="1" i="0" u="none" strike="noStrike" baseline="0">
                <a:solidFill>
                  <a:schemeClr val="accent6"/>
                </a:solidFill>
                <a:latin typeface="Sylfaen"/>
              </a:rPr>
              <a:t> Sales</a:t>
            </a:r>
            <a:endParaRPr lang="ka-GE" sz="2800" b="1" i="0" u="none" strike="noStrike">
              <a:solidFill>
                <a:schemeClr val="accent6"/>
              </a:solidFill>
              <a:latin typeface="Sylfaen"/>
            </a:endParaRPr>
          </a:p>
        </xdr:txBody>
      </xdr:sp>
      <xdr:sp macro="" textlink="M3">
        <xdr:nvSpPr>
          <xdr:cNvPr id="8" name="Rectangle: Rounded Corners 7">
            <a:extLst>
              <a:ext uri="{FF2B5EF4-FFF2-40B4-BE49-F238E27FC236}">
                <a16:creationId xmlns:a16="http://schemas.microsoft.com/office/drawing/2014/main" id="{9C9E80E2-8B49-4457-ABF5-2AC8FDE2945C}"/>
              </a:ext>
            </a:extLst>
          </xdr:cNvPr>
          <xdr:cNvSpPr/>
        </xdr:nvSpPr>
        <xdr:spPr>
          <a:xfrm>
            <a:off x="7772401" y="533399"/>
            <a:ext cx="1971674" cy="90487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0250A0E5-DB70-46DE-BA40-4E62BB2DB9CB}" type="TxLink">
              <a:rPr lang="en-US" sz="3200" b="0" i="0" u="none" strike="noStrike">
                <a:solidFill>
                  <a:schemeClr val="tx1">
                    <a:lumMod val="50000"/>
                    <a:lumOff val="50000"/>
                  </a:schemeClr>
                </a:solidFill>
                <a:latin typeface="Sylfaen"/>
              </a:rPr>
              <a:pPr algn="ctr"/>
              <a:t>6.03 K</a:t>
            </a:fld>
            <a:endParaRPr lang="ka-GE" sz="3200" b="1" i="0" u="none" strike="noStrike">
              <a:solidFill>
                <a:schemeClr val="tx1">
                  <a:lumMod val="50000"/>
                  <a:lumOff val="50000"/>
                </a:schemeClr>
              </a:solidFill>
              <a:latin typeface="Sylfaen"/>
            </a:endParaRPr>
          </a:p>
        </xdr:txBody>
      </xdr:sp>
    </xdr:grpSp>
    <xdr:clientData/>
  </xdr:twoCellAnchor>
  <xdr:twoCellAnchor>
    <xdr:from>
      <xdr:col>11</xdr:col>
      <xdr:colOff>200025</xdr:colOff>
      <xdr:row>0</xdr:row>
      <xdr:rowOff>0</xdr:rowOff>
    </xdr:from>
    <xdr:to>
      <xdr:col>15</xdr:col>
      <xdr:colOff>95250</xdr:colOff>
      <xdr:row>8</xdr:row>
      <xdr:rowOff>76200</xdr:rowOff>
    </xdr:to>
    <xdr:grpSp>
      <xdr:nvGrpSpPr>
        <xdr:cNvPr id="6" name="Group 5">
          <a:extLst>
            <a:ext uri="{FF2B5EF4-FFF2-40B4-BE49-F238E27FC236}">
              <a16:creationId xmlns:a16="http://schemas.microsoft.com/office/drawing/2014/main" id="{AA49134D-B9E0-420C-9E57-A166A73E30FE}"/>
            </a:ext>
          </a:extLst>
        </xdr:cNvPr>
        <xdr:cNvGrpSpPr/>
      </xdr:nvGrpSpPr>
      <xdr:grpSpPr>
        <a:xfrm>
          <a:off x="10039350" y="0"/>
          <a:ext cx="2638425" cy="1600200"/>
          <a:chOff x="5105400" y="1914525"/>
          <a:chExt cx="2638425" cy="1657350"/>
        </a:xfrm>
      </xdr:grpSpPr>
      <xdr:sp macro="" textlink="">
        <xdr:nvSpPr>
          <xdr:cNvPr id="4" name="Rectangle 3">
            <a:extLst>
              <a:ext uri="{FF2B5EF4-FFF2-40B4-BE49-F238E27FC236}">
                <a16:creationId xmlns:a16="http://schemas.microsoft.com/office/drawing/2014/main" id="{587E0A6E-F7B3-4F52-8D1A-320700D70772}"/>
              </a:ext>
            </a:extLst>
          </xdr:cNvPr>
          <xdr:cNvSpPr/>
        </xdr:nvSpPr>
        <xdr:spPr>
          <a:xfrm>
            <a:off x="5105400" y="1914525"/>
            <a:ext cx="2638425" cy="165735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chemeClr val="accent6"/>
                </a:solidFill>
                <a:latin typeface="Sylfaen"/>
              </a:rPr>
              <a:t>YoY Growth</a:t>
            </a:r>
            <a:endParaRPr lang="ka-GE" sz="2800" b="1" i="0" u="none" strike="noStrike">
              <a:solidFill>
                <a:schemeClr val="accent6"/>
              </a:solidFill>
              <a:latin typeface="Sylfaen"/>
            </a:endParaRPr>
          </a:p>
        </xdr:txBody>
      </xdr:sp>
      <xdr:sp macro="" textlink="M4">
        <xdr:nvSpPr>
          <xdr:cNvPr id="5" name="Rectangle: Rounded Corners 4">
            <a:extLst>
              <a:ext uri="{FF2B5EF4-FFF2-40B4-BE49-F238E27FC236}">
                <a16:creationId xmlns:a16="http://schemas.microsoft.com/office/drawing/2014/main" id="{915F1FAA-053B-4EAC-A98C-000C7D840149}"/>
              </a:ext>
            </a:extLst>
          </xdr:cNvPr>
          <xdr:cNvSpPr/>
        </xdr:nvSpPr>
        <xdr:spPr>
          <a:xfrm>
            <a:off x="5334001" y="2495550"/>
            <a:ext cx="2190750" cy="96202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38170DA-08B6-4390-832D-A4E3B0F927DA}" type="TxLink">
              <a:rPr lang="en-US" sz="2800" b="0" i="0" u="none" strike="noStrike">
                <a:solidFill>
                  <a:schemeClr val="tx1">
                    <a:lumMod val="50000"/>
                    <a:lumOff val="50000"/>
                  </a:schemeClr>
                </a:solidFill>
                <a:latin typeface="Sylfaen"/>
              </a:rPr>
              <a:pPr algn="ctr"/>
              <a:t>7%</a:t>
            </a:fld>
            <a:endParaRPr lang="ka-GE" sz="2800" b="1" i="0" u="none" strike="noStrike">
              <a:solidFill>
                <a:schemeClr val="tx1">
                  <a:lumMod val="50000"/>
                  <a:lumOff val="50000"/>
                </a:schemeClr>
              </a:solidFill>
              <a:latin typeface="Sylfaen"/>
            </a:endParaRPr>
          </a:p>
        </xdr:txBody>
      </xdr:sp>
    </xdr:grpSp>
    <xdr:clientData/>
  </xdr:twoCellAnchor>
  <xdr:twoCellAnchor>
    <xdr:from>
      <xdr:col>0</xdr:col>
      <xdr:colOff>0</xdr:colOff>
      <xdr:row>12</xdr:row>
      <xdr:rowOff>9525</xdr:rowOff>
    </xdr:from>
    <xdr:to>
      <xdr:col>4</xdr:col>
      <xdr:colOff>104775</xdr:colOff>
      <xdr:row>26</xdr:row>
      <xdr:rowOff>85725</xdr:rowOff>
    </xdr:to>
    <xdr:graphicFrame macro="">
      <xdr:nvGraphicFramePr>
        <xdr:cNvPr id="12" name="Chart 11">
          <a:extLst>
            <a:ext uri="{FF2B5EF4-FFF2-40B4-BE49-F238E27FC236}">
              <a16:creationId xmlns:a16="http://schemas.microsoft.com/office/drawing/2014/main" id="{F314C694-461C-4C5E-922F-67389C6A7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714375</xdr:colOff>
      <xdr:row>30</xdr:row>
      <xdr:rowOff>28575</xdr:rowOff>
    </xdr:from>
    <xdr:to>
      <xdr:col>8</xdr:col>
      <xdr:colOff>876300</xdr:colOff>
      <xdr:row>45</xdr:row>
      <xdr:rowOff>9525</xdr:rowOff>
    </xdr:to>
    <xdr:graphicFrame macro="">
      <xdr:nvGraphicFramePr>
        <xdr:cNvPr id="16" name="Chart 15">
          <a:extLst>
            <a:ext uri="{FF2B5EF4-FFF2-40B4-BE49-F238E27FC236}">
              <a16:creationId xmlns:a16="http://schemas.microsoft.com/office/drawing/2014/main" id="{2A9817AE-09FC-47A9-B1E2-D24E4B635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38101</xdr:colOff>
      <xdr:row>30</xdr:row>
      <xdr:rowOff>9525</xdr:rowOff>
    </xdr:from>
    <xdr:to>
      <xdr:col>3</xdr:col>
      <xdr:colOff>666751</xdr:colOff>
      <xdr:row>44</xdr:row>
      <xdr:rowOff>185738</xdr:rowOff>
    </xdr:to>
    <xdr:graphicFrame macro="">
      <xdr:nvGraphicFramePr>
        <xdr:cNvPr id="17" name="Chart 16">
          <a:extLst>
            <a:ext uri="{FF2B5EF4-FFF2-40B4-BE49-F238E27FC236}">
              <a16:creationId xmlns:a16="http://schemas.microsoft.com/office/drawing/2014/main" id="{58503B66-4A69-4C1D-87D9-339F6CCE6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114300</xdr:colOff>
      <xdr:row>10</xdr:row>
      <xdr:rowOff>66675</xdr:rowOff>
    </xdr:from>
    <xdr:to>
      <xdr:col>2</xdr:col>
      <xdr:colOff>1228725</xdr:colOff>
      <xdr:row>11</xdr:row>
      <xdr:rowOff>180975</xdr:rowOff>
    </xdr:to>
    <xdr:sp macro="" textlink="">
      <xdr:nvSpPr>
        <xdr:cNvPr id="18" name="TextBox 17">
          <a:extLst>
            <a:ext uri="{FF2B5EF4-FFF2-40B4-BE49-F238E27FC236}">
              <a16:creationId xmlns:a16="http://schemas.microsoft.com/office/drawing/2014/main" id="{CD61C61A-5675-43D1-B91E-75828E53E936}"/>
            </a:ext>
          </a:extLst>
        </xdr:cNvPr>
        <xdr:cNvSpPr txBox="1"/>
      </xdr:nvSpPr>
      <xdr:spPr>
        <a:xfrm>
          <a:off x="1143000" y="1971675"/>
          <a:ext cx="2238375"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solidFill>
            </a:rPr>
            <a:t>Country Analysis</a:t>
          </a:r>
          <a:endParaRPr lang="ka-GE" sz="1600">
            <a:solidFill>
              <a:schemeClr val="accent6"/>
            </a:solidFill>
          </a:endParaRPr>
        </a:p>
      </xdr:txBody>
    </xdr:sp>
    <xdr:clientData/>
  </xdr:twoCellAnchor>
  <xdr:twoCellAnchor>
    <xdr:from>
      <xdr:col>5</xdr:col>
      <xdr:colOff>514350</xdr:colOff>
      <xdr:row>10</xdr:row>
      <xdr:rowOff>38100</xdr:rowOff>
    </xdr:from>
    <xdr:to>
      <xdr:col>8</xdr:col>
      <xdr:colOff>542925</xdr:colOff>
      <xdr:row>12</xdr:row>
      <xdr:rowOff>0</xdr:rowOff>
    </xdr:to>
    <xdr:sp macro="" textlink="">
      <xdr:nvSpPr>
        <xdr:cNvPr id="19" name="TextBox 18">
          <a:extLst>
            <a:ext uri="{FF2B5EF4-FFF2-40B4-BE49-F238E27FC236}">
              <a16:creationId xmlns:a16="http://schemas.microsoft.com/office/drawing/2014/main" id="{C0297946-5769-405F-BF71-FBD2A00ECE35}"/>
            </a:ext>
          </a:extLst>
        </xdr:cNvPr>
        <xdr:cNvSpPr txBox="1"/>
      </xdr:nvSpPr>
      <xdr:spPr>
        <a:xfrm>
          <a:off x="5895975" y="1943100"/>
          <a:ext cx="20859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6"/>
              </a:solidFill>
            </a:rPr>
            <a:t>Sellers Rate</a:t>
          </a:r>
          <a:endParaRPr lang="ka-GE" sz="1600">
            <a:solidFill>
              <a:schemeClr val="accent6"/>
            </a:solidFill>
          </a:endParaRPr>
        </a:p>
      </xdr:txBody>
    </xdr:sp>
    <xdr:clientData/>
  </xdr:twoCellAnchor>
  <xdr:oneCellAnchor>
    <xdr:from>
      <xdr:col>2</xdr:col>
      <xdr:colOff>790575</xdr:colOff>
      <xdr:row>29</xdr:row>
      <xdr:rowOff>171450</xdr:rowOff>
    </xdr:from>
    <xdr:ext cx="184731" cy="278089"/>
    <xdr:sp macro="" textlink="">
      <xdr:nvSpPr>
        <xdr:cNvPr id="21" name="TextBox 20">
          <a:extLst>
            <a:ext uri="{FF2B5EF4-FFF2-40B4-BE49-F238E27FC236}">
              <a16:creationId xmlns:a16="http://schemas.microsoft.com/office/drawing/2014/main" id="{799F77CF-122E-4D77-80B0-9A7434262EEA}"/>
            </a:ext>
          </a:extLst>
        </xdr:cNvPr>
        <xdr:cNvSpPr txBox="1"/>
      </xdr:nvSpPr>
      <xdr:spPr>
        <a:xfrm>
          <a:off x="2943225" y="5695950"/>
          <a:ext cx="184731" cy="278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a-GE" sz="1100"/>
        </a:p>
      </xdr:txBody>
    </xdr:sp>
    <xdr:clientData/>
  </xdr:oneCellAnchor>
  <xdr:twoCellAnchor>
    <xdr:from>
      <xdr:col>0</xdr:col>
      <xdr:colOff>742950</xdr:colOff>
      <xdr:row>28</xdr:row>
      <xdr:rowOff>28575</xdr:rowOff>
    </xdr:from>
    <xdr:to>
      <xdr:col>2</xdr:col>
      <xdr:colOff>1409700</xdr:colOff>
      <xdr:row>29</xdr:row>
      <xdr:rowOff>180975</xdr:rowOff>
    </xdr:to>
    <xdr:sp macro="" textlink="">
      <xdr:nvSpPr>
        <xdr:cNvPr id="22" name="TextBox 21">
          <a:extLst>
            <a:ext uri="{FF2B5EF4-FFF2-40B4-BE49-F238E27FC236}">
              <a16:creationId xmlns:a16="http://schemas.microsoft.com/office/drawing/2014/main" id="{04C32455-7820-4A94-B168-1BB25810436F}"/>
            </a:ext>
          </a:extLst>
        </xdr:cNvPr>
        <xdr:cNvSpPr txBox="1"/>
      </xdr:nvSpPr>
      <xdr:spPr>
        <a:xfrm>
          <a:off x="742950" y="5362575"/>
          <a:ext cx="28194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solidFill>
            </a:rPr>
            <a:t>3 Month</a:t>
          </a:r>
          <a:r>
            <a:rPr lang="en-US" sz="1600" baseline="0">
              <a:solidFill>
                <a:schemeClr val="accent6"/>
              </a:solidFill>
            </a:rPr>
            <a:t> Moving Average</a:t>
          </a:r>
          <a:endParaRPr lang="ka-GE" sz="1600">
            <a:solidFill>
              <a:schemeClr val="accent6"/>
            </a:solidFill>
          </a:endParaRPr>
        </a:p>
      </xdr:txBody>
    </xdr:sp>
    <xdr:clientData/>
  </xdr:twoCellAnchor>
  <xdr:twoCellAnchor>
    <xdr:from>
      <xdr:col>4</xdr:col>
      <xdr:colOff>247650</xdr:colOff>
      <xdr:row>28</xdr:row>
      <xdr:rowOff>47625</xdr:rowOff>
    </xdr:from>
    <xdr:to>
      <xdr:col>8</xdr:col>
      <xdr:colOff>323850</xdr:colOff>
      <xdr:row>30</xdr:row>
      <xdr:rowOff>9525</xdr:rowOff>
    </xdr:to>
    <xdr:sp macro="" textlink="">
      <xdr:nvSpPr>
        <xdr:cNvPr id="23" name="TextBox 22">
          <a:extLst>
            <a:ext uri="{FF2B5EF4-FFF2-40B4-BE49-F238E27FC236}">
              <a16:creationId xmlns:a16="http://schemas.microsoft.com/office/drawing/2014/main" id="{7F3AB7C3-904A-4323-8915-C4D3F683BC65}"/>
            </a:ext>
          </a:extLst>
        </xdr:cNvPr>
        <xdr:cNvSpPr txBox="1"/>
      </xdr:nvSpPr>
      <xdr:spPr>
        <a:xfrm>
          <a:off x="4943475" y="5381625"/>
          <a:ext cx="281940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solidFill>
            </a:rPr>
            <a:t>Sales</a:t>
          </a:r>
          <a:r>
            <a:rPr lang="en-US" sz="1600" baseline="0">
              <a:solidFill>
                <a:schemeClr val="accent6"/>
              </a:solidFill>
            </a:rPr>
            <a:t> Dynamic By Months</a:t>
          </a:r>
          <a:endParaRPr lang="ka-GE" sz="1600">
            <a:solidFill>
              <a:schemeClr val="accent6"/>
            </a:solidFill>
          </a:endParaRPr>
        </a:p>
      </xdr:txBody>
    </xdr:sp>
    <xdr:clientData/>
  </xdr:twoCellAnchor>
  <xdr:twoCellAnchor>
    <xdr:from>
      <xdr:col>8</xdr:col>
      <xdr:colOff>923925</xdr:colOff>
      <xdr:row>30</xdr:row>
      <xdr:rowOff>28574</xdr:rowOff>
    </xdr:from>
    <xdr:to>
      <xdr:col>15</xdr:col>
      <xdr:colOff>352425</xdr:colOff>
      <xdr:row>44</xdr:row>
      <xdr:rowOff>190499</xdr:rowOff>
    </xdr:to>
    <xdr:graphicFrame macro="">
      <xdr:nvGraphicFramePr>
        <xdr:cNvPr id="24" name="Chart 23">
          <a:extLst>
            <a:ext uri="{FF2B5EF4-FFF2-40B4-BE49-F238E27FC236}">
              <a16:creationId xmlns:a16="http://schemas.microsoft.com/office/drawing/2014/main" id="{5832258E-B28D-43A7-ACFB-6D3325620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352425</xdr:colOff>
      <xdr:row>28</xdr:row>
      <xdr:rowOff>19050</xdr:rowOff>
    </xdr:from>
    <xdr:to>
      <xdr:col>14</xdr:col>
      <xdr:colOff>304800</xdr:colOff>
      <xdr:row>30</xdr:row>
      <xdr:rowOff>0</xdr:rowOff>
    </xdr:to>
    <xdr:sp macro="" textlink="">
      <xdr:nvSpPr>
        <xdr:cNvPr id="29" name="TextBox 28">
          <a:extLst>
            <a:ext uri="{FF2B5EF4-FFF2-40B4-BE49-F238E27FC236}">
              <a16:creationId xmlns:a16="http://schemas.microsoft.com/office/drawing/2014/main" id="{E2198959-4F89-4FFE-A6A1-2B206461F8AF}"/>
            </a:ext>
          </a:extLst>
        </xdr:cNvPr>
        <xdr:cNvSpPr txBox="1"/>
      </xdr:nvSpPr>
      <xdr:spPr>
        <a:xfrm>
          <a:off x="9505950" y="5353050"/>
          <a:ext cx="2695575"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6"/>
              </a:solidFill>
            </a:rPr>
            <a:t>Top 5 Products By Sales</a:t>
          </a:r>
          <a:endParaRPr lang="ka-GE" sz="1600">
            <a:solidFill>
              <a:schemeClr val="accent6"/>
            </a:solidFill>
          </a:endParaRPr>
        </a:p>
      </xdr:txBody>
    </xdr:sp>
    <xdr:clientData/>
  </xdr:twoCellAnchor>
  <xdr:twoCellAnchor>
    <xdr:from>
      <xdr:col>4</xdr:col>
      <xdr:colOff>190500</xdr:colOff>
      <xdr:row>12</xdr:row>
      <xdr:rowOff>9525</xdr:rowOff>
    </xdr:from>
    <xdr:to>
      <xdr:col>10</xdr:col>
      <xdr:colOff>290513</xdr:colOff>
      <xdr:row>26</xdr:row>
      <xdr:rowOff>85725</xdr:rowOff>
    </xdr:to>
    <xdr:graphicFrame macro="">
      <xdr:nvGraphicFramePr>
        <xdr:cNvPr id="27" name="Chart 26">
          <a:extLst>
            <a:ext uri="{FF2B5EF4-FFF2-40B4-BE49-F238E27FC236}">
              <a16:creationId xmlns:a16="http://schemas.microsoft.com/office/drawing/2014/main" id="{837CE251-C7D9-40CC-A890-351F9A6EA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361950</xdr:colOff>
      <xdr:row>45</xdr:row>
      <xdr:rowOff>123825</xdr:rowOff>
    </xdr:from>
    <xdr:to>
      <xdr:col>9</xdr:col>
      <xdr:colOff>476250</xdr:colOff>
      <xdr:row>59</xdr:row>
      <xdr:rowOff>123825</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92FDD410-B3C1-4E54-931C-03D02039C2A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115175" y="8696325"/>
              <a:ext cx="1828800" cy="2667000"/>
            </a:xfrm>
            <a:prstGeom prst="rect">
              <a:avLst/>
            </a:prstGeom>
            <a:solidFill>
              <a:prstClr val="white"/>
            </a:solidFill>
            <a:ln w="1">
              <a:solidFill>
                <a:prstClr val="green"/>
              </a:solidFill>
            </a:ln>
          </xdr:spPr>
          <xdr:txBody>
            <a:bodyPr vertOverflow="clip" horzOverflow="clip"/>
            <a:lstStyle/>
            <a:p>
              <a:r>
                <a:rPr lang="ka-G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1171575</xdr:colOff>
      <xdr:row>45</xdr:row>
      <xdr:rowOff>123825</xdr:rowOff>
    </xdr:from>
    <xdr:to>
      <xdr:col>4</xdr:col>
      <xdr:colOff>457200</xdr:colOff>
      <xdr:row>59</xdr:row>
      <xdr:rowOff>123825</xdr:rowOff>
    </xdr:to>
    <mc:AlternateContent xmlns:mc="http://schemas.openxmlformats.org/markup-compatibility/2006" xmlns:a14="http://schemas.microsoft.com/office/drawing/2010/main">
      <mc:Choice Requires="a14">
        <xdr:graphicFrame macro="">
          <xdr:nvGraphicFramePr>
            <xdr:cNvPr id="28" name="Product">
              <a:extLst>
                <a:ext uri="{FF2B5EF4-FFF2-40B4-BE49-F238E27FC236}">
                  <a16:creationId xmlns:a16="http://schemas.microsoft.com/office/drawing/2014/main" id="{CF779C13-74F6-4504-9A77-F5D48EA999E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324225" y="8696325"/>
              <a:ext cx="1828800" cy="2667000"/>
            </a:xfrm>
            <a:prstGeom prst="rect">
              <a:avLst/>
            </a:prstGeom>
            <a:solidFill>
              <a:prstClr val="white"/>
            </a:solidFill>
            <a:ln w="1">
              <a:solidFill>
                <a:prstClr val="green"/>
              </a:solidFill>
            </a:ln>
          </xdr:spPr>
          <xdr:txBody>
            <a:bodyPr vertOverflow="clip" horzOverflow="clip"/>
            <a:lstStyle/>
            <a:p>
              <a:r>
                <a:rPr lang="ka-G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514350</xdr:colOff>
      <xdr:row>45</xdr:row>
      <xdr:rowOff>123825</xdr:rowOff>
    </xdr:from>
    <xdr:to>
      <xdr:col>7</xdr:col>
      <xdr:colOff>285750</xdr:colOff>
      <xdr:row>59</xdr:row>
      <xdr:rowOff>123825</xdr:rowOff>
    </xdr:to>
    <mc:AlternateContent xmlns:mc="http://schemas.openxmlformats.org/markup-compatibility/2006" xmlns:a14="http://schemas.microsoft.com/office/drawing/2010/main">
      <mc:Choice Requires="a14">
        <xdr:graphicFrame macro="">
          <xdr:nvGraphicFramePr>
            <xdr:cNvPr id="30" name="Years">
              <a:extLst>
                <a:ext uri="{FF2B5EF4-FFF2-40B4-BE49-F238E27FC236}">
                  <a16:creationId xmlns:a16="http://schemas.microsoft.com/office/drawing/2014/main" id="{1D878653-5D0B-4F02-B4B9-A05170AEA746}"/>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5210175" y="8696325"/>
              <a:ext cx="1828800" cy="2667000"/>
            </a:xfrm>
            <a:prstGeom prst="rect">
              <a:avLst/>
            </a:prstGeom>
            <a:solidFill>
              <a:prstClr val="white"/>
            </a:solidFill>
            <a:ln w="1">
              <a:solidFill>
                <a:prstClr val="green"/>
              </a:solidFill>
            </a:ln>
          </xdr:spPr>
          <xdr:txBody>
            <a:bodyPr vertOverflow="clip" horzOverflow="clip"/>
            <a:lstStyle/>
            <a:p>
              <a:r>
                <a:rPr lang="ka-G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381001</xdr:colOff>
      <xdr:row>12</xdr:row>
      <xdr:rowOff>28575</xdr:rowOff>
    </xdr:from>
    <xdr:to>
      <xdr:col>14</xdr:col>
      <xdr:colOff>495301</xdr:colOff>
      <xdr:row>20</xdr:row>
      <xdr:rowOff>142875</xdr:rowOff>
    </xdr:to>
    <xdr:sp macro="" textlink="">
      <xdr:nvSpPr>
        <xdr:cNvPr id="31" name="Rectangle 30">
          <a:extLst>
            <a:ext uri="{FF2B5EF4-FFF2-40B4-BE49-F238E27FC236}">
              <a16:creationId xmlns:a16="http://schemas.microsoft.com/office/drawing/2014/main" id="{91EF8F56-0FB3-4F93-8B1C-2A6B43BC1752}"/>
            </a:ext>
          </a:extLst>
        </xdr:cNvPr>
        <xdr:cNvSpPr/>
      </xdr:nvSpPr>
      <xdr:spPr>
        <a:xfrm>
          <a:off x="9534526" y="2314575"/>
          <a:ext cx="2857500" cy="16383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a-GE" sz="2800" b="1" i="0" u="none" strike="noStrike">
            <a:solidFill>
              <a:schemeClr val="tx1">
                <a:lumMod val="50000"/>
                <a:lumOff val="50000"/>
              </a:schemeClr>
            </a:solidFill>
            <a:latin typeface="Sylfaen"/>
          </a:endParaRPr>
        </a:p>
      </xdr:txBody>
    </xdr:sp>
    <xdr:clientData/>
  </xdr:twoCellAnchor>
  <xdr:twoCellAnchor>
    <xdr:from>
      <xdr:col>10</xdr:col>
      <xdr:colOff>466725</xdr:colOff>
      <xdr:row>13</xdr:row>
      <xdr:rowOff>95251</xdr:rowOff>
    </xdr:from>
    <xdr:to>
      <xdr:col>14</xdr:col>
      <xdr:colOff>409575</xdr:colOff>
      <xdr:row>19</xdr:row>
      <xdr:rowOff>95250</xdr:rowOff>
    </xdr:to>
    <xdr:sp macro="" textlink="">
      <xdr:nvSpPr>
        <xdr:cNvPr id="33" name="Rectangle: Rounded Corners 32">
          <a:extLst>
            <a:ext uri="{FF2B5EF4-FFF2-40B4-BE49-F238E27FC236}">
              <a16:creationId xmlns:a16="http://schemas.microsoft.com/office/drawing/2014/main" id="{648CC0A6-59EA-4211-98A2-236866869E35}"/>
            </a:ext>
          </a:extLst>
        </xdr:cNvPr>
        <xdr:cNvSpPr/>
      </xdr:nvSpPr>
      <xdr:spPr>
        <a:xfrm>
          <a:off x="9620250" y="2571751"/>
          <a:ext cx="2686050" cy="1142999"/>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tx1"/>
              </a:solidFill>
              <a:latin typeface="Sylfaen"/>
            </a:rPr>
            <a:t>Top Seller</a:t>
          </a:r>
        </a:p>
        <a:p>
          <a:pPr algn="ctr"/>
          <a:r>
            <a:rPr lang="en-US" sz="1400" b="0" i="0" u="none" strike="noStrike">
              <a:solidFill>
                <a:schemeClr val="accent2"/>
              </a:solidFill>
              <a:latin typeface="Sylfaen"/>
            </a:rPr>
            <a:t>Ches Bonnell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xdr:colOff>
      <xdr:row>4</xdr:row>
      <xdr:rowOff>14287</xdr:rowOff>
    </xdr:from>
    <xdr:to>
      <xdr:col>8</xdr:col>
      <xdr:colOff>461962</xdr:colOff>
      <xdr:row>18</xdr:row>
      <xdr:rowOff>90487</xdr:rowOff>
    </xdr:to>
    <xdr:graphicFrame macro="">
      <xdr:nvGraphicFramePr>
        <xdr:cNvPr id="2" name="Chart 1">
          <a:extLst>
            <a:ext uri="{FF2B5EF4-FFF2-40B4-BE49-F238E27FC236}">
              <a16:creationId xmlns:a16="http://schemas.microsoft.com/office/drawing/2014/main" id="{CF3160BB-3AA1-4C28-9D33-069B500CC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23812</xdr:colOff>
      <xdr:row>2</xdr:row>
      <xdr:rowOff>4762</xdr:rowOff>
    </xdr:from>
    <xdr:to>
      <xdr:col>8</xdr:col>
      <xdr:colOff>481012</xdr:colOff>
      <xdr:row>16</xdr:row>
      <xdr:rowOff>80962</xdr:rowOff>
    </xdr:to>
    <xdr:graphicFrame macro="">
      <xdr:nvGraphicFramePr>
        <xdr:cNvPr id="2" name="Chart 1">
          <a:extLst>
            <a:ext uri="{FF2B5EF4-FFF2-40B4-BE49-F238E27FC236}">
              <a16:creationId xmlns:a16="http://schemas.microsoft.com/office/drawing/2014/main" id="{DC13BDFB-C929-40F9-ABA0-2BD849A54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23812</xdr:colOff>
      <xdr:row>11</xdr:row>
      <xdr:rowOff>71437</xdr:rowOff>
    </xdr:from>
    <xdr:to>
      <xdr:col>3</xdr:col>
      <xdr:colOff>1090612</xdr:colOff>
      <xdr:row>25</xdr:row>
      <xdr:rowOff>147637</xdr:rowOff>
    </xdr:to>
    <xdr:graphicFrame macro="">
      <xdr:nvGraphicFramePr>
        <xdr:cNvPr id="2" name="Chart 1">
          <a:extLst>
            <a:ext uri="{FF2B5EF4-FFF2-40B4-BE49-F238E27FC236}">
              <a16:creationId xmlns:a16="http://schemas.microsoft.com/office/drawing/2014/main" id="{B836445F-0706-43AA-9E64-2606F5482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671512</xdr:colOff>
      <xdr:row>4</xdr:row>
      <xdr:rowOff>128587</xdr:rowOff>
    </xdr:from>
    <xdr:to>
      <xdr:col>8</xdr:col>
      <xdr:colOff>676275</xdr:colOff>
      <xdr:row>18</xdr:row>
      <xdr:rowOff>123825</xdr:rowOff>
    </xdr:to>
    <xdr:graphicFrame macro="">
      <xdr:nvGraphicFramePr>
        <xdr:cNvPr id="3" name="Chart 2">
          <a:extLst>
            <a:ext uri="{FF2B5EF4-FFF2-40B4-BE49-F238E27FC236}">
              <a16:creationId xmlns:a16="http://schemas.microsoft.com/office/drawing/2014/main" id="{451970C9-1951-481E-BCB5-77F956C94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0</xdr:rowOff>
    </xdr:from>
    <xdr:to>
      <xdr:col>2</xdr:col>
      <xdr:colOff>638175</xdr:colOff>
      <xdr:row>18</xdr:row>
      <xdr:rowOff>114300</xdr:rowOff>
    </xdr:to>
    <xdr:sp macro="" textlink="">
      <xdr:nvSpPr>
        <xdr:cNvPr id="4" name="Rectangle 3">
          <a:extLst>
            <a:ext uri="{FF2B5EF4-FFF2-40B4-BE49-F238E27FC236}">
              <a16:creationId xmlns:a16="http://schemas.microsoft.com/office/drawing/2014/main" id="{0E7B8D8C-7163-4045-A373-B78386BE4546}"/>
            </a:ext>
          </a:extLst>
        </xdr:cNvPr>
        <xdr:cNvSpPr/>
      </xdr:nvSpPr>
      <xdr:spPr>
        <a:xfrm>
          <a:off x="0" y="1905000"/>
          <a:ext cx="2857500" cy="163830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ka-GE" sz="2800" b="1" i="0" u="none" strike="noStrike">
            <a:solidFill>
              <a:schemeClr val="tx1">
                <a:lumMod val="50000"/>
                <a:lumOff val="50000"/>
              </a:schemeClr>
            </a:solidFill>
            <a:latin typeface="Sylfaen"/>
          </a:endParaRPr>
        </a:p>
      </xdr:txBody>
    </xdr:sp>
    <xdr:clientData/>
  </xdr:twoCellAnchor>
  <xdr:twoCellAnchor>
    <xdr:from>
      <xdr:col>0</xdr:col>
      <xdr:colOff>85725</xdr:colOff>
      <xdr:row>11</xdr:row>
      <xdr:rowOff>57151</xdr:rowOff>
    </xdr:from>
    <xdr:to>
      <xdr:col>2</xdr:col>
      <xdr:colOff>552450</xdr:colOff>
      <xdr:row>17</xdr:row>
      <xdr:rowOff>57150</xdr:rowOff>
    </xdr:to>
    <xdr:sp macro="" textlink="">
      <xdr:nvSpPr>
        <xdr:cNvPr id="5" name="Rectangle: Rounded Corners 4">
          <a:extLst>
            <a:ext uri="{FF2B5EF4-FFF2-40B4-BE49-F238E27FC236}">
              <a16:creationId xmlns:a16="http://schemas.microsoft.com/office/drawing/2014/main" id="{FDBB8851-5E8C-4EFB-873C-5AA7B85584C6}"/>
            </a:ext>
          </a:extLst>
        </xdr:cNvPr>
        <xdr:cNvSpPr/>
      </xdr:nvSpPr>
      <xdr:spPr>
        <a:xfrm>
          <a:off x="85725" y="2152651"/>
          <a:ext cx="2686050" cy="1142999"/>
        </a:xfrm>
        <a:prstGeom prst="round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tx1"/>
              </a:solidFill>
              <a:latin typeface="Sylfaen"/>
            </a:rPr>
            <a:t>Top Seller</a:t>
          </a:r>
        </a:p>
        <a:p>
          <a:pPr algn="ctr"/>
          <a:r>
            <a:rPr lang="en-US" sz="1400" b="1" i="0" u="none" strike="noStrike">
              <a:solidFill>
                <a:schemeClr val="accent2"/>
              </a:solidFill>
              <a:latin typeface="Sylfaen"/>
            </a:rPr>
            <a:t>Ches Bonnell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490537</xdr:colOff>
      <xdr:row>1</xdr:row>
      <xdr:rowOff>185737</xdr:rowOff>
    </xdr:from>
    <xdr:to>
      <xdr:col>9</xdr:col>
      <xdr:colOff>261937</xdr:colOff>
      <xdr:row>16</xdr:row>
      <xdr:rowOff>71437</xdr:rowOff>
    </xdr:to>
    <xdr:graphicFrame macro="">
      <xdr:nvGraphicFramePr>
        <xdr:cNvPr id="2" name="Chart 1">
          <a:extLst>
            <a:ext uri="{FF2B5EF4-FFF2-40B4-BE49-F238E27FC236}">
              <a16:creationId xmlns:a16="http://schemas.microsoft.com/office/drawing/2014/main" id="{C7C61D8F-5D51-4219-A9AD-18247BCB2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rchive%20(1)/Chocolate%20Sales%20(2)(AutoRecover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atia" refreshedDate="46063.558151157406" createdVersion="6" refreshedVersion="6" minRefreshableVersion="3" recordCount="3283" xr:uid="{CD59C80B-2FE8-4740-80EF-EF20FB1CF18A}">
  <cacheSource type="worksheet">
    <worksheetSource ref="A1:J1048576" sheet="Chocolate Sales (2)" r:id="rId2"/>
  </cacheSource>
  <cacheFields count="12">
    <cacheField name="Sales Person" numFmtId="0">
      <sharedItems containsBlank="1"/>
    </cacheField>
    <cacheField name="Country" numFmtId="0">
      <sharedItems containsBlank="1"/>
    </cacheField>
    <cacheField name="Product" numFmtId="0">
      <sharedItems containsBlank="1"/>
    </cacheField>
    <cacheField name="Date" numFmtId="14">
      <sharedItems containsNonDate="0" containsDate="1" containsString="0" containsBlank="1" minDate="2022-01-03T00:00:00" maxDate="2024-09-01T00:00:00" count="505">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m/>
      </sharedItems>
      <fieldGroup par="11" base="3">
        <rangePr groupBy="months" startDate="2022-01-03T00:00:00" endDate="2024-09-01T00:00:00"/>
        <groupItems count="14">
          <s v="(blank)"/>
          <s v="Jan"/>
          <s v="Feb"/>
          <s v="Mar"/>
          <s v="Apr"/>
          <s v="May"/>
          <s v="Jun"/>
          <s v="Jul"/>
          <s v="Aug"/>
          <s v="Sep"/>
          <s v="Oct"/>
          <s v="Nov"/>
          <s v="Dec"/>
          <s v="&gt;9/1/2024"/>
        </groupItems>
      </fieldGroup>
    </cacheField>
    <cacheField name="Amount" numFmtId="164">
      <sharedItems containsString="0" containsBlank="1" containsNumber="1" minValue="7" maxValue="26170.95"/>
    </cacheField>
    <cacheField name="Boxes Shipped" numFmtId="0">
      <sharedItems containsString="0" containsBlank="1" containsNumber="1" containsInteger="1" minValue="1" maxValue="778"/>
    </cacheField>
    <cacheField name="price per box" numFmtId="0">
      <sharedItems containsString="0" containsBlank="1" containsNumber="1" minValue="1.3513513513513514E-2" maxValue="4692.3599999999997"/>
    </cacheField>
    <cacheField name="Month" numFmtId="0">
      <sharedItems containsBlank="1"/>
    </cacheField>
    <cacheField name="Quarter" numFmtId="0">
      <sharedItems containsBlank="1"/>
    </cacheField>
    <cacheField name="Profit/Margin" numFmtId="0">
      <sharedItems containsBlank="1"/>
    </cacheField>
    <cacheField name="Quarters" numFmtId="0" databaseField="0">
      <fieldGroup base="3">
        <rangePr groupBy="quarters" startDate="2022-01-03T00:00:00" endDate="2024-09-01T00:00:00"/>
        <groupItems count="6">
          <s v="&lt;1/3/2022"/>
          <s v="Qtr1"/>
          <s v="Qtr2"/>
          <s v="Qtr3"/>
          <s v="Qtr4"/>
          <s v="&gt;9/1/2024"/>
        </groupItems>
      </fieldGroup>
    </cacheField>
    <cacheField name="Years" numFmtId="0" databaseField="0">
      <fieldGroup base="3">
        <rangePr groupBy="years" startDate="2022-01-03T00:00:00" endDate="2024-09-01T00:00:00"/>
        <groupItems count="5">
          <s v="&lt;1/3/2022"/>
          <s v="2022"/>
          <s v="2023"/>
          <s v="2024"/>
          <s v="&gt;9/1/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atia" refreshedDate="46063.648178240743" createdVersion="6" refreshedVersion="6" minRefreshableVersion="3" recordCount="3282" xr:uid="{5ED8BAC4-E82A-4B0B-B2AC-AB6A96ACC695}">
  <cacheSource type="worksheet">
    <worksheetSource name="Table1"/>
  </cacheSource>
  <cacheFields count="12">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4-09-01T00:00:00" count="504">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sharedItems>
      <fieldGroup par="11" base="3">
        <rangePr groupBy="months" startDate="2022-01-03T00:00:00" endDate="2024-09-01T00:00:00"/>
        <groupItems count="14">
          <s v="&lt;1/3/2022"/>
          <s v="Jan"/>
          <s v="Feb"/>
          <s v="Mar"/>
          <s v="Apr"/>
          <s v="May"/>
          <s v="Jun"/>
          <s v="Jul"/>
          <s v="Aug"/>
          <s v="Sep"/>
          <s v="Oct"/>
          <s v="Nov"/>
          <s v="Dec"/>
          <s v="&gt;9/1/2024"/>
        </groupItems>
      </fieldGroup>
    </cacheField>
    <cacheField name="Amount" numFmtId="164">
      <sharedItems containsSemiMixedTypes="0" containsString="0" containsNumber="1" minValue="7" maxValue="26170.95"/>
    </cacheField>
    <cacheField name="Boxes Shipped" numFmtId="0">
      <sharedItems containsSemiMixedTypes="0" containsString="0" containsNumber="1" containsInteger="1" minValue="1" maxValue="778"/>
    </cacheField>
    <cacheField name="price per box" numFmtId="164">
      <sharedItems containsSemiMixedTypes="0" containsString="0" containsNumber="1" minValue="1.3513513513513514E-2" maxValue="4692.3599999999997"/>
    </cacheField>
    <cacheField name="Month" numFmtId="0">
      <sharedItems count="8">
        <s v="January"/>
        <s v="August"/>
        <s v="July"/>
        <s v="April"/>
        <s v="February"/>
        <s v="June"/>
        <s v="March"/>
        <s v="May"/>
      </sharedItems>
    </cacheField>
    <cacheField name="Quarter" numFmtId="0">
      <sharedItems/>
    </cacheField>
    <cacheField name="Profit/Margin" numFmtId="0">
      <sharedItems/>
    </cacheField>
    <cacheField name="Quarters" numFmtId="0" databaseField="0">
      <fieldGroup base="3">
        <rangePr groupBy="quarters" startDate="2022-01-03T00:00:00" endDate="2024-09-01T00:00:00"/>
        <groupItems count="6">
          <s v="&lt;1/3/2022"/>
          <s v="Qtr1"/>
          <s v="Qtr2"/>
          <s v="Qtr3"/>
          <s v="Qtr4"/>
          <s v="&gt;9/1/2024"/>
        </groupItems>
      </fieldGroup>
    </cacheField>
    <cacheField name="Years" numFmtId="0" databaseField="0">
      <fieldGroup base="3">
        <rangePr groupBy="years" startDate="2022-01-03T00:00:00" endDate="2024-09-01T00:00:00"/>
        <groupItems count="5">
          <s v="&lt;1/3/2022"/>
          <s v="2022"/>
          <s v="2023"/>
          <s v="2024"/>
          <s v="&gt;9/1/2024"/>
        </groupItems>
      </fieldGroup>
    </cacheField>
  </cacheFields>
  <extLst>
    <ext xmlns:x14="http://schemas.microsoft.com/office/spreadsheetml/2009/9/main" uri="{725AE2AE-9491-48be-B2B4-4EB974FC3084}">
      <x14:pivotCacheDefinition pivotCacheId="942265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3">
  <r>
    <s v="Jehu Rudeforth"/>
    <s v="UK"/>
    <s v="Mint Chip Choco"/>
    <x v="0"/>
    <n v="5320"/>
    <n v="180"/>
    <n v="29.555555555555557"/>
    <s v="January"/>
    <s v="Q1"/>
    <s v="Large"/>
  </r>
  <r>
    <s v="Van Tuxwell"/>
    <s v="India"/>
    <s v="85% Dark Bars"/>
    <x v="1"/>
    <n v="7896"/>
    <n v="94"/>
    <n v="84"/>
    <s v="August"/>
    <s v="Q3"/>
    <s v="Large"/>
  </r>
  <r>
    <s v="Gigi Bohling"/>
    <s v="India"/>
    <s v="Peanut Butter Cubes"/>
    <x v="2"/>
    <n v="4501"/>
    <n v="91"/>
    <n v="49.46153846153846"/>
    <s v="July"/>
    <s v="Q3"/>
    <s v="Large"/>
  </r>
  <r>
    <s v="Jan Morforth"/>
    <s v="Australia"/>
    <s v="Peanut Butter Cubes"/>
    <x v="3"/>
    <n v="12726"/>
    <n v="342"/>
    <n v="37.210526315789473"/>
    <s v="April"/>
    <s v="Q2"/>
    <s v="Large"/>
  </r>
  <r>
    <s v="Jehu Rudeforth"/>
    <s v="UK"/>
    <s v="Peanut Butter Cubes"/>
    <x v="4"/>
    <n v="13685"/>
    <n v="184"/>
    <n v="74.375"/>
    <s v="February"/>
    <s v="Q1"/>
    <s v="Large"/>
  </r>
  <r>
    <s v="Van Tuxwell"/>
    <s v="India"/>
    <s v="Smooth Sliky Salty"/>
    <x v="5"/>
    <n v="5376"/>
    <n v="38"/>
    <n v="141.47368421052633"/>
    <s v="June"/>
    <s v="Q2"/>
    <s v="Large"/>
  </r>
  <r>
    <s v="Oby Sorrel"/>
    <s v="UK"/>
    <s v="99% Dark &amp; Pure"/>
    <x v="6"/>
    <n v="13685"/>
    <n v="176"/>
    <n v="77.755681818181813"/>
    <s v="January"/>
    <s v="Q1"/>
    <s v="Large"/>
  </r>
  <r>
    <s v="Gunar Cockshoot"/>
    <s v="Australia"/>
    <s v="After Nines"/>
    <x v="7"/>
    <n v="3080"/>
    <n v="73"/>
    <n v="42.19178082191781"/>
    <s v="March"/>
    <s v="Q1"/>
    <s v="Large"/>
  </r>
  <r>
    <s v="Jehu Rudeforth"/>
    <s v="New Zealand"/>
    <s v="50% Dark Bites"/>
    <x v="8"/>
    <n v="3990"/>
    <n v="59"/>
    <n v="67.627118644067792"/>
    <s v="April"/>
    <s v="Q2"/>
    <s v="Large"/>
  </r>
  <r>
    <s v="Brien Boise"/>
    <s v="Australia"/>
    <s v="99% Dark &amp; Pure"/>
    <x v="9"/>
    <n v="2835"/>
    <n v="102"/>
    <n v="27.794117647058822"/>
    <s v="July"/>
    <s v="Q3"/>
    <s v="Large"/>
  </r>
  <r>
    <s v="Rafaelita Blaksland"/>
    <s v="UK"/>
    <s v="Smooth Sliky Salty"/>
    <x v="10"/>
    <n v="4704"/>
    <n v="62"/>
    <n v="75.870967741935488"/>
    <s v="January"/>
    <s v="Q1"/>
    <s v="Large"/>
  </r>
  <r>
    <s v="Barr Faughny"/>
    <s v="USA"/>
    <s v="Orange Choco"/>
    <x v="11"/>
    <n v="3703"/>
    <n v="11"/>
    <n v="336.63636363636363"/>
    <s v="March"/>
    <s v="Q1"/>
    <s v="Large"/>
  </r>
  <r>
    <s v="Mallorie Waber"/>
    <s v="Canada"/>
    <s v="Eclairs"/>
    <x v="10"/>
    <n v="1442"/>
    <n v="286"/>
    <n v="5.0419580419580416"/>
    <s v="January"/>
    <s v="Q1"/>
    <s v="Large"/>
  </r>
  <r>
    <s v="Karlen McCaffrey"/>
    <s v="New Zealand"/>
    <s v="Drinking Coco"/>
    <x v="12"/>
    <n v="168"/>
    <n v="156"/>
    <n v="1.0769230769230769"/>
    <s v="July"/>
    <s v="Q3"/>
    <s v="Small"/>
  </r>
  <r>
    <s v="Marney O'Breen"/>
    <s v="New Zealand"/>
    <s v="Peanut Butter Cubes"/>
    <x v="13"/>
    <n v="8379"/>
    <n v="173"/>
    <n v="48.433526011560694"/>
    <s v="August"/>
    <s v="Q3"/>
    <s v="Large"/>
  </r>
  <r>
    <s v="Beverie Moffet"/>
    <s v="Australia"/>
    <s v="Organic Choco Syrup"/>
    <x v="14"/>
    <n v="6790"/>
    <n v="356"/>
    <n v="19.073033707865168"/>
    <s v="January"/>
    <s v="Q1"/>
    <s v="Large"/>
  </r>
  <r>
    <s v="Van Tuxwell"/>
    <s v="Canada"/>
    <s v="Organic Choco Syrup"/>
    <x v="15"/>
    <n v="4067"/>
    <n v="42"/>
    <n v="96.833333333333329"/>
    <s v="February"/>
    <s v="Q1"/>
    <s v="Large"/>
  </r>
  <r>
    <s v="Roddy Speechley"/>
    <s v="USA"/>
    <s v="Smooth Sliky Salty"/>
    <x v="16"/>
    <n v="3017"/>
    <n v="140"/>
    <n v="21.55"/>
    <s v="April"/>
    <s v="Q2"/>
    <s v="Large"/>
  </r>
  <r>
    <s v="Beverie Moffet"/>
    <s v="Canada"/>
    <s v="Milk Bars"/>
    <x v="17"/>
    <n v="8799"/>
    <n v="250"/>
    <n v="35.195999999999998"/>
    <s v="February"/>
    <s v="Q1"/>
    <s v="Large"/>
  </r>
  <r>
    <s v="Curtice Advani"/>
    <s v="UK"/>
    <s v="85% Dark Bars"/>
    <x v="18"/>
    <n v="1085"/>
    <n v="172"/>
    <n v="6.308139534883721"/>
    <s v="June"/>
    <s v="Q2"/>
    <s v="Large"/>
  </r>
  <r>
    <s v="Brien Boise"/>
    <s v="Australia"/>
    <s v="Eclairs"/>
    <x v="19"/>
    <n v="6888"/>
    <n v="88"/>
    <n v="78.272727272727266"/>
    <s v="June"/>
    <s v="Q2"/>
    <s v="Large"/>
  </r>
  <r>
    <s v="Gunar Cockshoot"/>
    <s v="USA"/>
    <s v="Spicy Special Slims"/>
    <x v="20"/>
    <n v="1267"/>
    <n v="157"/>
    <n v="8.0700636942675157"/>
    <s v="February"/>
    <s v="Q1"/>
    <s v="Large"/>
  </r>
  <r>
    <s v="Marney O'Breen"/>
    <s v="USA"/>
    <s v="After Nines"/>
    <x v="21"/>
    <n v="4753"/>
    <n v="163"/>
    <n v="29.159509202453989"/>
    <s v="May"/>
    <s v="Q2"/>
    <s v="Large"/>
  </r>
  <r>
    <s v="Husein Augar"/>
    <s v="UK"/>
    <s v="Drinking Coco"/>
    <x v="22"/>
    <n v="3003"/>
    <n v="113"/>
    <n v="26.575221238938052"/>
    <s v="March"/>
    <s v="Q1"/>
    <s v="Large"/>
  </r>
  <r>
    <s v="Kaine Padly"/>
    <s v="Australia"/>
    <s v="Eclairs"/>
    <x v="23"/>
    <n v="7672"/>
    <n v="115"/>
    <n v="66.713043478260872"/>
    <s v="February"/>
    <s v="Q1"/>
    <s v="Large"/>
  </r>
  <r>
    <s v="Karlen McCaffrey"/>
    <s v="India"/>
    <s v="Fruit &amp; Nut Bars"/>
    <x v="14"/>
    <n v="168"/>
    <n v="321"/>
    <n v="0.52336448598130836"/>
    <s v="January"/>
    <s v="Q1"/>
    <s v="Small"/>
  </r>
  <r>
    <s v="Roddy Speechley"/>
    <s v="Canada"/>
    <s v="Spicy Special Slims"/>
    <x v="24"/>
    <n v="1652"/>
    <n v="186"/>
    <n v="8.8817204301075261"/>
    <s v="February"/>
    <s v="Q1"/>
    <s v="Large"/>
  </r>
  <r>
    <s v="Husein Augar"/>
    <s v="USA"/>
    <s v="Eclairs"/>
    <x v="2"/>
    <n v="4025"/>
    <n v="112"/>
    <n v="35.9375"/>
    <s v="July"/>
    <s v="Q3"/>
    <s v="Large"/>
  </r>
  <r>
    <s v="Dennison Crosswaite"/>
    <s v="New Zealand"/>
    <s v="White Choc"/>
    <x v="25"/>
    <n v="9492"/>
    <n v="151"/>
    <n v="62.860927152317878"/>
    <s v="July"/>
    <s v="Q3"/>
    <s v="Large"/>
  </r>
  <r>
    <s v="Dennison Crosswaite"/>
    <s v="New Zealand"/>
    <s v="Manuka Honey Choco"/>
    <x v="26"/>
    <n v="5061"/>
    <n v="301"/>
    <n v="16.813953488372093"/>
    <s v="June"/>
    <s v="Q2"/>
    <s v="Large"/>
  </r>
  <r>
    <s v="Van Tuxwell"/>
    <s v="New Zealand"/>
    <s v="85% Dark Bars"/>
    <x v="27"/>
    <n v="1722"/>
    <n v="121"/>
    <n v="14.231404958677686"/>
    <s v="May"/>
    <s v="Q2"/>
    <s v="Large"/>
  </r>
  <r>
    <s v="Rafaelita Blaksland"/>
    <s v="UK"/>
    <s v="99% Dark &amp; Pure"/>
    <x v="28"/>
    <n v="12446"/>
    <n v="150"/>
    <n v="82.973333333333329"/>
    <s v="June"/>
    <s v="Q2"/>
    <s v="Large"/>
  </r>
  <r>
    <s v="Wilone O'Kielt"/>
    <s v="Australia"/>
    <s v="Manuka Honey Choco"/>
    <x v="29"/>
    <n v="4284"/>
    <n v="94"/>
    <n v="45.574468085106382"/>
    <s v="May"/>
    <s v="Q2"/>
    <s v="Large"/>
  </r>
  <r>
    <s v="Karlen McCaffrey"/>
    <s v="UK"/>
    <s v="Almond Choco"/>
    <x v="30"/>
    <n v="6839"/>
    <n v="133"/>
    <n v="51.421052631578945"/>
    <s v="June"/>
    <s v="Q2"/>
    <s v="Large"/>
  </r>
  <r>
    <s v="Andria Kimpton"/>
    <s v="Canada"/>
    <s v="After Nines"/>
    <x v="29"/>
    <n v="2163"/>
    <n v="70"/>
    <n v="30.9"/>
    <s v="May"/>
    <s v="Q2"/>
    <s v="Large"/>
  </r>
  <r>
    <s v="Roddy Speechley"/>
    <s v="USA"/>
    <s v="Manuka Honey Choco"/>
    <x v="31"/>
    <n v="9583"/>
    <n v="315"/>
    <n v="30.422222222222221"/>
    <s v="July"/>
    <s v="Q3"/>
    <s v="Large"/>
  </r>
  <r>
    <s v="Andria Kimpton"/>
    <s v="UK"/>
    <s v="50% Dark Bites"/>
    <x v="32"/>
    <n v="2653"/>
    <n v="314"/>
    <n v="8.4490445859872612"/>
    <s v="August"/>
    <s v="Q3"/>
    <s v="Large"/>
  </r>
  <r>
    <s v="Kelci Walkden"/>
    <s v="New Zealand"/>
    <s v="After Nines"/>
    <x v="2"/>
    <n v="147"/>
    <n v="72"/>
    <n v="2.0416666666666665"/>
    <s v="July"/>
    <s v="Q3"/>
    <s v="Small"/>
  </r>
  <r>
    <s v="Camilla Castle"/>
    <s v="Australia"/>
    <s v="85% Dark Bars"/>
    <x v="33"/>
    <n v="3654"/>
    <n v="14"/>
    <n v="261"/>
    <s v="May"/>
    <s v="Q2"/>
    <s v="Large"/>
  </r>
  <r>
    <s v="Karlen McCaffrey"/>
    <s v="India"/>
    <s v="Manuka Honey Choco"/>
    <x v="9"/>
    <n v="2443"/>
    <n v="581"/>
    <n v="4.2048192771084336"/>
    <s v="July"/>
    <s v="Q3"/>
    <s v="Large"/>
  </r>
  <r>
    <s v="Kelci Walkden"/>
    <s v="USA"/>
    <s v="After Nines"/>
    <x v="34"/>
    <n v="938"/>
    <n v="16"/>
    <n v="58.625"/>
    <s v="June"/>
    <s v="Q2"/>
    <s v="Large"/>
  </r>
  <r>
    <s v="Karlen McCaffrey"/>
    <s v="USA"/>
    <s v="Raspberry Choco"/>
    <x v="35"/>
    <n v="14749"/>
    <n v="354"/>
    <n v="41.663841807909606"/>
    <s v="April"/>
    <s v="Q2"/>
    <s v="Large"/>
  </r>
  <r>
    <s v="Mallorie Waber"/>
    <s v="Canada"/>
    <s v="Choco Coated Almonds"/>
    <x v="36"/>
    <n v="4781"/>
    <n v="241"/>
    <n v="19.838174273858922"/>
    <s v="July"/>
    <s v="Q3"/>
    <s v="Large"/>
  </r>
  <r>
    <s v="Andria Kimpton"/>
    <s v="India"/>
    <s v="Spicy Special Slims"/>
    <x v="37"/>
    <n v="6307"/>
    <n v="142"/>
    <n v="44.41549295774648"/>
    <s v="February"/>
    <s v="Q1"/>
    <s v="Large"/>
  </r>
  <r>
    <s v="Madelene Upcott"/>
    <s v="Canada"/>
    <s v="Almond Choco"/>
    <x v="38"/>
    <n v="7602"/>
    <n v="102"/>
    <n v="74.529411764705884"/>
    <s v="August"/>
    <s v="Q3"/>
    <s v="Large"/>
  </r>
  <r>
    <s v="Kaine Padly"/>
    <s v="USA"/>
    <s v="Peanut Butter Cubes"/>
    <x v="17"/>
    <n v="6790"/>
    <n v="188"/>
    <n v="36.117021276595743"/>
    <s v="February"/>
    <s v="Q1"/>
    <s v="Large"/>
  </r>
  <r>
    <s v="Van Tuxwell"/>
    <s v="USA"/>
    <s v="50% Dark Bites"/>
    <x v="10"/>
    <n v="9737"/>
    <n v="160"/>
    <n v="60.856250000000003"/>
    <s v="January"/>
    <s v="Q1"/>
    <s v="Large"/>
  </r>
  <r>
    <s v="Curtice Advani"/>
    <s v="Australia"/>
    <s v="Milk Bars"/>
    <x v="15"/>
    <n v="6979"/>
    <n v="18"/>
    <n v="387.72222222222223"/>
    <s v="February"/>
    <s v="Q1"/>
    <s v="Large"/>
  </r>
  <r>
    <s v="Roddy Speechley"/>
    <s v="India"/>
    <s v="Eclairs"/>
    <x v="39"/>
    <n v="4382"/>
    <n v="303"/>
    <n v="14.462046204620462"/>
    <s v="June"/>
    <s v="Q2"/>
    <s v="Large"/>
  </r>
  <r>
    <s v="Curtice Advani"/>
    <s v="India"/>
    <s v="Fruit &amp; Nut Bars"/>
    <x v="2"/>
    <n v="5243"/>
    <n v="176"/>
    <n v="29.789772727272727"/>
    <s v="July"/>
    <s v="Q3"/>
    <s v="Large"/>
  </r>
  <r>
    <s v="Curtice Advani"/>
    <s v="Canada"/>
    <s v="Almond Choco"/>
    <x v="7"/>
    <n v="4865"/>
    <n v="70"/>
    <n v="69.5"/>
    <s v="March"/>
    <s v="Q1"/>
    <s v="Large"/>
  </r>
  <r>
    <s v="Brien Boise"/>
    <s v="Australia"/>
    <s v="Fruit &amp; Nut Bars"/>
    <x v="5"/>
    <n v="8575"/>
    <n v="23"/>
    <n v="372.82608695652175"/>
    <s v="June"/>
    <s v="Q2"/>
    <s v="Large"/>
  </r>
  <r>
    <s v="Dotty Strutley"/>
    <s v="Australia"/>
    <s v="Drinking Coco"/>
    <x v="40"/>
    <n v="91"/>
    <n v="135"/>
    <n v="0.67407407407407405"/>
    <s v="July"/>
    <s v="Q3"/>
    <s v="Small"/>
  </r>
  <r>
    <s v="Beverie Moffet"/>
    <s v="USA"/>
    <s v="Raspberry Choco"/>
    <x v="41"/>
    <n v="14798"/>
    <n v="83"/>
    <n v="178.28915662650601"/>
    <s v="April"/>
    <s v="Q2"/>
    <s v="Large"/>
  </r>
  <r>
    <s v="Marney O'Breen"/>
    <s v="India"/>
    <s v="85% Dark Bars"/>
    <x v="40"/>
    <n v="2205"/>
    <n v="179"/>
    <n v="12.318435754189943"/>
    <s v="July"/>
    <s v="Q3"/>
    <s v="Large"/>
  </r>
  <r>
    <s v="Jehu Rudeforth"/>
    <s v="Canada"/>
    <s v="Drinking Coco"/>
    <x v="42"/>
    <n v="441"/>
    <n v="24"/>
    <n v="18.375"/>
    <s v="July"/>
    <s v="Q3"/>
    <s v="Small"/>
  </r>
  <r>
    <s v="Ches Bonnell"/>
    <s v="New Zealand"/>
    <s v="Spicy Special Slims"/>
    <x v="15"/>
    <n v="3556"/>
    <n v="18"/>
    <n v="197.55555555555554"/>
    <s v="February"/>
    <s v="Q1"/>
    <s v="Large"/>
  </r>
  <r>
    <s v="Brien Boise"/>
    <s v="Canada"/>
    <s v="99% Dark &amp; Pure"/>
    <x v="43"/>
    <n v="16793"/>
    <n v="416"/>
    <n v="40.36778846153846"/>
    <s v="May"/>
    <s v="Q2"/>
    <s v="Large"/>
  </r>
  <r>
    <s v="Barr Faughny"/>
    <s v="Australia"/>
    <s v="Fruit &amp; Nut Bars"/>
    <x v="30"/>
    <n v="15421"/>
    <n v="55"/>
    <n v="280.38181818181818"/>
    <s v="June"/>
    <s v="Q2"/>
    <s v="Large"/>
  </r>
  <r>
    <s v="Andria Kimpton"/>
    <s v="Australia"/>
    <s v="50% Dark Bites"/>
    <x v="34"/>
    <n v="4438"/>
    <n v="227"/>
    <n v="19.550660792951543"/>
    <s v="June"/>
    <s v="Q2"/>
    <s v="Large"/>
  </r>
  <r>
    <s v="Andria Kimpton"/>
    <s v="Australia"/>
    <s v="Drinking Coco"/>
    <x v="44"/>
    <n v="1603"/>
    <n v="48"/>
    <n v="33.395833333333336"/>
    <s v="June"/>
    <s v="Q2"/>
    <s v="Large"/>
  </r>
  <r>
    <s v="Marney O'Breen"/>
    <s v="Australia"/>
    <s v="Organic Choco Syrup"/>
    <x v="45"/>
    <n v="273"/>
    <n v="174"/>
    <n v="1.5689655172413792"/>
    <s v="May"/>
    <s v="Q2"/>
    <s v="Small"/>
  </r>
  <r>
    <s v="Kelci Walkden"/>
    <s v="Canada"/>
    <s v="Baker's Choco Chips"/>
    <x v="46"/>
    <n v="3073"/>
    <n v="302"/>
    <n v="10.175496688741722"/>
    <s v="May"/>
    <s v="Q2"/>
    <s v="Large"/>
  </r>
  <r>
    <s v="Karlen McCaffrey"/>
    <s v="India"/>
    <s v="Almond Choco"/>
    <x v="47"/>
    <n v="6090"/>
    <n v="149"/>
    <n v="40.872483221476507"/>
    <s v="July"/>
    <s v="Q3"/>
    <s v="Large"/>
  </r>
  <r>
    <s v="Oby Sorrel"/>
    <s v="India"/>
    <s v="99% Dark &amp; Pure"/>
    <x v="48"/>
    <n v="10255"/>
    <n v="11"/>
    <n v="932.27272727272725"/>
    <s v="May"/>
    <s v="Q2"/>
    <s v="Large"/>
  </r>
  <r>
    <s v="Wilone O'Kielt"/>
    <s v="Australia"/>
    <s v="Caramel Stuffed Bars"/>
    <x v="49"/>
    <n v="2030"/>
    <n v="11"/>
    <n v="184.54545454545453"/>
    <s v="April"/>
    <s v="Q2"/>
    <s v="Large"/>
  </r>
  <r>
    <s v="Van Tuxwell"/>
    <s v="Australia"/>
    <s v="Organic Choco Syrup"/>
    <x v="50"/>
    <n v="19453"/>
    <n v="14"/>
    <n v="1389.5"/>
    <s v="August"/>
    <s v="Q3"/>
    <s v="Large"/>
  </r>
  <r>
    <s v="Camilla Castle"/>
    <s v="India"/>
    <s v="50% Dark Bites"/>
    <x v="9"/>
    <n v="9275"/>
    <n v="411"/>
    <n v="22.566909975669098"/>
    <s v="July"/>
    <s v="Q3"/>
    <s v="Large"/>
  </r>
  <r>
    <s v="Oby Sorrel"/>
    <s v="India"/>
    <s v="Organic Choco Syrup"/>
    <x v="51"/>
    <n v="6181"/>
    <n v="56"/>
    <n v="110.375"/>
    <s v="July"/>
    <s v="Q3"/>
    <s v="Large"/>
  </r>
  <r>
    <s v="Jan Morforth"/>
    <s v="USA"/>
    <s v="Peanut Butter Cubes"/>
    <x v="31"/>
    <n v="9037"/>
    <n v="102"/>
    <n v="88.598039215686271"/>
    <s v="July"/>
    <s v="Q3"/>
    <s v="Large"/>
  </r>
  <r>
    <s v="Gigi Bohling"/>
    <s v="USA"/>
    <s v="Choco Coated Almonds"/>
    <x v="52"/>
    <n v="12313"/>
    <n v="103"/>
    <n v="119.54368932038835"/>
    <s v="March"/>
    <s v="Q1"/>
    <s v="Large"/>
  </r>
  <r>
    <s v="Gigi Bohling"/>
    <s v="UK"/>
    <s v="Almond Choco"/>
    <x v="53"/>
    <n v="5642"/>
    <n v="9"/>
    <n v="626.88888888888891"/>
    <s v="January"/>
    <s v="Q1"/>
    <s v="Large"/>
  </r>
  <r>
    <s v="Jehu Rudeforth"/>
    <s v="New Zealand"/>
    <s v="White Choc"/>
    <x v="54"/>
    <n v="2800"/>
    <n v="241"/>
    <n v="11.618257261410788"/>
    <s v="March"/>
    <s v="Q1"/>
    <s v="Large"/>
  </r>
  <r>
    <s v="Andria Kimpton"/>
    <s v="New Zealand"/>
    <s v="Peanut Butter Cubes"/>
    <x v="55"/>
    <n v="959"/>
    <n v="265"/>
    <n v="3.6188679245283017"/>
    <s v="June"/>
    <s v="Q2"/>
    <s v="Large"/>
  </r>
  <r>
    <s v="Van Tuxwell"/>
    <s v="UK"/>
    <s v="Organic Choco Syrup"/>
    <x v="56"/>
    <n v="2002"/>
    <n v="214"/>
    <n v="9.3551401869158877"/>
    <s v="August"/>
    <s v="Q3"/>
    <s v="Large"/>
  </r>
  <r>
    <s v="Roddy Speechley"/>
    <s v="Canada"/>
    <s v="Milk Bars"/>
    <x v="57"/>
    <n v="609"/>
    <n v="32"/>
    <n v="19.03125"/>
    <s v="July"/>
    <s v="Q3"/>
    <s v="Large"/>
  </r>
  <r>
    <s v="Camilla Castle"/>
    <s v="USA"/>
    <s v="Spicy Special Slims"/>
    <x v="58"/>
    <n v="1274"/>
    <n v="244"/>
    <n v="5.221311475409836"/>
    <s v="February"/>
    <s v="Q1"/>
    <s v="Large"/>
  </r>
  <r>
    <s v="Marney O'Breen"/>
    <s v="USA"/>
    <s v="Orange Choco"/>
    <x v="59"/>
    <n v="7595"/>
    <n v="181"/>
    <n v="41.961325966850829"/>
    <s v="January"/>
    <s v="Q1"/>
    <s v="Large"/>
  </r>
  <r>
    <s v="Van Tuxwell"/>
    <s v="UK"/>
    <s v="99% Dark &amp; Pure"/>
    <x v="60"/>
    <n v="4725"/>
    <n v="137"/>
    <n v="34.489051094890513"/>
    <s v="January"/>
    <s v="Q1"/>
    <s v="Large"/>
  </r>
  <r>
    <s v="Camilla Castle"/>
    <s v="USA"/>
    <s v="White Choc"/>
    <x v="61"/>
    <n v="9681"/>
    <n v="24"/>
    <n v="403.375"/>
    <s v="August"/>
    <s v="Q3"/>
    <s v="Large"/>
  </r>
  <r>
    <s v="Andria Kimpton"/>
    <s v="USA"/>
    <s v="Raspberry Choco"/>
    <x v="30"/>
    <n v="14504"/>
    <n v="21"/>
    <n v="690.66666666666663"/>
    <s v="June"/>
    <s v="Q2"/>
    <s v="Large"/>
  </r>
  <r>
    <s v="Dotty Strutley"/>
    <s v="Australia"/>
    <s v="Fruit &amp; Nut Bars"/>
    <x v="62"/>
    <n v="280"/>
    <n v="311"/>
    <n v="0.90032154340836013"/>
    <s v="August"/>
    <s v="Q3"/>
    <s v="Small"/>
  </r>
  <r>
    <s v="Brien Boise"/>
    <s v="New Zealand"/>
    <s v="Mint Chip Choco"/>
    <x v="1"/>
    <n v="63"/>
    <n v="181"/>
    <n v="0.34806629834254144"/>
    <s v="August"/>
    <s v="Q3"/>
    <s v="Small"/>
  </r>
  <r>
    <s v="Roddy Speechley"/>
    <s v="New Zealand"/>
    <s v="After Nines"/>
    <x v="63"/>
    <n v="8001"/>
    <n v="10"/>
    <n v="800.1"/>
    <s v="May"/>
    <s v="Q2"/>
    <s v="Large"/>
  </r>
  <r>
    <s v="Roddy Speechley"/>
    <s v="Canada"/>
    <s v="Organic Choco Syrup"/>
    <x v="53"/>
    <n v="4032"/>
    <n v="82"/>
    <n v="49.170731707317074"/>
    <s v="January"/>
    <s v="Q1"/>
    <s v="Large"/>
  </r>
  <r>
    <s v="Dennison Crosswaite"/>
    <s v="Australia"/>
    <s v="70% Dark Bites"/>
    <x v="64"/>
    <n v="5859"/>
    <n v="108"/>
    <n v="54.25"/>
    <s v="February"/>
    <s v="Q1"/>
    <s v="Large"/>
  </r>
  <r>
    <s v="Karlen McCaffrey"/>
    <s v="USA"/>
    <s v="Orange Choco"/>
    <x v="65"/>
    <n v="11095"/>
    <n v="401"/>
    <n v="27.668329177057355"/>
    <s v="May"/>
    <s v="Q2"/>
    <s v="Large"/>
  </r>
  <r>
    <s v="Madelene Upcott"/>
    <s v="Australia"/>
    <s v="Spicy Special Slims"/>
    <x v="66"/>
    <n v="7182"/>
    <n v="408"/>
    <n v="17.602941176470587"/>
    <s v="March"/>
    <s v="Q1"/>
    <s v="Large"/>
  </r>
  <r>
    <s v="Dennison Crosswaite"/>
    <s v="Australia"/>
    <s v="85% Dark Bars"/>
    <x v="16"/>
    <n v="6881"/>
    <n v="420"/>
    <n v="16.383333333333333"/>
    <s v="April"/>
    <s v="Q2"/>
    <s v="Large"/>
  </r>
  <r>
    <s v="Andria Kimpton"/>
    <s v="Canada"/>
    <s v="Caramel Stuffed Bars"/>
    <x v="67"/>
    <n v="7154"/>
    <n v="348"/>
    <n v="20.557471264367816"/>
    <s v="January"/>
    <s v="Q1"/>
    <s v="Large"/>
  </r>
  <r>
    <s v="Dennison Crosswaite"/>
    <s v="UK"/>
    <s v="Eclairs"/>
    <x v="7"/>
    <n v="6188"/>
    <n v="270"/>
    <n v="22.918518518518518"/>
    <s v="March"/>
    <s v="Q1"/>
    <s v="Large"/>
  </r>
  <r>
    <s v="Madelene Upcott"/>
    <s v="India"/>
    <s v="Raspberry Choco"/>
    <x v="2"/>
    <n v="4221"/>
    <n v="9"/>
    <n v="469"/>
    <s v="July"/>
    <s v="Q3"/>
    <s v="Large"/>
  </r>
  <r>
    <s v="Van Tuxwell"/>
    <s v="USA"/>
    <s v="After Nines"/>
    <x v="68"/>
    <n v="630"/>
    <n v="264"/>
    <n v="2.3863636363636362"/>
    <s v="July"/>
    <s v="Q3"/>
    <s v="Large"/>
  </r>
  <r>
    <s v="Wilone O'Kielt"/>
    <s v="Australia"/>
    <s v="Organic Choco Syrup"/>
    <x v="2"/>
    <n v="1743"/>
    <n v="111"/>
    <n v="15.702702702702704"/>
    <s v="July"/>
    <s v="Q3"/>
    <s v="Large"/>
  </r>
  <r>
    <s v="Karlen McCaffrey"/>
    <s v="Canada"/>
    <s v="50% Dark Bites"/>
    <x v="42"/>
    <n v="2919"/>
    <n v="65"/>
    <n v="44.907692307692308"/>
    <s v="July"/>
    <s v="Q3"/>
    <s v="Large"/>
  </r>
  <r>
    <s v="Roddy Speechley"/>
    <s v="New Zealand"/>
    <s v="Orange Choco"/>
    <x v="69"/>
    <n v="49"/>
    <n v="97"/>
    <n v="0.50515463917525771"/>
    <s v="April"/>
    <s v="Q2"/>
    <s v="Small"/>
  </r>
  <r>
    <s v="Beverie Moffet"/>
    <s v="Australia"/>
    <s v="Eclairs"/>
    <x v="55"/>
    <n v="1827"/>
    <n v="6"/>
    <n v="304.5"/>
    <s v="June"/>
    <s v="Q2"/>
    <s v="Large"/>
  </r>
  <r>
    <s v="Kelci Walkden"/>
    <s v="UK"/>
    <s v="Fruit &amp; Nut Bars"/>
    <x v="28"/>
    <n v="13006"/>
    <n v="482"/>
    <n v="26.983402489626556"/>
    <s v="June"/>
    <s v="Q2"/>
    <s v="Large"/>
  </r>
  <r>
    <s v="Marney O'Breen"/>
    <s v="USA"/>
    <s v="50% Dark Bites"/>
    <x v="26"/>
    <n v="1064"/>
    <n v="106"/>
    <n v="10.037735849056604"/>
    <s v="June"/>
    <s v="Q2"/>
    <s v="Large"/>
  </r>
  <r>
    <s v="Husein Augar"/>
    <s v="USA"/>
    <s v="After Nines"/>
    <x v="70"/>
    <n v="11571"/>
    <n v="180"/>
    <n v="64.283333333333331"/>
    <s v="April"/>
    <s v="Q2"/>
    <s v="Large"/>
  </r>
  <r>
    <s v="Dennison Crosswaite"/>
    <s v="Australia"/>
    <s v="Raspberry Choco"/>
    <x v="22"/>
    <n v="5740"/>
    <n v="31"/>
    <n v="185.16129032258064"/>
    <s v="March"/>
    <s v="Q1"/>
    <s v="Large"/>
  </r>
  <r>
    <s v="Andria Kimpton"/>
    <s v="USA"/>
    <s v="Fruit &amp; Nut Bars"/>
    <x v="42"/>
    <n v="1456"/>
    <n v="359"/>
    <n v="4.0557103064066853"/>
    <s v="July"/>
    <s v="Q3"/>
    <s v="Large"/>
  </r>
  <r>
    <s v="Kelci Walkden"/>
    <s v="India"/>
    <s v="Eclairs"/>
    <x v="41"/>
    <n v="5334"/>
    <n v="80"/>
    <n v="66.674999999999997"/>
    <s v="April"/>
    <s v="Q2"/>
    <s v="Large"/>
  </r>
  <r>
    <s v="Marney O'Breen"/>
    <s v="USA"/>
    <s v="99% Dark &amp; Pure"/>
    <x v="71"/>
    <n v="4151"/>
    <n v="296"/>
    <n v="14.023648648648649"/>
    <s v="March"/>
    <s v="Q1"/>
    <s v="Large"/>
  </r>
  <r>
    <s v="Brien Boise"/>
    <s v="Canada"/>
    <s v="Spicy Special Slims"/>
    <x v="72"/>
    <n v="8106"/>
    <n v="101"/>
    <n v="80.257425742574256"/>
    <s v="March"/>
    <s v="Q1"/>
    <s v="Large"/>
  </r>
  <r>
    <s v="Karlen McCaffrey"/>
    <s v="New Zealand"/>
    <s v="70% Dark Bites"/>
    <x v="73"/>
    <n v="126"/>
    <n v="40"/>
    <n v="3.15"/>
    <s v="August"/>
    <s v="Q3"/>
    <s v="Small"/>
  </r>
  <r>
    <s v="Husein Augar"/>
    <s v="UK"/>
    <s v="Spicy Special Slims"/>
    <x v="74"/>
    <n v="4697"/>
    <n v="42"/>
    <n v="111.83333333333333"/>
    <s v="August"/>
    <s v="Q3"/>
    <s v="Large"/>
  </r>
  <r>
    <s v="Marney O'Breen"/>
    <s v="USA"/>
    <s v="Almond Choco"/>
    <x v="75"/>
    <n v="7798"/>
    <n v="167"/>
    <n v="46.694610778443113"/>
    <s v="February"/>
    <s v="Q1"/>
    <s v="Large"/>
  </r>
  <r>
    <s v="Kelci Walkden"/>
    <s v="India"/>
    <s v="Orange Choco"/>
    <x v="76"/>
    <n v="9408"/>
    <n v="138"/>
    <n v="68.173913043478265"/>
    <s v="June"/>
    <s v="Q2"/>
    <s v="Large"/>
  </r>
  <r>
    <s v="Jan Morforth"/>
    <s v="India"/>
    <s v="Spicy Special Slims"/>
    <x v="77"/>
    <n v="1939"/>
    <n v="520"/>
    <n v="3.7288461538461539"/>
    <s v="April"/>
    <s v="Q2"/>
    <s v="Large"/>
  </r>
  <r>
    <s v="Ches Bonnell"/>
    <s v="India"/>
    <s v="Spicy Special Slims"/>
    <x v="47"/>
    <n v="10906"/>
    <n v="94"/>
    <n v="116.02127659574468"/>
    <s v="July"/>
    <s v="Q3"/>
    <s v="Large"/>
  </r>
  <r>
    <s v="Kelci Walkden"/>
    <s v="UK"/>
    <s v="Smooth Sliky Salty"/>
    <x v="78"/>
    <n v="5929"/>
    <n v="175"/>
    <n v="33.880000000000003"/>
    <s v="January"/>
    <s v="Q1"/>
    <s v="Large"/>
  </r>
  <r>
    <s v="Madelene Upcott"/>
    <s v="Australia"/>
    <s v="Fruit &amp; Nut Bars"/>
    <x v="79"/>
    <n v="5579"/>
    <n v="92"/>
    <n v="60.641304347826086"/>
    <s v="January"/>
    <s v="Q1"/>
    <s v="Large"/>
  </r>
  <r>
    <s v="Madelene Upcott"/>
    <s v="Canada"/>
    <s v="70% Dark Bites"/>
    <x v="80"/>
    <n v="10927"/>
    <n v="141"/>
    <n v="77.496453900709213"/>
    <s v="January"/>
    <s v="Q1"/>
    <s v="Large"/>
  </r>
  <r>
    <s v="Wilone O'Kielt"/>
    <s v="Australia"/>
    <s v="Drinking Coco"/>
    <x v="81"/>
    <n v="623"/>
    <n v="283"/>
    <n v="2.2014134275618376"/>
    <s v="April"/>
    <s v="Q2"/>
    <s v="Large"/>
  </r>
  <r>
    <s v="Gunar Cockshoot"/>
    <s v="Australia"/>
    <s v="Fruit &amp; Nut Bars"/>
    <x v="26"/>
    <n v="6013"/>
    <n v="21"/>
    <n v="286.33333333333331"/>
    <s v="June"/>
    <s v="Q2"/>
    <s v="Large"/>
  </r>
  <r>
    <s v="Gigi Bohling"/>
    <s v="Canada"/>
    <s v="Baker's Choco Chips"/>
    <x v="82"/>
    <n v="1505"/>
    <n v="47"/>
    <n v="32.021276595744681"/>
    <s v="January"/>
    <s v="Q1"/>
    <s v="Large"/>
  </r>
  <r>
    <s v="Kelci Walkden"/>
    <s v="India"/>
    <s v="Caramel Stuffed Bars"/>
    <x v="83"/>
    <n v="476"/>
    <n v="125"/>
    <n v="3.8079999999999998"/>
    <s v="March"/>
    <s v="Q1"/>
    <s v="Small"/>
  </r>
  <r>
    <s v="Rafaelita Blaksland"/>
    <s v="Australia"/>
    <s v="Drinking Coco"/>
    <x v="84"/>
    <n v="11550"/>
    <n v="396"/>
    <n v="29.166666666666668"/>
    <s v="February"/>
    <s v="Q1"/>
    <s v="Large"/>
  </r>
  <r>
    <s v="Kelci Walkden"/>
    <s v="USA"/>
    <s v="Manuka Honey Choco"/>
    <x v="17"/>
    <n v="17318"/>
    <n v="87"/>
    <n v="199.05747126436782"/>
    <s v="February"/>
    <s v="Q1"/>
    <s v="Large"/>
  </r>
  <r>
    <s v="Jehu Rudeforth"/>
    <s v="Canada"/>
    <s v="Spicy Special Slims"/>
    <x v="10"/>
    <n v="1848"/>
    <n v="27"/>
    <n v="68.444444444444443"/>
    <s v="January"/>
    <s v="Q1"/>
    <s v="Large"/>
  </r>
  <r>
    <s v="Kelci Walkden"/>
    <s v="Australia"/>
    <s v="Eclairs"/>
    <x v="85"/>
    <n v="7273"/>
    <n v="547"/>
    <n v="13.296160877513712"/>
    <s v="March"/>
    <s v="Q1"/>
    <s v="Large"/>
  </r>
  <r>
    <s v="Curtice Advani"/>
    <s v="Canada"/>
    <s v="Spicy Special Slims"/>
    <x v="86"/>
    <n v="854"/>
    <n v="118"/>
    <n v="7.2372881355932206"/>
    <s v="June"/>
    <s v="Q2"/>
    <s v="Large"/>
  </r>
  <r>
    <s v="Oby Sorrel"/>
    <s v="India"/>
    <s v="Raspberry Choco"/>
    <x v="49"/>
    <n v="6832"/>
    <n v="46"/>
    <n v="148.52173913043478"/>
    <s v="April"/>
    <s v="Q2"/>
    <s v="Large"/>
  </r>
  <r>
    <s v="Kelci Walkden"/>
    <s v="UK"/>
    <s v="Eclairs"/>
    <x v="6"/>
    <n v="4606"/>
    <n v="57"/>
    <n v="80.807017543859644"/>
    <s v="January"/>
    <s v="Q1"/>
    <s v="Large"/>
  </r>
  <r>
    <s v="Jan Morforth"/>
    <s v="India"/>
    <s v="Almond Choco"/>
    <x v="54"/>
    <n v="4466"/>
    <n v="22"/>
    <n v="203"/>
    <s v="March"/>
    <s v="Q1"/>
    <s v="Large"/>
  </r>
  <r>
    <s v="Dotty Strutley"/>
    <s v="UK"/>
    <s v="Almond Choco"/>
    <x v="12"/>
    <n v="16114"/>
    <n v="96"/>
    <n v="167.85416666666666"/>
    <s v="July"/>
    <s v="Q3"/>
    <s v="Large"/>
  </r>
  <r>
    <s v="Marney O'Breen"/>
    <s v="New Zealand"/>
    <s v="After Nines"/>
    <x v="87"/>
    <n v="1561"/>
    <n v="44"/>
    <n v="35.477272727272727"/>
    <s v="March"/>
    <s v="Q1"/>
    <s v="Large"/>
  </r>
  <r>
    <s v="Husein Augar"/>
    <s v="Australia"/>
    <s v="Orange Choco"/>
    <x v="44"/>
    <n v="8897"/>
    <n v="188"/>
    <n v="47.324468085106382"/>
    <s v="June"/>
    <s v="Q2"/>
    <s v="Large"/>
  </r>
  <r>
    <s v="Marney O'Breen"/>
    <s v="Australia"/>
    <s v="Milk Bars"/>
    <x v="12"/>
    <n v="2464"/>
    <n v="387"/>
    <n v="6.3669250645994833"/>
    <s v="July"/>
    <s v="Q3"/>
    <s v="Large"/>
  </r>
  <r>
    <s v="Kelci Walkden"/>
    <s v="Canada"/>
    <s v="99% Dark &amp; Pure"/>
    <x v="88"/>
    <n v="4830"/>
    <n v="50"/>
    <n v="96.6"/>
    <s v="August"/>
    <s v="Q3"/>
    <s v="Large"/>
  </r>
  <r>
    <s v="Kaine Padly"/>
    <s v="Australia"/>
    <s v="Manuka Honey Choco"/>
    <x v="89"/>
    <n v="2765"/>
    <n v="264"/>
    <n v="10.473484848484848"/>
    <s v="January"/>
    <s v="Q1"/>
    <s v="Large"/>
  </r>
  <r>
    <s v="Beverie Moffet"/>
    <s v="New Zealand"/>
    <s v="White Choc"/>
    <x v="7"/>
    <n v="7126"/>
    <n v="7"/>
    <n v="1018"/>
    <s v="March"/>
    <s v="Q1"/>
    <s v="Large"/>
  </r>
  <r>
    <s v="Van Tuxwell"/>
    <s v="UK"/>
    <s v="Milk Bars"/>
    <x v="90"/>
    <n v="4263"/>
    <n v="90"/>
    <n v="47.366666666666667"/>
    <s v="July"/>
    <s v="Q3"/>
    <s v="Large"/>
  </r>
  <r>
    <s v="Oby Sorrel"/>
    <s v="Canada"/>
    <s v="99% Dark &amp; Pure"/>
    <x v="1"/>
    <n v="3605"/>
    <n v="403"/>
    <n v="8.9454094292803976"/>
    <s v="August"/>
    <s v="Q3"/>
    <s v="Large"/>
  </r>
  <r>
    <s v="Van Tuxwell"/>
    <s v="India"/>
    <s v="Organic Choco Syrup"/>
    <x v="45"/>
    <n v="19929"/>
    <n v="174"/>
    <n v="114.53448275862068"/>
    <s v="May"/>
    <s v="Q2"/>
    <s v="Large"/>
  </r>
  <r>
    <s v="Roddy Speechley"/>
    <s v="India"/>
    <s v="Smooth Sliky Salty"/>
    <x v="50"/>
    <n v="5103"/>
    <n v="140"/>
    <n v="36.450000000000003"/>
    <s v="August"/>
    <s v="Q3"/>
    <s v="Large"/>
  </r>
  <r>
    <s v="Jan Morforth"/>
    <s v="India"/>
    <s v="Eclairs"/>
    <x v="79"/>
    <n v="2541"/>
    <n v="27"/>
    <n v="94.111111111111114"/>
    <s v="January"/>
    <s v="Q1"/>
    <s v="Large"/>
  </r>
  <r>
    <s v="Ches Bonnell"/>
    <s v="UK"/>
    <s v="Smooth Sliky Salty"/>
    <x v="36"/>
    <n v="5663"/>
    <n v="110"/>
    <n v="51.481818181818184"/>
    <s v="July"/>
    <s v="Q3"/>
    <s v="Large"/>
  </r>
  <r>
    <s v="Wilone O'Kielt"/>
    <s v="USA"/>
    <s v="After Nines"/>
    <x v="91"/>
    <n v="392"/>
    <n v="30"/>
    <n v="13.066666666666666"/>
    <s v="April"/>
    <s v="Q2"/>
    <s v="Small"/>
  </r>
  <r>
    <s v="Gigi Bohling"/>
    <s v="New Zealand"/>
    <s v="Fruit &amp; Nut Bars"/>
    <x v="92"/>
    <n v="10976"/>
    <n v="121"/>
    <n v="90.710743801652896"/>
    <s v="April"/>
    <s v="Q2"/>
    <s v="Large"/>
  </r>
  <r>
    <s v="Barr Faughny"/>
    <s v="USA"/>
    <s v="Raspberry Choco"/>
    <x v="77"/>
    <n v="9282"/>
    <n v="101"/>
    <n v="91.900990099009903"/>
    <s v="April"/>
    <s v="Q2"/>
    <s v="Large"/>
  </r>
  <r>
    <s v="Wilone O'Kielt"/>
    <s v="New Zealand"/>
    <s v="85% Dark Bars"/>
    <x v="73"/>
    <n v="1827"/>
    <n v="117"/>
    <n v="15.615384615384615"/>
    <s v="August"/>
    <s v="Q3"/>
    <s v="Large"/>
  </r>
  <r>
    <s v="Gigi Bohling"/>
    <s v="New Zealand"/>
    <s v="Manuka Honey Choco"/>
    <x v="44"/>
    <n v="8267"/>
    <n v="272"/>
    <n v="30.393382352941178"/>
    <s v="June"/>
    <s v="Q2"/>
    <s v="Large"/>
  </r>
  <r>
    <s v="Ches Bonnell"/>
    <s v="Australia"/>
    <s v="Eclairs"/>
    <x v="25"/>
    <n v="4116"/>
    <n v="128"/>
    <n v="32.15625"/>
    <s v="July"/>
    <s v="Q3"/>
    <s v="Large"/>
  </r>
  <r>
    <s v="Rafaelita Blaksland"/>
    <s v="New Zealand"/>
    <s v="Choco Coated Almonds"/>
    <x v="76"/>
    <n v="2093"/>
    <n v="45"/>
    <n v="46.511111111111113"/>
    <s v="June"/>
    <s v="Q2"/>
    <s v="Large"/>
  </r>
  <r>
    <s v="Brien Boise"/>
    <s v="New Zealand"/>
    <s v="Smooth Sliky Salty"/>
    <x v="93"/>
    <n v="1015"/>
    <n v="27"/>
    <n v="37.592592592592595"/>
    <s v="January"/>
    <s v="Q1"/>
    <s v="Large"/>
  </r>
  <r>
    <s v="Brien Boise"/>
    <s v="Australia"/>
    <s v="Baker's Choco Chips"/>
    <x v="0"/>
    <n v="12516"/>
    <n v="212"/>
    <n v="59.037735849056602"/>
    <s v="January"/>
    <s v="Q1"/>
    <s v="Large"/>
  </r>
  <r>
    <s v="Dennison Crosswaite"/>
    <s v="Australia"/>
    <s v="99% Dark &amp; Pure"/>
    <x v="60"/>
    <n v="2758"/>
    <n v="18"/>
    <n v="153.22222222222223"/>
    <s v="January"/>
    <s v="Q1"/>
    <s v="Large"/>
  </r>
  <r>
    <s v="Kelci Walkden"/>
    <s v="India"/>
    <s v="Almond Choco"/>
    <x v="22"/>
    <n v="3297"/>
    <n v="149"/>
    <n v="22.127516778523489"/>
    <s v="March"/>
    <s v="Q1"/>
    <s v="Large"/>
  </r>
  <r>
    <s v="Camilla Castle"/>
    <s v="Australia"/>
    <s v="70% Dark Bites"/>
    <x v="94"/>
    <n v="6048"/>
    <n v="477"/>
    <n v="12.679245283018869"/>
    <s v="April"/>
    <s v="Q2"/>
    <s v="Large"/>
  </r>
  <r>
    <s v="Oby Sorrel"/>
    <s v="India"/>
    <s v="Smooth Sliky Salty"/>
    <x v="64"/>
    <n v="10101"/>
    <n v="108"/>
    <n v="93.527777777777771"/>
    <s v="February"/>
    <s v="Q1"/>
    <s v="Large"/>
  </r>
  <r>
    <s v="Kaine Padly"/>
    <s v="UK"/>
    <s v="Organic Choco Syrup"/>
    <x v="95"/>
    <n v="2282"/>
    <n v="178"/>
    <n v="12.820224719101123"/>
    <s v="March"/>
    <s v="Q1"/>
    <s v="Large"/>
  </r>
  <r>
    <s v="Marney O'Breen"/>
    <s v="India"/>
    <s v="Caramel Stuffed Bars"/>
    <x v="83"/>
    <n v="4361"/>
    <n v="81"/>
    <n v="53.839506172839506"/>
    <s v="March"/>
    <s v="Q1"/>
    <s v="Large"/>
  </r>
  <r>
    <s v="Karlen McCaffrey"/>
    <s v="UK"/>
    <s v="Eclairs"/>
    <x v="6"/>
    <n v="7798"/>
    <n v="196"/>
    <n v="39.785714285714285"/>
    <s v="January"/>
    <s v="Q1"/>
    <s v="Large"/>
  </r>
  <r>
    <s v="Van Tuxwell"/>
    <s v="India"/>
    <s v="Baker's Choco Chips"/>
    <x v="55"/>
    <n v="3052"/>
    <n v="447"/>
    <n v="6.8277404921700224"/>
    <s v="June"/>
    <s v="Q2"/>
    <s v="Large"/>
  </r>
  <r>
    <s v="Gigi Bohling"/>
    <s v="UK"/>
    <s v="After Nines"/>
    <x v="96"/>
    <n v="8029"/>
    <n v="175"/>
    <n v="45.88"/>
    <s v="March"/>
    <s v="Q1"/>
    <s v="Large"/>
  </r>
  <r>
    <s v="Curtice Advani"/>
    <s v="Australia"/>
    <s v="Orange Choco"/>
    <x v="97"/>
    <n v="854"/>
    <n v="136"/>
    <n v="6.2794117647058822"/>
    <s v="July"/>
    <s v="Q3"/>
    <s v="Large"/>
  </r>
  <r>
    <s v="Jehu Rudeforth"/>
    <s v="Canada"/>
    <s v="Smooth Sliky Salty"/>
    <x v="36"/>
    <n v="5460"/>
    <n v="138"/>
    <n v="39.565217391304351"/>
    <s v="July"/>
    <s v="Q3"/>
    <s v="Large"/>
  </r>
  <r>
    <s v="Karlen McCaffrey"/>
    <s v="Canada"/>
    <s v="Smooth Sliky Salty"/>
    <x v="78"/>
    <n v="3017"/>
    <n v="184"/>
    <n v="16.396739130434781"/>
    <s v="January"/>
    <s v="Q1"/>
    <s v="Large"/>
  </r>
  <r>
    <s v="Andria Kimpton"/>
    <s v="USA"/>
    <s v="85% Dark Bars"/>
    <x v="16"/>
    <n v="8911"/>
    <n v="82"/>
    <n v="108.67073170731707"/>
    <s v="April"/>
    <s v="Q2"/>
    <s v="Large"/>
  </r>
  <r>
    <s v="Jehu Rudeforth"/>
    <s v="Canada"/>
    <s v="Milk Bars"/>
    <x v="84"/>
    <n v="7203"/>
    <n v="12"/>
    <n v="600.25"/>
    <s v="February"/>
    <s v="Q1"/>
    <s v="Large"/>
  </r>
  <r>
    <s v="Rafaelita Blaksland"/>
    <s v="New Zealand"/>
    <s v="Caramel Stuffed Bars"/>
    <x v="98"/>
    <n v="13083"/>
    <n v="14"/>
    <n v="934.5"/>
    <s v="May"/>
    <s v="Q2"/>
    <s v="Large"/>
  </r>
  <r>
    <s v="Mallorie Waber"/>
    <s v="Australia"/>
    <s v="Milk Bars"/>
    <x v="99"/>
    <n v="2779"/>
    <n v="104"/>
    <n v="26.721153846153847"/>
    <s v="July"/>
    <s v="Q3"/>
    <s v="Large"/>
  </r>
  <r>
    <s v="Barr Faughny"/>
    <s v="USA"/>
    <s v="Fruit &amp; Nut Bars"/>
    <x v="82"/>
    <n v="9058"/>
    <n v="46"/>
    <n v="196.91304347826087"/>
    <s v="January"/>
    <s v="Q1"/>
    <s v="Large"/>
  </r>
  <r>
    <s v="Marney O'Breen"/>
    <s v="UK"/>
    <s v="Caramel Stuffed Bars"/>
    <x v="40"/>
    <n v="3549"/>
    <n v="112"/>
    <n v="31.6875"/>
    <s v="July"/>
    <s v="Q3"/>
    <s v="Large"/>
  </r>
  <r>
    <s v="Mallorie Waber"/>
    <s v="New Zealand"/>
    <s v="Manuka Honey Choco"/>
    <x v="100"/>
    <n v="9436"/>
    <n v="11"/>
    <n v="857.81818181818187"/>
    <s v="April"/>
    <s v="Q2"/>
    <s v="Large"/>
  </r>
  <r>
    <s v="Roddy Speechley"/>
    <s v="India"/>
    <s v="Peanut Butter Cubes"/>
    <x v="58"/>
    <n v="10283"/>
    <n v="21"/>
    <n v="489.66666666666669"/>
    <s v="February"/>
    <s v="Q1"/>
    <s v="Large"/>
  </r>
  <r>
    <s v="Roddy Speechley"/>
    <s v="New Zealand"/>
    <s v="Milk Bars"/>
    <x v="52"/>
    <n v="5446"/>
    <n v="116"/>
    <n v="46.948275862068968"/>
    <s v="March"/>
    <s v="Q1"/>
    <s v="Large"/>
  </r>
  <r>
    <s v="Ches Bonnell"/>
    <s v="Australia"/>
    <s v="White Choc"/>
    <x v="52"/>
    <n v="1043"/>
    <n v="202"/>
    <n v="5.1633663366336631"/>
    <s v="March"/>
    <s v="Q1"/>
    <s v="Large"/>
  </r>
  <r>
    <s v="Van Tuxwell"/>
    <s v="USA"/>
    <s v="99% Dark &amp; Pure"/>
    <x v="12"/>
    <n v="12586"/>
    <n v="6"/>
    <n v="2097.6666666666665"/>
    <s v="July"/>
    <s v="Q3"/>
    <s v="Large"/>
  </r>
  <r>
    <s v="Kelci Walkden"/>
    <s v="India"/>
    <s v="After Nines"/>
    <x v="101"/>
    <n v="1687"/>
    <n v="520"/>
    <n v="3.2442307692307693"/>
    <s v="January"/>
    <s v="Q1"/>
    <s v="Large"/>
  </r>
  <r>
    <s v="Brien Boise"/>
    <s v="UK"/>
    <s v="White Choc"/>
    <x v="77"/>
    <n v="5299"/>
    <n v="167"/>
    <n v="31.730538922155688"/>
    <s v="April"/>
    <s v="Q2"/>
    <s v="Large"/>
  </r>
  <r>
    <s v="Van Tuxwell"/>
    <s v="Canada"/>
    <s v="Almond Choco"/>
    <x v="19"/>
    <n v="3213"/>
    <n v="72"/>
    <n v="44.625"/>
    <s v="June"/>
    <s v="Q2"/>
    <s v="Large"/>
  </r>
  <r>
    <s v="Jehu Rudeforth"/>
    <s v="Australia"/>
    <s v="50% Dark Bites"/>
    <x v="102"/>
    <n v="5194"/>
    <n v="418"/>
    <n v="12.425837320574162"/>
    <s v="January"/>
    <s v="Q1"/>
    <s v="Large"/>
  </r>
  <r>
    <s v="Karlen McCaffrey"/>
    <s v="UK"/>
    <s v="Baker's Choco Chips"/>
    <x v="64"/>
    <n v="4753"/>
    <n v="389"/>
    <n v="12.218508997429305"/>
    <s v="February"/>
    <s v="Q1"/>
    <s v="Large"/>
  </r>
  <r>
    <s v="Jehu Rudeforth"/>
    <s v="Australia"/>
    <s v="Orange Choco"/>
    <x v="85"/>
    <n v="13706"/>
    <n v="26"/>
    <n v="527.15384615384619"/>
    <s v="March"/>
    <s v="Q1"/>
    <s v="Large"/>
  </r>
  <r>
    <s v="Marney O'Breen"/>
    <s v="India"/>
    <s v="Peanut Butter Cubes"/>
    <x v="53"/>
    <n v="6489"/>
    <n v="146"/>
    <n v="44.445205479452056"/>
    <s v="January"/>
    <s v="Q1"/>
    <s v="Large"/>
  </r>
  <r>
    <s v="Oby Sorrel"/>
    <s v="UK"/>
    <s v="Choco Coated Almonds"/>
    <x v="103"/>
    <n v="9324"/>
    <n v="41"/>
    <n v="227.41463414634146"/>
    <s v="March"/>
    <s v="Q1"/>
    <s v="Large"/>
  </r>
  <r>
    <s v="Gigi Bohling"/>
    <s v="USA"/>
    <s v="Spicy Special Slims"/>
    <x v="104"/>
    <n v="10829"/>
    <n v="54"/>
    <n v="200.53703703703704"/>
    <s v="January"/>
    <s v="Q1"/>
    <s v="Large"/>
  </r>
  <r>
    <s v="Barr Faughny"/>
    <s v="Australia"/>
    <s v="White Choc"/>
    <x v="9"/>
    <n v="8113"/>
    <n v="370"/>
    <n v="21.927027027027027"/>
    <s v="July"/>
    <s v="Q3"/>
    <s v="Large"/>
  </r>
  <r>
    <s v="Kaine Padly"/>
    <s v="Canada"/>
    <s v="Peanut Butter Cubes"/>
    <x v="9"/>
    <n v="3269"/>
    <n v="176"/>
    <n v="18.573863636363637"/>
    <s v="July"/>
    <s v="Q3"/>
    <s v="Large"/>
  </r>
  <r>
    <s v="Dotty Strutley"/>
    <s v="USA"/>
    <s v="Manuka Honey Choco"/>
    <x v="50"/>
    <n v="273"/>
    <n v="210"/>
    <n v="1.3"/>
    <s v="August"/>
    <s v="Q3"/>
    <s v="Small"/>
  </r>
  <r>
    <s v="Dennison Crosswaite"/>
    <s v="Australia"/>
    <s v="50% Dark Bites"/>
    <x v="69"/>
    <n v="7287"/>
    <n v="12"/>
    <n v="607.25"/>
    <s v="April"/>
    <s v="Q2"/>
    <s v="Large"/>
  </r>
  <r>
    <s v="Gigi Bohling"/>
    <s v="India"/>
    <s v="Raspberry Choco"/>
    <x v="105"/>
    <n v="2583"/>
    <n v="159"/>
    <n v="16.245283018867923"/>
    <s v="February"/>
    <s v="Q1"/>
    <s v="Large"/>
  </r>
  <r>
    <s v="Camilla Castle"/>
    <s v="UK"/>
    <s v="White Choc"/>
    <x v="67"/>
    <n v="9982"/>
    <n v="187"/>
    <n v="53.37967914438503"/>
    <s v="January"/>
    <s v="Q1"/>
    <s v="Large"/>
  </r>
  <r>
    <s v="Karlen McCaffrey"/>
    <s v="India"/>
    <s v="Drinking Coco"/>
    <x v="106"/>
    <n v="4795"/>
    <n v="233"/>
    <n v="20.579399141630901"/>
    <s v="May"/>
    <s v="Q2"/>
    <s v="Large"/>
  </r>
  <r>
    <s v="Dotty Strutley"/>
    <s v="UK"/>
    <s v="99% Dark &amp; Pure"/>
    <x v="67"/>
    <n v="9310"/>
    <n v="282"/>
    <n v="33.01418439716312"/>
    <s v="January"/>
    <s v="Q1"/>
    <s v="Large"/>
  </r>
  <r>
    <s v="Husein Augar"/>
    <s v="New Zealand"/>
    <s v="Caramel Stuffed Bars"/>
    <x v="59"/>
    <n v="497"/>
    <n v="475"/>
    <n v="1.0463157894736843"/>
    <s v="January"/>
    <s v="Q1"/>
    <s v="Small"/>
  </r>
  <r>
    <s v="Barr Faughny"/>
    <s v="UK"/>
    <s v="50% Dark Bites"/>
    <x v="82"/>
    <n v="581"/>
    <n v="65"/>
    <n v="8.9384615384615387"/>
    <s v="January"/>
    <s v="Q1"/>
    <s v="Large"/>
  </r>
  <r>
    <s v="Curtice Advani"/>
    <s v="Australia"/>
    <s v="Organic Choco Syrup"/>
    <x v="44"/>
    <n v="3472"/>
    <n v="311"/>
    <n v="11.163987138263666"/>
    <s v="June"/>
    <s v="Q2"/>
    <s v="Large"/>
  </r>
  <r>
    <s v="Husein Augar"/>
    <s v="UK"/>
    <s v="Choco Coated Almonds"/>
    <x v="52"/>
    <n v="4333"/>
    <n v="43"/>
    <n v="100.76744186046511"/>
    <s v="March"/>
    <s v="Q1"/>
    <s v="Large"/>
  </r>
  <r>
    <s v="Wilone O'Kielt"/>
    <s v="Australia"/>
    <s v="After Nines"/>
    <x v="48"/>
    <n v="3325"/>
    <n v="26"/>
    <n v="127.88461538461539"/>
    <s v="May"/>
    <s v="Q2"/>
    <s v="Large"/>
  </r>
  <r>
    <s v="Dennison Crosswaite"/>
    <s v="USA"/>
    <s v="Almond Choco"/>
    <x v="30"/>
    <n v="11718"/>
    <n v="84"/>
    <n v="139.5"/>
    <s v="June"/>
    <s v="Q2"/>
    <s v="Large"/>
  </r>
  <r>
    <s v="Barr Faughny"/>
    <s v="Canada"/>
    <s v="Peanut Butter Cubes"/>
    <x v="76"/>
    <n v="2100"/>
    <n v="78"/>
    <n v="26.923076923076923"/>
    <s v="June"/>
    <s v="Q2"/>
    <s v="Large"/>
  </r>
  <r>
    <s v="Kaine Padly"/>
    <s v="USA"/>
    <s v="70% Dark Bites"/>
    <x v="65"/>
    <n v="4018"/>
    <n v="100"/>
    <n v="40.18"/>
    <s v="May"/>
    <s v="Q2"/>
    <s v="Large"/>
  </r>
  <r>
    <s v="Barr Faughny"/>
    <s v="New Zealand"/>
    <s v="Raspberry Choco"/>
    <x v="99"/>
    <n v="6468"/>
    <n v="66"/>
    <n v="98"/>
    <s v="July"/>
    <s v="Q3"/>
    <s v="Large"/>
  </r>
  <r>
    <s v="Dennison Crosswaite"/>
    <s v="UK"/>
    <s v="White Choc"/>
    <x v="13"/>
    <n v="7238"/>
    <n v="265"/>
    <n v="27.31320754716981"/>
    <s v="August"/>
    <s v="Q3"/>
    <s v="Large"/>
  </r>
  <r>
    <s v="Barr Faughny"/>
    <s v="India"/>
    <s v="Baker's Choco Chips"/>
    <x v="61"/>
    <n v="6454"/>
    <n v="141"/>
    <n v="45.773049645390074"/>
    <s v="August"/>
    <s v="Q3"/>
    <s v="Large"/>
  </r>
  <r>
    <s v="Van Tuxwell"/>
    <s v="New Zealand"/>
    <s v="Smooth Sliky Salty"/>
    <x v="107"/>
    <n v="3115"/>
    <n v="42"/>
    <n v="74.166666666666671"/>
    <s v="June"/>
    <s v="Q2"/>
    <s v="Large"/>
  </r>
  <r>
    <s v="Beverie Moffet"/>
    <s v="UK"/>
    <s v="White Choc"/>
    <x v="30"/>
    <n v="6475"/>
    <n v="76"/>
    <n v="85.19736842105263"/>
    <s v="June"/>
    <s v="Q2"/>
    <s v="Large"/>
  </r>
  <r>
    <s v="Camilla Castle"/>
    <s v="New Zealand"/>
    <s v="Mint Chip Choco"/>
    <x v="108"/>
    <n v="1162"/>
    <n v="190"/>
    <n v="6.1157894736842104"/>
    <s v="June"/>
    <s v="Q2"/>
    <s v="Large"/>
  </r>
  <r>
    <s v="Ches Bonnell"/>
    <s v="UK"/>
    <s v="Orange Choco"/>
    <x v="3"/>
    <n v="14238"/>
    <n v="54"/>
    <n v="263.66666666666669"/>
    <s v="April"/>
    <s v="Q2"/>
    <s v="Large"/>
  </r>
  <r>
    <s v="Jan Morforth"/>
    <s v="Australia"/>
    <s v="White Choc"/>
    <x v="109"/>
    <n v="3472"/>
    <n v="32"/>
    <n v="108.5"/>
    <s v="July"/>
    <s v="Q3"/>
    <s v="Large"/>
  </r>
  <r>
    <s v="Mallorie Waber"/>
    <s v="Canada"/>
    <s v="85% Dark Bars"/>
    <x v="8"/>
    <n v="1428"/>
    <n v="424"/>
    <n v="3.3679245283018866"/>
    <s v="April"/>
    <s v="Q2"/>
    <s v="Large"/>
  </r>
  <r>
    <s v="Rafaelita Blaksland"/>
    <s v="India"/>
    <s v="Spicy Special Slims"/>
    <x v="0"/>
    <n v="8064"/>
    <n v="134"/>
    <n v="60.179104477611943"/>
    <s v="January"/>
    <s v="Q1"/>
    <s v="Large"/>
  </r>
  <r>
    <s v="Ches Bonnell"/>
    <s v="Australia"/>
    <s v="Mint Chip Choco"/>
    <x v="84"/>
    <n v="9660"/>
    <n v="92"/>
    <n v="105"/>
    <s v="February"/>
    <s v="Q1"/>
    <s v="Large"/>
  </r>
  <r>
    <s v="Karlen McCaffrey"/>
    <s v="Australia"/>
    <s v="White Choc"/>
    <x v="79"/>
    <n v="7357"/>
    <n v="48"/>
    <n v="153.27083333333334"/>
    <s v="January"/>
    <s v="Q1"/>
    <s v="Large"/>
  </r>
  <r>
    <s v="Beverie Moffet"/>
    <s v="India"/>
    <s v="Drinking Coco"/>
    <x v="42"/>
    <n v="6055"/>
    <n v="46"/>
    <n v="131.63043478260869"/>
    <s v="July"/>
    <s v="Q3"/>
    <s v="Large"/>
  </r>
  <r>
    <s v="Brien Boise"/>
    <s v="Australia"/>
    <s v="Choco Coated Almonds"/>
    <x v="63"/>
    <n v="5124"/>
    <n v="62"/>
    <n v="82.645161290322577"/>
    <s v="May"/>
    <s v="Q2"/>
    <s v="Large"/>
  </r>
  <r>
    <s v="Karlen McCaffrey"/>
    <s v="Canada"/>
    <s v="Eclairs"/>
    <x v="8"/>
    <n v="3479"/>
    <n v="358"/>
    <n v="9.7178770949720672"/>
    <s v="April"/>
    <s v="Q2"/>
    <s v="Large"/>
  </r>
  <r>
    <s v="Gigi Bohling"/>
    <s v="USA"/>
    <s v="99% Dark &amp; Pure"/>
    <x v="34"/>
    <n v="784"/>
    <n v="249"/>
    <n v="3.1485943775100402"/>
    <s v="June"/>
    <s v="Q2"/>
    <s v="Large"/>
  </r>
  <r>
    <s v="Marney O'Breen"/>
    <s v="UK"/>
    <s v="Smooth Sliky Salty"/>
    <x v="110"/>
    <n v="18991"/>
    <n v="88"/>
    <n v="215.80681818181819"/>
    <s v="May"/>
    <s v="Q2"/>
    <s v="Large"/>
  </r>
  <r>
    <s v="Beverie Moffet"/>
    <s v="New Zealand"/>
    <s v="Baker's Choco Chips"/>
    <x v="13"/>
    <n v="1372"/>
    <n v="144"/>
    <n v="9.5277777777777786"/>
    <s v="August"/>
    <s v="Q3"/>
    <s v="Large"/>
  </r>
  <r>
    <s v="Beverie Moffet"/>
    <s v="Australia"/>
    <s v="Milk Bars"/>
    <x v="63"/>
    <n v="735"/>
    <n v="390"/>
    <n v="1.8846153846153846"/>
    <s v="May"/>
    <s v="Q2"/>
    <s v="Large"/>
  </r>
  <r>
    <s v="Van Tuxwell"/>
    <s v="UK"/>
    <s v="Raspberry Choco"/>
    <x v="83"/>
    <n v="6538"/>
    <n v="79"/>
    <n v="82.759493670886073"/>
    <s v="March"/>
    <s v="Q1"/>
    <s v="Large"/>
  </r>
  <r>
    <s v="Jan Morforth"/>
    <s v="Australia"/>
    <s v="Orange Choco"/>
    <x v="9"/>
    <n v="3199"/>
    <n v="122"/>
    <n v="26.221311475409838"/>
    <s v="July"/>
    <s v="Q3"/>
    <s v="Large"/>
  </r>
  <r>
    <s v="Jehu Rudeforth"/>
    <s v="India"/>
    <s v="50% Dark Bites"/>
    <x v="25"/>
    <n v="3472"/>
    <n v="135"/>
    <n v="25.718518518518518"/>
    <s v="July"/>
    <s v="Q3"/>
    <s v="Large"/>
  </r>
  <r>
    <s v="Madelene Upcott"/>
    <s v="USA"/>
    <s v="After Nines"/>
    <x v="111"/>
    <n v="4571"/>
    <n v="430"/>
    <n v="10.630232558139534"/>
    <s v="March"/>
    <s v="Q1"/>
    <s v="Large"/>
  </r>
  <r>
    <s v="Barr Faughny"/>
    <s v="UK"/>
    <s v="Raspberry Choco"/>
    <x v="38"/>
    <n v="5481"/>
    <n v="69"/>
    <n v="79.434782608695656"/>
    <s v="August"/>
    <s v="Q3"/>
    <s v="Large"/>
  </r>
  <r>
    <s v="Ches Bonnell"/>
    <s v="Australia"/>
    <s v="70% Dark Bites"/>
    <x v="89"/>
    <n v="3136"/>
    <n v="125"/>
    <n v="25.088000000000001"/>
    <s v="January"/>
    <s v="Q1"/>
    <s v="Large"/>
  </r>
  <r>
    <s v="Marney O'Breen"/>
    <s v="UK"/>
    <s v="Baker's Choco Chips"/>
    <x v="39"/>
    <n v="252"/>
    <n v="154"/>
    <n v="1.6363636363636365"/>
    <s v="June"/>
    <s v="Q2"/>
    <s v="Small"/>
  </r>
  <r>
    <s v="Kaine Padly"/>
    <s v="Australia"/>
    <s v="Peanut Butter Cubes"/>
    <x v="112"/>
    <n v="5460"/>
    <n v="286"/>
    <n v="19.09090909090909"/>
    <s v="March"/>
    <s v="Q1"/>
    <s v="Large"/>
  </r>
  <r>
    <s v="Rafaelita Blaksland"/>
    <s v="India"/>
    <s v="Almond Choco"/>
    <x v="109"/>
    <n v="3395"/>
    <n v="99"/>
    <n v="34.292929292929294"/>
    <s v="July"/>
    <s v="Q3"/>
    <s v="Large"/>
  </r>
  <r>
    <s v="Husein Augar"/>
    <s v="UK"/>
    <s v="Caramel Stuffed Bars"/>
    <x v="35"/>
    <n v="14938"/>
    <n v="433"/>
    <n v="34.498845265588912"/>
    <s v="April"/>
    <s v="Q2"/>
    <s v="Large"/>
  </r>
  <r>
    <s v="Roddy Speechley"/>
    <s v="India"/>
    <s v="Orange Choco"/>
    <x v="19"/>
    <n v="4053"/>
    <n v="19"/>
    <n v="213.31578947368422"/>
    <s v="June"/>
    <s v="Q2"/>
    <s v="Large"/>
  </r>
  <r>
    <s v="Jehu Rudeforth"/>
    <s v="UK"/>
    <s v="70% Dark Bites"/>
    <x v="49"/>
    <n v="5565"/>
    <n v="258"/>
    <n v="21.569767441860463"/>
    <s v="April"/>
    <s v="Q2"/>
    <s v="Large"/>
  </r>
  <r>
    <s v="Husein Augar"/>
    <s v="Australia"/>
    <s v="Manuka Honey Choco"/>
    <x v="111"/>
    <n v="7161"/>
    <n v="92"/>
    <n v="77.836956521739125"/>
    <s v="March"/>
    <s v="Q1"/>
    <s v="Large"/>
  </r>
  <r>
    <s v="Madelene Upcott"/>
    <s v="USA"/>
    <s v="Eclairs"/>
    <x v="113"/>
    <n v="8883"/>
    <n v="200"/>
    <n v="44.414999999999999"/>
    <s v="March"/>
    <s v="Q1"/>
    <s v="Large"/>
  </r>
  <r>
    <s v="Brien Boise"/>
    <s v="India"/>
    <s v="Eclairs"/>
    <x v="94"/>
    <n v="1351"/>
    <n v="61"/>
    <n v="22.147540983606557"/>
    <s v="April"/>
    <s v="Q2"/>
    <s v="Large"/>
  </r>
  <r>
    <s v="Mallorie Waber"/>
    <s v="New Zealand"/>
    <s v="White Choc"/>
    <x v="75"/>
    <n v="3171"/>
    <n v="246"/>
    <n v="12.890243902439025"/>
    <s v="February"/>
    <s v="Q1"/>
    <s v="Large"/>
  </r>
  <r>
    <s v="Husein Augar"/>
    <s v="USA"/>
    <s v="Milk Bars"/>
    <x v="52"/>
    <n v="854"/>
    <n v="56"/>
    <n v="15.25"/>
    <s v="March"/>
    <s v="Q1"/>
    <s v="Large"/>
  </r>
  <r>
    <s v="Van Tuxwell"/>
    <s v="Australia"/>
    <s v="Milk Bars"/>
    <x v="55"/>
    <n v="7910"/>
    <n v="87"/>
    <n v="90.919540229885058"/>
    <s v="June"/>
    <s v="Q2"/>
    <s v="Large"/>
  </r>
  <r>
    <s v="Beverie Moffet"/>
    <s v="Canada"/>
    <s v="White Choc"/>
    <x v="42"/>
    <n v="9275"/>
    <n v="173"/>
    <n v="53.612716763005778"/>
    <s v="July"/>
    <s v="Q3"/>
    <s v="Large"/>
  </r>
  <r>
    <s v="Dotty Strutley"/>
    <s v="Australia"/>
    <s v="50% Dark Bites"/>
    <x v="65"/>
    <n v="3108"/>
    <n v="252"/>
    <n v="12.333333333333334"/>
    <s v="May"/>
    <s v="Q2"/>
    <s v="Large"/>
  </r>
  <r>
    <s v="Mallorie Waber"/>
    <s v="New Zealand"/>
    <s v="Organic Choco Syrup"/>
    <x v="114"/>
    <n v="5075"/>
    <n v="256"/>
    <n v="19.82421875"/>
    <s v="July"/>
    <s v="Q3"/>
    <s v="Large"/>
  </r>
  <r>
    <s v="Husein Augar"/>
    <s v="USA"/>
    <s v="85% Dark Bars"/>
    <x v="115"/>
    <n v="378"/>
    <n v="54"/>
    <n v="7"/>
    <s v="August"/>
    <s v="Q3"/>
    <s v="Small"/>
  </r>
  <r>
    <s v="Madelene Upcott"/>
    <s v="Australia"/>
    <s v="50% Dark Bites"/>
    <x v="90"/>
    <n v="7350"/>
    <n v="6"/>
    <n v="1225"/>
    <s v="July"/>
    <s v="Q3"/>
    <s v="Large"/>
  </r>
  <r>
    <s v="Wilone O'Kielt"/>
    <s v="UK"/>
    <s v="Drinking Coco"/>
    <x v="43"/>
    <n v="3388"/>
    <n v="55"/>
    <n v="61.6"/>
    <s v="May"/>
    <s v="Q2"/>
    <s v="Large"/>
  </r>
  <r>
    <s v="Camilla Castle"/>
    <s v="India"/>
    <s v="Peanut Butter Cubes"/>
    <x v="42"/>
    <n v="11837"/>
    <n v="277"/>
    <n v="42.73285198555957"/>
    <s v="July"/>
    <s v="Q3"/>
    <s v="Large"/>
  </r>
  <r>
    <s v="Curtice Advani"/>
    <s v="India"/>
    <s v="70% Dark Bites"/>
    <x v="25"/>
    <n v="2282"/>
    <n v="44"/>
    <n v="51.863636363636367"/>
    <s v="July"/>
    <s v="Q3"/>
    <s v="Large"/>
  </r>
  <r>
    <s v="Mallorie Waber"/>
    <s v="USA"/>
    <s v="Manuka Honey Choco"/>
    <x v="9"/>
    <n v="5425"/>
    <n v="96"/>
    <n v="56.510416666666664"/>
    <s v="July"/>
    <s v="Q3"/>
    <s v="Large"/>
  </r>
  <r>
    <s v="Dotty Strutley"/>
    <s v="UK"/>
    <s v="70% Dark Bites"/>
    <x v="55"/>
    <n v="1267"/>
    <n v="216"/>
    <n v="5.8657407407407405"/>
    <s v="June"/>
    <s v="Q2"/>
    <s v="Large"/>
  </r>
  <r>
    <s v="Gunar Cockshoot"/>
    <s v="Australia"/>
    <s v="Almond Choco"/>
    <x v="6"/>
    <n v="3752"/>
    <n v="424"/>
    <n v="8.8490566037735849"/>
    <s v="January"/>
    <s v="Q1"/>
    <s v="Large"/>
  </r>
  <r>
    <s v="Kaine Padly"/>
    <s v="New Zealand"/>
    <s v="Spicy Special Slims"/>
    <x v="114"/>
    <n v="7728"/>
    <n v="37"/>
    <n v="208.86486486486487"/>
    <s v="July"/>
    <s v="Q3"/>
    <s v="Large"/>
  </r>
  <r>
    <s v="Gigi Bohling"/>
    <s v="USA"/>
    <s v="50% Dark Bites"/>
    <x v="100"/>
    <n v="2296"/>
    <n v="59"/>
    <n v="38.915254237288138"/>
    <s v="April"/>
    <s v="Q2"/>
    <s v="Large"/>
  </r>
  <r>
    <s v="Beverie Moffet"/>
    <s v="UK"/>
    <s v="Smooth Sliky Salty"/>
    <x v="116"/>
    <n v="4403"/>
    <n v="76"/>
    <n v="57.934210526315788"/>
    <s v="May"/>
    <s v="Q2"/>
    <s v="Large"/>
  </r>
  <r>
    <s v="Beverie Moffet"/>
    <s v="Australia"/>
    <s v="Baker's Choco Chips"/>
    <x v="117"/>
    <n v="3192"/>
    <n v="109"/>
    <n v="29.284403669724771"/>
    <s v="August"/>
    <s v="Q3"/>
    <s v="Large"/>
  </r>
  <r>
    <s v="Beverie Moffet"/>
    <s v="India"/>
    <s v="70% Dark Bites"/>
    <x v="118"/>
    <n v="448"/>
    <n v="146"/>
    <n v="3.0684931506849313"/>
    <s v="June"/>
    <s v="Q2"/>
    <s v="Small"/>
  </r>
  <r>
    <s v="Jehu Rudeforth"/>
    <s v="UK"/>
    <s v="Choco Coated Almonds"/>
    <x v="119"/>
    <n v="4270"/>
    <n v="185"/>
    <n v="23.081081081081081"/>
    <s v="April"/>
    <s v="Q2"/>
    <s v="Large"/>
  </r>
  <r>
    <s v="Kaine Padly"/>
    <s v="USA"/>
    <s v="50% Dark Bites"/>
    <x v="13"/>
    <n v="70"/>
    <n v="27"/>
    <n v="2.5925925925925926"/>
    <s v="August"/>
    <s v="Q3"/>
    <s v="Small"/>
  </r>
  <r>
    <s v="Ches Bonnell"/>
    <s v="USA"/>
    <s v="Orange Choco"/>
    <x v="39"/>
    <n v="1743"/>
    <n v="69"/>
    <n v="25.260869565217391"/>
    <s v="June"/>
    <s v="Q2"/>
    <s v="Large"/>
  </r>
  <r>
    <s v="Gunar Cockshoot"/>
    <s v="UK"/>
    <s v="Manuka Honey Choco"/>
    <x v="19"/>
    <n v="6762"/>
    <n v="46"/>
    <n v="147"/>
    <s v="June"/>
    <s v="Q2"/>
    <s v="Large"/>
  </r>
  <r>
    <s v="Marney O'Breen"/>
    <s v="Australia"/>
    <s v="Smooth Sliky Salty"/>
    <x v="67"/>
    <n v="3745"/>
    <n v="170"/>
    <n v="22.029411764705884"/>
    <s v="January"/>
    <s v="Q1"/>
    <s v="Large"/>
  </r>
  <r>
    <s v="Marney O'Breen"/>
    <s v="India"/>
    <s v="After Nines"/>
    <x v="36"/>
    <n v="2639"/>
    <n v="179"/>
    <n v="14.743016759776536"/>
    <s v="July"/>
    <s v="Q3"/>
    <s v="Large"/>
  </r>
  <r>
    <s v="Ches Bonnell"/>
    <s v="New Zealand"/>
    <s v="Milk Bars"/>
    <x v="120"/>
    <n v="4389"/>
    <n v="126"/>
    <n v="34.833333333333336"/>
    <s v="August"/>
    <s v="Q3"/>
    <s v="Large"/>
  </r>
  <r>
    <s v="Rafaelita Blaksland"/>
    <s v="USA"/>
    <s v="Fruit &amp; Nut Bars"/>
    <x v="93"/>
    <n v="2604"/>
    <n v="65"/>
    <n v="40.061538461538461"/>
    <s v="January"/>
    <s v="Q1"/>
    <s v="Large"/>
  </r>
  <r>
    <s v="Ches Bonnell"/>
    <s v="India"/>
    <s v="Organic Choco Syrup"/>
    <x v="121"/>
    <n v="16569"/>
    <n v="99"/>
    <n v="167.36363636363637"/>
    <s v="March"/>
    <s v="Q1"/>
    <s v="Large"/>
  </r>
  <r>
    <s v="Mallorie Waber"/>
    <s v="Australia"/>
    <s v="Orange Choco"/>
    <x v="66"/>
    <n v="14658"/>
    <n v="275"/>
    <n v="53.301818181818184"/>
    <s v="March"/>
    <s v="Q1"/>
    <s v="Large"/>
  </r>
  <r>
    <s v="Husein Augar"/>
    <s v="India"/>
    <s v="70% Dark Bites"/>
    <x v="122"/>
    <n v="6454"/>
    <n v="157"/>
    <n v="41.108280254777071"/>
    <s v="May"/>
    <s v="Q2"/>
    <s v="Large"/>
  </r>
  <r>
    <s v="Barr Faughny"/>
    <s v="New Zealand"/>
    <s v="85% Dark Bars"/>
    <x v="123"/>
    <n v="2100"/>
    <n v="157"/>
    <n v="13.375796178343949"/>
    <s v="May"/>
    <s v="Q2"/>
    <s v="Large"/>
  </r>
  <r>
    <s v="Madelene Upcott"/>
    <s v="UK"/>
    <s v="Caramel Stuffed Bars"/>
    <x v="35"/>
    <n v="161"/>
    <n v="145"/>
    <n v="1.1103448275862069"/>
    <s v="April"/>
    <s v="Q2"/>
    <s v="Small"/>
  </r>
  <r>
    <s v="Gigi Bohling"/>
    <s v="Australia"/>
    <s v="Drinking Coco"/>
    <x v="109"/>
    <n v="2807"/>
    <n v="139"/>
    <n v="20.194244604316548"/>
    <s v="July"/>
    <s v="Q3"/>
    <s v="Large"/>
  </r>
  <r>
    <s v="Marney O'Breen"/>
    <s v="Canada"/>
    <s v="Choco Coated Almonds"/>
    <x v="38"/>
    <n v="2639"/>
    <n v="406"/>
    <n v="6.5"/>
    <s v="August"/>
    <s v="Q3"/>
    <s v="Large"/>
  </r>
  <r>
    <s v="Ches Bonnell"/>
    <s v="USA"/>
    <s v="70% Dark Bites"/>
    <x v="29"/>
    <n v="4571"/>
    <n v="122"/>
    <n v="37.467213114754095"/>
    <s v="May"/>
    <s v="Q2"/>
    <s v="Large"/>
  </r>
  <r>
    <s v="Madelene Upcott"/>
    <s v="India"/>
    <s v="Organic Choco Syrup"/>
    <x v="14"/>
    <n v="4781"/>
    <n v="38"/>
    <n v="125.81578947368421"/>
    <s v="January"/>
    <s v="Q1"/>
    <s v="Large"/>
  </r>
  <r>
    <s v="Barr Faughny"/>
    <s v="USA"/>
    <s v="50% Dark Bites"/>
    <x v="49"/>
    <n v="13034"/>
    <n v="117"/>
    <n v="111.4017094017094"/>
    <s v="April"/>
    <s v="Q2"/>
    <s v="Large"/>
  </r>
  <r>
    <s v="Dennison Crosswaite"/>
    <s v="New Zealand"/>
    <s v="Mint Chip Choco"/>
    <x v="16"/>
    <n v="6454"/>
    <n v="417"/>
    <n v="15.477218225419664"/>
    <s v="April"/>
    <s v="Q2"/>
    <s v="Large"/>
  </r>
  <r>
    <s v="Marney O'Breen"/>
    <s v="New Zealand"/>
    <s v="Smooth Sliky Salty"/>
    <x v="107"/>
    <n v="8484"/>
    <n v="57"/>
    <n v="148.84210526315789"/>
    <s v="June"/>
    <s v="Q2"/>
    <s v="Large"/>
  </r>
  <r>
    <s v="Brien Boise"/>
    <s v="Canada"/>
    <s v="Almond Choco"/>
    <x v="100"/>
    <n v="4781"/>
    <n v="125"/>
    <n v="38.247999999999998"/>
    <s v="April"/>
    <s v="Q2"/>
    <s v="Large"/>
  </r>
  <r>
    <s v="Beverie Moffet"/>
    <s v="Australia"/>
    <s v="White Choc"/>
    <x v="19"/>
    <n v="2240"/>
    <n v="166"/>
    <n v="13.493975903614459"/>
    <s v="June"/>
    <s v="Q2"/>
    <s v="Large"/>
  </r>
  <r>
    <s v="Dotty Strutley"/>
    <s v="Australia"/>
    <s v="Eclairs"/>
    <x v="14"/>
    <n v="6979"/>
    <n v="3"/>
    <n v="2326.3333333333335"/>
    <s v="January"/>
    <s v="Q1"/>
    <s v="Large"/>
  </r>
  <r>
    <s v="Barr Faughny"/>
    <s v="UK"/>
    <s v="White Choc"/>
    <x v="25"/>
    <n v="1652"/>
    <n v="72"/>
    <n v="22.944444444444443"/>
    <s v="July"/>
    <s v="Q3"/>
    <s v="Large"/>
  </r>
  <r>
    <s v="Beverie Moffet"/>
    <s v="Canada"/>
    <s v="Baker's Choco Chips"/>
    <x v="124"/>
    <n v="13447"/>
    <n v="95"/>
    <n v="141.54736842105262"/>
    <s v="January"/>
    <s v="Q1"/>
    <s v="Large"/>
  </r>
  <r>
    <s v="Kelci Walkden"/>
    <s v="USA"/>
    <s v="White Choc"/>
    <x v="66"/>
    <n v="9422"/>
    <n v="22"/>
    <n v="428.27272727272725"/>
    <s v="March"/>
    <s v="Q1"/>
    <s v="Large"/>
  </r>
  <r>
    <s v="Kaine Padly"/>
    <s v="Canada"/>
    <s v="50% Dark Bites"/>
    <x v="72"/>
    <n v="8687"/>
    <n v="100"/>
    <n v="86.87"/>
    <s v="March"/>
    <s v="Q1"/>
    <s v="Large"/>
  </r>
  <r>
    <s v="Karlen McCaffrey"/>
    <s v="Canada"/>
    <s v="Organic Choco Syrup"/>
    <x v="42"/>
    <n v="2415"/>
    <n v="312"/>
    <n v="7.740384615384615"/>
    <s v="July"/>
    <s v="Q3"/>
    <s v="Large"/>
  </r>
  <r>
    <s v="Kaine Padly"/>
    <s v="UK"/>
    <s v="Peanut Butter Cubes"/>
    <x v="29"/>
    <n v="6272"/>
    <n v="86"/>
    <n v="72.930232558139537"/>
    <s v="May"/>
    <s v="Q2"/>
    <s v="Large"/>
  </r>
  <r>
    <s v="Karlen McCaffrey"/>
    <s v="USA"/>
    <s v="Milk Bars"/>
    <x v="59"/>
    <n v="4389"/>
    <n v="7"/>
    <n v="627"/>
    <s v="January"/>
    <s v="Q1"/>
    <s v="Large"/>
  </r>
  <r>
    <s v="Karlen McCaffrey"/>
    <s v="India"/>
    <s v="Orange Choco"/>
    <x v="19"/>
    <n v="3122"/>
    <n v="149"/>
    <n v="20.953020134228186"/>
    <s v="June"/>
    <s v="Q2"/>
    <s v="Large"/>
  </r>
  <r>
    <s v="Ches Bonnell"/>
    <s v="India"/>
    <s v="Smooth Sliky Salty"/>
    <x v="13"/>
    <n v="8043"/>
    <n v="18"/>
    <n v="446.83333333333331"/>
    <s v="August"/>
    <s v="Q3"/>
    <s v="Large"/>
  </r>
  <r>
    <s v="Wilone O'Kielt"/>
    <s v="New Zealand"/>
    <s v="Mint Chip Choco"/>
    <x v="125"/>
    <n v="11662"/>
    <n v="242"/>
    <n v="48.190082644628099"/>
    <s v="August"/>
    <s v="Q3"/>
    <s v="Large"/>
  </r>
  <r>
    <s v="Wilone O'Kielt"/>
    <s v="Australia"/>
    <s v="Fruit &amp; Nut Bars"/>
    <x v="26"/>
    <n v="392"/>
    <n v="102"/>
    <n v="3.8431372549019609"/>
    <s v="June"/>
    <s v="Q2"/>
    <s v="Small"/>
  </r>
  <r>
    <s v="Dennison Crosswaite"/>
    <s v="UK"/>
    <s v="Peanut Butter Cubes"/>
    <x v="64"/>
    <n v="8925"/>
    <n v="158"/>
    <n v="56.4873417721519"/>
    <s v="February"/>
    <s v="Q1"/>
    <s v="Large"/>
  </r>
  <r>
    <s v="Karlen McCaffrey"/>
    <s v="Australia"/>
    <s v="Almond Choco"/>
    <x v="51"/>
    <n v="7294"/>
    <n v="128"/>
    <n v="56.984375"/>
    <s v="July"/>
    <s v="Q3"/>
    <s v="Large"/>
  </r>
  <r>
    <s v="Dennison Crosswaite"/>
    <s v="India"/>
    <s v="Milk Bars"/>
    <x v="126"/>
    <n v="1526"/>
    <n v="96"/>
    <n v="15.895833333333334"/>
    <s v="April"/>
    <s v="Q2"/>
    <s v="Large"/>
  </r>
  <r>
    <s v="Ches Bonnell"/>
    <s v="UK"/>
    <s v="Mint Chip Choco"/>
    <x v="70"/>
    <n v="2688"/>
    <n v="209"/>
    <n v="12.861244019138756"/>
    <s v="April"/>
    <s v="Q2"/>
    <s v="Large"/>
  </r>
  <r>
    <s v="Husein Augar"/>
    <s v="Australia"/>
    <s v="50% Dark Bites"/>
    <x v="125"/>
    <n v="14889"/>
    <n v="52"/>
    <n v="286.32692307692309"/>
    <s v="August"/>
    <s v="Q3"/>
    <s v="Large"/>
  </r>
  <r>
    <s v="Jan Morforth"/>
    <s v="India"/>
    <s v="Fruit &amp; Nut Bars"/>
    <x v="116"/>
    <n v="2912"/>
    <n v="55"/>
    <n v="52.945454545454545"/>
    <s v="May"/>
    <s v="Q2"/>
    <s v="Large"/>
  </r>
  <r>
    <s v="Mallorie Waber"/>
    <s v="USA"/>
    <s v="85% Dark Bars"/>
    <x v="29"/>
    <n v="2632"/>
    <n v="108"/>
    <n v="24.37037037037037"/>
    <s v="May"/>
    <s v="Q2"/>
    <s v="Large"/>
  </r>
  <r>
    <s v="Mallorie Waber"/>
    <s v="USA"/>
    <s v="Eclairs"/>
    <x v="127"/>
    <n v="6328"/>
    <n v="51"/>
    <n v="124.07843137254902"/>
    <s v="March"/>
    <s v="Q1"/>
    <s v="Large"/>
  </r>
  <r>
    <s v="Dennison Crosswaite"/>
    <s v="Canada"/>
    <s v="Spicy Special Slims"/>
    <x v="50"/>
    <n v="2527"/>
    <n v="216"/>
    <n v="11.699074074074074"/>
    <s v="August"/>
    <s v="Q3"/>
    <s v="Large"/>
  </r>
  <r>
    <s v="Dennison Crosswaite"/>
    <s v="USA"/>
    <s v="Fruit &amp; Nut Bars"/>
    <x v="116"/>
    <n v="1414"/>
    <n v="318"/>
    <n v="4.4465408805031448"/>
    <s v="May"/>
    <s v="Q2"/>
    <s v="Large"/>
  </r>
  <r>
    <s v="Kelci Walkden"/>
    <s v="USA"/>
    <s v="99% Dark &amp; Pure"/>
    <x v="61"/>
    <n v="7714"/>
    <n v="238"/>
    <n v="32.411764705882355"/>
    <s v="August"/>
    <s v="Q3"/>
    <s v="Large"/>
  </r>
  <r>
    <s v="Dotty Strutley"/>
    <s v="Canada"/>
    <s v="Raspberry Choco"/>
    <x v="13"/>
    <n v="4347"/>
    <n v="238"/>
    <n v="18.264705882352942"/>
    <s v="August"/>
    <s v="Q3"/>
    <s v="Large"/>
  </r>
  <r>
    <s v="Marney O'Breen"/>
    <s v="New Zealand"/>
    <s v="Milk Bars"/>
    <x v="102"/>
    <n v="7490"/>
    <n v="315"/>
    <n v="23.777777777777779"/>
    <s v="January"/>
    <s v="Q1"/>
    <s v="Large"/>
  </r>
  <r>
    <s v="Madelene Upcott"/>
    <s v="Australia"/>
    <s v="Choco Coated Almonds"/>
    <x v="70"/>
    <n v="2058"/>
    <n v="72"/>
    <n v="28.583333333333332"/>
    <s v="April"/>
    <s v="Q2"/>
    <s v="Large"/>
  </r>
  <r>
    <s v="Kelci Walkden"/>
    <s v="UK"/>
    <s v="Orange Choco"/>
    <x v="1"/>
    <n v="3640"/>
    <n v="3"/>
    <n v="1213.3333333333333"/>
    <s v="August"/>
    <s v="Q3"/>
    <s v="Large"/>
  </r>
  <r>
    <s v="Dennison Crosswaite"/>
    <s v="Canada"/>
    <s v="Eclairs"/>
    <x v="111"/>
    <n v="455"/>
    <n v="45"/>
    <n v="10.111111111111111"/>
    <s v="March"/>
    <s v="Q1"/>
    <s v="Small"/>
  </r>
  <r>
    <s v="Karlen McCaffrey"/>
    <s v="India"/>
    <s v="Mint Chip Choco"/>
    <x v="42"/>
    <n v="10990"/>
    <n v="184"/>
    <n v="59.728260869565219"/>
    <s v="July"/>
    <s v="Q3"/>
    <s v="Large"/>
  </r>
  <r>
    <s v="Barr Faughny"/>
    <s v="New Zealand"/>
    <s v="Almond Choco"/>
    <x v="10"/>
    <n v="5558"/>
    <n v="127"/>
    <n v="43.763779527559052"/>
    <s v="January"/>
    <s v="Q1"/>
    <s v="Large"/>
  </r>
  <r>
    <s v="Mallorie Waber"/>
    <s v="Australia"/>
    <s v="85% Dark Bars"/>
    <x v="56"/>
    <n v="2541"/>
    <n v="53"/>
    <n v="47.943396226415096"/>
    <s v="August"/>
    <s v="Q3"/>
    <s v="Large"/>
  </r>
  <r>
    <s v="Ches Bonnell"/>
    <s v="Canada"/>
    <s v="Eclairs"/>
    <x v="53"/>
    <n v="1876"/>
    <n v="172"/>
    <n v="10.906976744186046"/>
    <s v="January"/>
    <s v="Q1"/>
    <s v="Large"/>
  </r>
  <r>
    <s v="Gigi Bohling"/>
    <s v="Australia"/>
    <s v="White Choc"/>
    <x v="29"/>
    <n v="5523"/>
    <n v="87"/>
    <n v="63.482758620689658"/>
    <s v="May"/>
    <s v="Q2"/>
    <s v="Large"/>
  </r>
  <r>
    <s v="Beverie Moffet"/>
    <s v="New Zealand"/>
    <s v="85% Dark Bars"/>
    <x v="128"/>
    <n v="11200"/>
    <n v="22"/>
    <n v="509.09090909090907"/>
    <s v="August"/>
    <s v="Q3"/>
    <s v="Large"/>
  </r>
  <r>
    <s v="Kaine Padly"/>
    <s v="USA"/>
    <s v="Caramel Stuffed Bars"/>
    <x v="129"/>
    <n v="5593"/>
    <n v="122"/>
    <n v="45.844262295081968"/>
    <s v="July"/>
    <s v="Q3"/>
    <s v="Large"/>
  </r>
  <r>
    <s v="Mallorie Waber"/>
    <s v="Australia"/>
    <s v="Almond Choco"/>
    <x v="1"/>
    <n v="7882"/>
    <n v="125"/>
    <n v="63.055999999999997"/>
    <s v="August"/>
    <s v="Q3"/>
    <s v="Large"/>
  </r>
  <r>
    <s v="Brien Boise"/>
    <s v="Canada"/>
    <s v="85% Dark Bars"/>
    <x v="20"/>
    <n v="10241"/>
    <n v="259"/>
    <n v="39.54054054054054"/>
    <s v="February"/>
    <s v="Q1"/>
    <s v="Large"/>
  </r>
  <r>
    <s v="Brien Boise"/>
    <s v="Australia"/>
    <s v="Drinking Coco"/>
    <x v="109"/>
    <n v="6832"/>
    <n v="156"/>
    <n v="43.794871794871796"/>
    <s v="July"/>
    <s v="Q3"/>
    <s v="Large"/>
  </r>
  <r>
    <s v="Dotty Strutley"/>
    <s v="USA"/>
    <s v="Orange Choco"/>
    <x v="37"/>
    <n v="1379"/>
    <n v="107"/>
    <n v="12.88785046728972"/>
    <s v="February"/>
    <s v="Q1"/>
    <s v="Large"/>
  </r>
  <r>
    <s v="Rafaelita Blaksland"/>
    <s v="Australia"/>
    <s v="50% Dark Bites"/>
    <x v="127"/>
    <n v="3010"/>
    <n v="40"/>
    <n v="75.25"/>
    <s v="March"/>
    <s v="Q1"/>
    <s v="Large"/>
  </r>
  <r>
    <s v="Dennison Crosswaite"/>
    <s v="India"/>
    <s v="99% Dark &amp; Pure"/>
    <x v="130"/>
    <n v="6888"/>
    <n v="311"/>
    <n v="22.14790996784566"/>
    <s v="June"/>
    <s v="Q2"/>
    <s v="Large"/>
  </r>
  <r>
    <s v="Curtice Advani"/>
    <s v="UK"/>
    <s v="White Choc"/>
    <x v="131"/>
    <n v="1540"/>
    <n v="73"/>
    <n v="21.095890410958905"/>
    <s v="February"/>
    <s v="Q1"/>
    <s v="Large"/>
  </r>
  <r>
    <s v="Kelci Walkden"/>
    <s v="Australia"/>
    <s v="After Nines"/>
    <x v="52"/>
    <n v="6916"/>
    <n v="288"/>
    <n v="24.013888888888889"/>
    <s v="March"/>
    <s v="Q1"/>
    <s v="Large"/>
  </r>
  <r>
    <s v="Gigi Bohling"/>
    <s v="UK"/>
    <s v="Fruit &amp; Nut Bars"/>
    <x v="81"/>
    <n v="1232"/>
    <n v="86"/>
    <n v="14.325581395348838"/>
    <s v="April"/>
    <s v="Q2"/>
    <s v="Large"/>
  </r>
  <r>
    <s v="Gunar Cockshoot"/>
    <s v="Australia"/>
    <s v="Raspberry Choco"/>
    <x v="103"/>
    <n v="602"/>
    <n v="72"/>
    <n v="8.3611111111111107"/>
    <s v="March"/>
    <s v="Q1"/>
    <s v="Large"/>
  </r>
  <r>
    <s v="Curtice Advani"/>
    <s v="UK"/>
    <s v="Fruit &amp; Nut Bars"/>
    <x v="132"/>
    <n v="10927"/>
    <n v="136"/>
    <n v="80.345588235294116"/>
    <s v="June"/>
    <s v="Q2"/>
    <s v="Large"/>
  </r>
  <r>
    <s v="Barr Faughny"/>
    <s v="Canada"/>
    <s v="50% Dark Bites"/>
    <x v="40"/>
    <n v="10185"/>
    <n v="303"/>
    <n v="33.613861386138616"/>
    <s v="July"/>
    <s v="Q3"/>
    <s v="Large"/>
  </r>
  <r>
    <s v="Curtice Advani"/>
    <s v="USA"/>
    <s v="Spicy Special Slims"/>
    <x v="36"/>
    <n v="1603"/>
    <n v="264"/>
    <n v="6.0719696969696972"/>
    <s v="July"/>
    <s v="Q3"/>
    <s v="Large"/>
  </r>
  <r>
    <s v="Brien Boise"/>
    <s v="India"/>
    <s v="Almond Choco"/>
    <x v="10"/>
    <n v="2170"/>
    <n v="218"/>
    <n v="9.9541284403669721"/>
    <s v="January"/>
    <s v="Q1"/>
    <s v="Large"/>
  </r>
  <r>
    <s v="Oby Sorrel"/>
    <s v="New Zealand"/>
    <s v="Smooth Sliky Salty"/>
    <x v="2"/>
    <n v="8673"/>
    <n v="60"/>
    <n v="144.55000000000001"/>
    <s v="July"/>
    <s v="Q3"/>
    <s v="Large"/>
  </r>
  <r>
    <s v="Jan Morforth"/>
    <s v="India"/>
    <s v="85% Dark Bars"/>
    <x v="63"/>
    <n v="4760"/>
    <n v="418"/>
    <n v="11.387559808612441"/>
    <s v="May"/>
    <s v="Q2"/>
    <s v="Large"/>
  </r>
  <r>
    <s v="Marney O'Breen"/>
    <s v="India"/>
    <s v="Fruit &amp; Nut Bars"/>
    <x v="100"/>
    <n v="4753"/>
    <n v="151"/>
    <n v="31.476821192052981"/>
    <s v="April"/>
    <s v="Q2"/>
    <s v="Large"/>
  </r>
  <r>
    <s v="Andria Kimpton"/>
    <s v="New Zealand"/>
    <s v="50% Dark Bites"/>
    <x v="52"/>
    <n v="3374"/>
    <n v="202"/>
    <n v="16.702970297029704"/>
    <s v="March"/>
    <s v="Q1"/>
    <s v="Large"/>
  </r>
  <r>
    <s v="Gunar Cockshoot"/>
    <s v="Canada"/>
    <s v="Raspberry Choco"/>
    <x v="130"/>
    <n v="2058"/>
    <n v="126"/>
    <n v="16.333333333333332"/>
    <s v="June"/>
    <s v="Q2"/>
    <s v="Large"/>
  </r>
  <r>
    <s v="Kelci Walkden"/>
    <s v="USA"/>
    <s v="Drinking Coco"/>
    <x v="68"/>
    <n v="6454"/>
    <n v="160"/>
    <n v="40.337499999999999"/>
    <s v="July"/>
    <s v="Q3"/>
    <s v="Large"/>
  </r>
  <r>
    <s v="Van Tuxwell"/>
    <s v="Canada"/>
    <s v="White Choc"/>
    <x v="127"/>
    <n v="420"/>
    <n v="3"/>
    <n v="140"/>
    <s v="March"/>
    <s v="Q1"/>
    <s v="Small"/>
  </r>
  <r>
    <s v="Rafaelita Blaksland"/>
    <s v="USA"/>
    <s v="Baker's Choco Chips"/>
    <x v="133"/>
    <n v="2863"/>
    <n v="58"/>
    <n v="49.362068965517238"/>
    <s v="June"/>
    <s v="Q2"/>
    <s v="Large"/>
  </r>
  <r>
    <s v="Van Tuxwell"/>
    <s v="Australia"/>
    <s v="Caramel Stuffed Bars"/>
    <x v="134"/>
    <n v="5936"/>
    <n v="59"/>
    <n v="100.61016949152543"/>
    <s v="May"/>
    <s v="Q2"/>
    <s v="Large"/>
  </r>
  <r>
    <s v="Ches Bonnell"/>
    <s v="New Zealand"/>
    <s v="Peanut Butter Cubes"/>
    <x v="72"/>
    <n v="889"/>
    <n v="273"/>
    <n v="3.2564102564102564"/>
    <s v="March"/>
    <s v="Q1"/>
    <s v="Large"/>
  </r>
  <r>
    <s v="Kelci Walkden"/>
    <s v="Canada"/>
    <s v="Milk Bars"/>
    <x v="2"/>
    <n v="16016"/>
    <n v="28"/>
    <n v="572"/>
    <s v="July"/>
    <s v="Q3"/>
    <s v="Large"/>
  </r>
  <r>
    <s v="Dennison Crosswaite"/>
    <s v="Canada"/>
    <s v="Choco Coated Almonds"/>
    <x v="10"/>
    <n v="10479"/>
    <n v="118"/>
    <n v="88.805084745762713"/>
    <s v="January"/>
    <s v="Q1"/>
    <s v="Large"/>
  </r>
  <r>
    <s v="Curtice Advani"/>
    <s v="Australia"/>
    <s v="Almond Choco"/>
    <x v="57"/>
    <n v="2912"/>
    <n v="75"/>
    <n v="38.826666666666668"/>
    <s v="July"/>
    <s v="Q3"/>
    <s v="Large"/>
  </r>
  <r>
    <s v="Madelene Upcott"/>
    <s v="Australia"/>
    <s v="85% Dark Bars"/>
    <x v="86"/>
    <n v="1575"/>
    <n v="329"/>
    <n v="4.7872340425531918"/>
    <s v="June"/>
    <s v="Q2"/>
    <s v="Large"/>
  </r>
  <r>
    <s v="Gigi Bohling"/>
    <s v="UK"/>
    <s v="50% Dark Bites"/>
    <x v="135"/>
    <n v="8197"/>
    <n v="69"/>
    <n v="118.79710144927536"/>
    <s v="July"/>
    <s v="Q3"/>
    <s v="Large"/>
  </r>
  <r>
    <s v="Ches Bonnell"/>
    <s v="UK"/>
    <s v="Manuka Honey Choco"/>
    <x v="21"/>
    <n v="4221"/>
    <n v="395"/>
    <n v="10.686075949367089"/>
    <s v="May"/>
    <s v="Q2"/>
    <s v="Large"/>
  </r>
  <r>
    <s v="Gigi Bohling"/>
    <s v="UK"/>
    <s v="70% Dark Bites"/>
    <x v="136"/>
    <n v="840"/>
    <n v="81"/>
    <n v="10.37037037037037"/>
    <s v="June"/>
    <s v="Q2"/>
    <s v="Large"/>
  </r>
  <r>
    <s v="Jehu Rudeforth"/>
    <s v="Australia"/>
    <s v="Peanut Butter Cubes"/>
    <x v="132"/>
    <n v="5691"/>
    <n v="38"/>
    <n v="149.76315789473685"/>
    <s v="June"/>
    <s v="Q2"/>
    <s v="Large"/>
  </r>
  <r>
    <s v="Marney O'Breen"/>
    <s v="India"/>
    <s v="Eclairs"/>
    <x v="10"/>
    <n v="3472"/>
    <n v="96"/>
    <n v="36.166666666666664"/>
    <s v="January"/>
    <s v="Q1"/>
    <s v="Large"/>
  </r>
  <r>
    <s v="Curtice Advani"/>
    <s v="Canada"/>
    <s v="Fruit &amp; Nut Bars"/>
    <x v="92"/>
    <n v="4193"/>
    <n v="195"/>
    <n v="21.502564102564104"/>
    <s v="April"/>
    <s v="Q2"/>
    <s v="Large"/>
  </r>
  <r>
    <s v="Kaine Padly"/>
    <s v="UK"/>
    <s v="Smooth Sliky Salty"/>
    <x v="18"/>
    <n v="9016"/>
    <n v="554"/>
    <n v="16.274368231046932"/>
    <s v="June"/>
    <s v="Q2"/>
    <s v="Large"/>
  </r>
  <r>
    <s v="Karlen McCaffrey"/>
    <s v="Canada"/>
    <s v="Spicy Special Slims"/>
    <x v="73"/>
    <n v="6328"/>
    <n v="47"/>
    <n v="134.63829787234042"/>
    <s v="August"/>
    <s v="Q3"/>
    <s v="Large"/>
  </r>
  <r>
    <s v="Kelci Walkden"/>
    <s v="USA"/>
    <s v="Organic Choco Syrup"/>
    <x v="129"/>
    <n v="9870"/>
    <n v="152"/>
    <n v="64.934210526315795"/>
    <s v="July"/>
    <s v="Q3"/>
    <s v="Large"/>
  </r>
  <r>
    <s v="Curtice Advani"/>
    <s v="India"/>
    <s v="Spicy Special Slims"/>
    <x v="55"/>
    <n v="161"/>
    <n v="134"/>
    <n v="1.2014925373134329"/>
    <s v="June"/>
    <s v="Q2"/>
    <s v="Small"/>
  </r>
  <r>
    <s v="Roddy Speechley"/>
    <s v="India"/>
    <s v="After Nines"/>
    <x v="137"/>
    <n v="2576"/>
    <n v="112"/>
    <n v="23"/>
    <s v="June"/>
    <s v="Q2"/>
    <s v="Large"/>
  </r>
  <r>
    <s v="Camilla Castle"/>
    <s v="Australia"/>
    <s v="Caramel Stuffed Bars"/>
    <x v="138"/>
    <n v="3178"/>
    <n v="16"/>
    <n v="198.625"/>
    <s v="May"/>
    <s v="Q2"/>
    <s v="Large"/>
  </r>
  <r>
    <s v="Curtice Advani"/>
    <s v="Australia"/>
    <s v="99% Dark &amp; Pure"/>
    <x v="101"/>
    <n v="4676"/>
    <n v="84"/>
    <n v="55.666666666666664"/>
    <s v="January"/>
    <s v="Q1"/>
    <s v="Large"/>
  </r>
  <r>
    <s v="Mallorie Waber"/>
    <s v="UK"/>
    <s v="50% Dark Bites"/>
    <x v="84"/>
    <n v="5502"/>
    <n v="99"/>
    <n v="55.575757575757578"/>
    <s v="February"/>
    <s v="Q1"/>
    <s v="Large"/>
  </r>
  <r>
    <s v="Ches Bonnell"/>
    <s v="Canada"/>
    <s v="Baker's Choco Chips"/>
    <x v="139"/>
    <n v="7462"/>
    <n v="371"/>
    <n v="20.113207547169811"/>
    <s v="March"/>
    <s v="Q1"/>
    <s v="Large"/>
  </r>
  <r>
    <s v="Van Tuxwell"/>
    <s v="UK"/>
    <s v="Drinking Coco"/>
    <x v="92"/>
    <n v="5803"/>
    <n v="136"/>
    <n v="42.669117647058826"/>
    <s v="April"/>
    <s v="Q2"/>
    <s v="Large"/>
  </r>
  <r>
    <s v="Gunar Cockshoot"/>
    <s v="Canada"/>
    <s v="Fruit &amp; Nut Bars"/>
    <x v="7"/>
    <n v="13888"/>
    <n v="203"/>
    <n v="68.41379310344827"/>
    <s v="March"/>
    <s v="Q1"/>
    <s v="Large"/>
  </r>
  <r>
    <s v="Gunar Cockshoot"/>
    <s v="New Zealand"/>
    <s v="Spicy Special Slims"/>
    <x v="44"/>
    <n v="6867"/>
    <n v="183"/>
    <n v="37.524590163934427"/>
    <s v="June"/>
    <s v="Q2"/>
    <s v="Large"/>
  </r>
  <r>
    <s v="Gunar Cockshoot"/>
    <s v="Australia"/>
    <s v="Drinking Coco"/>
    <x v="102"/>
    <n v="2317"/>
    <n v="195"/>
    <n v="11.882051282051282"/>
    <s v="January"/>
    <s v="Q1"/>
    <s v="Large"/>
  </r>
  <r>
    <s v="Karlen McCaffrey"/>
    <s v="New Zealand"/>
    <s v="Fruit &amp; Nut Bars"/>
    <x v="64"/>
    <n v="1218"/>
    <n v="135"/>
    <n v="9.0222222222222221"/>
    <s v="February"/>
    <s v="Q1"/>
    <s v="Large"/>
  </r>
  <r>
    <s v="Dennison Crosswaite"/>
    <s v="New Zealand"/>
    <s v="Drinking Coco"/>
    <x v="124"/>
    <n v="4109"/>
    <n v="197"/>
    <n v="20.857868020304569"/>
    <s v="January"/>
    <s v="Q1"/>
    <s v="Large"/>
  </r>
  <r>
    <s v="Jehu Rudeforth"/>
    <s v="India"/>
    <s v="99% Dark &amp; Pure"/>
    <x v="75"/>
    <n v="1953"/>
    <n v="242"/>
    <n v="8.0702479338842981"/>
    <s v="February"/>
    <s v="Q1"/>
    <s v="Large"/>
  </r>
  <r>
    <s v="Dotty Strutley"/>
    <s v="Australia"/>
    <s v="Mint Chip Choco"/>
    <x v="1"/>
    <n v="6790"/>
    <n v="25"/>
    <n v="271.60000000000002"/>
    <s v="August"/>
    <s v="Q3"/>
    <s v="Large"/>
  </r>
  <r>
    <s v="Roddy Speechley"/>
    <s v="Australia"/>
    <s v="Mint Chip Choco"/>
    <x v="140"/>
    <n v="6797"/>
    <n v="252"/>
    <n v="26.972222222222221"/>
    <s v="May"/>
    <s v="Q2"/>
    <s v="Large"/>
  </r>
  <r>
    <s v="Madelene Upcott"/>
    <s v="New Zealand"/>
    <s v="Raspberry Choco"/>
    <x v="43"/>
    <n v="9226"/>
    <n v="415"/>
    <n v="22.231325301204819"/>
    <s v="May"/>
    <s v="Q2"/>
    <s v="Large"/>
  </r>
  <r>
    <s v="Dotty Strutley"/>
    <s v="New Zealand"/>
    <s v="Choco Coated Almonds"/>
    <x v="0"/>
    <n v="5733"/>
    <n v="348"/>
    <n v="16.474137931034484"/>
    <s v="January"/>
    <s v="Q1"/>
    <s v="Large"/>
  </r>
  <r>
    <s v="Roddy Speechley"/>
    <s v="New Zealand"/>
    <s v="50% Dark Bites"/>
    <x v="122"/>
    <n v="4312"/>
    <n v="211"/>
    <n v="20.436018957345972"/>
    <s v="May"/>
    <s v="Q2"/>
    <s v="Large"/>
  </r>
  <r>
    <s v="Rafaelita Blaksland"/>
    <s v="India"/>
    <s v="Smooth Sliky Salty"/>
    <x v="141"/>
    <n v="1638"/>
    <n v="81"/>
    <n v="20.222222222222221"/>
    <s v="May"/>
    <s v="Q2"/>
    <s v="Large"/>
  </r>
  <r>
    <s v="Husein Augar"/>
    <s v="UK"/>
    <s v="White Choc"/>
    <x v="10"/>
    <n v="10815"/>
    <n v="145"/>
    <n v="74.58620689655173"/>
    <s v="January"/>
    <s v="Q1"/>
    <s v="Large"/>
  </r>
  <r>
    <s v="Roddy Speechley"/>
    <s v="Australia"/>
    <s v="Almond Choco"/>
    <x v="132"/>
    <n v="4466"/>
    <n v="74"/>
    <n v="60.351351351351354"/>
    <s v="June"/>
    <s v="Q2"/>
    <s v="Large"/>
  </r>
  <r>
    <s v="Van Tuxwell"/>
    <s v="USA"/>
    <s v="Caramel Stuffed Bars"/>
    <x v="15"/>
    <n v="987"/>
    <n v="21"/>
    <n v="47"/>
    <s v="February"/>
    <s v="Q1"/>
    <s v="Large"/>
  </r>
  <r>
    <s v="Camilla Castle"/>
    <s v="Australia"/>
    <s v="99% Dark &amp; Pure"/>
    <x v="93"/>
    <n v="4669"/>
    <n v="101"/>
    <n v="46.227722772277225"/>
    <s v="January"/>
    <s v="Q1"/>
    <s v="Large"/>
  </r>
  <r>
    <s v="Kaine Padly"/>
    <s v="India"/>
    <s v="Milk Bars"/>
    <x v="138"/>
    <n v="2905"/>
    <n v="91"/>
    <n v="31.923076923076923"/>
    <s v="May"/>
    <s v="Q2"/>
    <s v="Large"/>
  </r>
  <r>
    <s v="Ches Bonnell"/>
    <s v="Australia"/>
    <s v="Smooth Sliky Salty"/>
    <x v="45"/>
    <n v="7490"/>
    <n v="54"/>
    <n v="138.7037037037037"/>
    <s v="May"/>
    <s v="Q2"/>
    <s v="Large"/>
  </r>
  <r>
    <s v="Mallorie Waber"/>
    <s v="USA"/>
    <s v="Almond Choco"/>
    <x v="82"/>
    <n v="6986"/>
    <n v="368"/>
    <n v="18.983695652173914"/>
    <s v="January"/>
    <s v="Q1"/>
    <s v="Large"/>
  </r>
  <r>
    <s v="Kaine Padly"/>
    <s v="Canada"/>
    <s v="99% Dark &amp; Pure"/>
    <x v="132"/>
    <n v="1288"/>
    <n v="409"/>
    <n v="3.1491442542787285"/>
    <s v="June"/>
    <s v="Q2"/>
    <s v="Large"/>
  </r>
  <r>
    <s v="Oby Sorrel"/>
    <s v="UK"/>
    <s v="After Nines"/>
    <x v="135"/>
    <n v="2345"/>
    <n v="104"/>
    <n v="22.548076923076923"/>
    <s v="July"/>
    <s v="Q3"/>
    <s v="Large"/>
  </r>
  <r>
    <s v="Gunar Cockshoot"/>
    <s v="UK"/>
    <s v="Eclairs"/>
    <x v="100"/>
    <n v="3619"/>
    <n v="164"/>
    <n v="22.067073170731707"/>
    <s v="April"/>
    <s v="Q2"/>
    <s v="Large"/>
  </r>
  <r>
    <s v="Dotty Strutley"/>
    <s v="USA"/>
    <s v="Caramel Stuffed Bars"/>
    <x v="35"/>
    <n v="16982"/>
    <n v="76"/>
    <n v="223.44736842105263"/>
    <s v="April"/>
    <s v="Q2"/>
    <s v="Large"/>
  </r>
  <r>
    <s v="Jan Morforth"/>
    <s v="India"/>
    <s v="Peanut Butter Cubes"/>
    <x v="0"/>
    <n v="8092"/>
    <n v="178"/>
    <n v="45.460674157303373"/>
    <s v="January"/>
    <s v="Q1"/>
    <s v="Large"/>
  </r>
  <r>
    <s v="Husein Augar"/>
    <s v="Australia"/>
    <s v="Eclairs"/>
    <x v="9"/>
    <n v="6993"/>
    <n v="31"/>
    <n v="225.58064516129033"/>
    <s v="July"/>
    <s v="Q3"/>
    <s v="Large"/>
  </r>
  <r>
    <s v="Beverie Moffet"/>
    <s v="USA"/>
    <s v="Smooth Sliky Salty"/>
    <x v="7"/>
    <n v="2317"/>
    <n v="352"/>
    <n v="6.5823863636363633"/>
    <s v="March"/>
    <s v="Q1"/>
    <s v="Large"/>
  </r>
  <r>
    <s v="Camilla Castle"/>
    <s v="Australia"/>
    <s v="Manuka Honey Choco"/>
    <x v="103"/>
    <n v="637"/>
    <n v="169"/>
    <n v="3.7692307692307692"/>
    <s v="March"/>
    <s v="Q1"/>
    <s v="Large"/>
  </r>
  <r>
    <s v="Oby Sorrel"/>
    <s v="Australia"/>
    <s v="Almond Choco"/>
    <x v="142"/>
    <n v="6034"/>
    <n v="223"/>
    <n v="27.058295964125559"/>
    <s v="February"/>
    <s v="Q1"/>
    <s v="Large"/>
  </r>
  <r>
    <s v="Jan Morforth"/>
    <s v="USA"/>
    <s v="Orange Choco"/>
    <x v="28"/>
    <n v="980"/>
    <n v="146"/>
    <n v="6.7123287671232879"/>
    <s v="June"/>
    <s v="Q2"/>
    <s v="Large"/>
  </r>
  <r>
    <s v="Gigi Bohling"/>
    <s v="USA"/>
    <s v="Fruit &amp; Nut Bars"/>
    <x v="27"/>
    <n v="2821"/>
    <n v="112"/>
    <n v="25.1875"/>
    <s v="May"/>
    <s v="Q2"/>
    <s v="Large"/>
  </r>
  <r>
    <s v="Mallorie Waber"/>
    <s v="UK"/>
    <s v="Milk Bars"/>
    <x v="53"/>
    <n v="3563"/>
    <n v="284"/>
    <n v="12.545774647887324"/>
    <s v="January"/>
    <s v="Q1"/>
    <s v="Large"/>
  </r>
  <r>
    <s v="Curtice Advani"/>
    <s v="USA"/>
    <s v="Raspberry Choco"/>
    <x v="111"/>
    <n v="2996"/>
    <n v="139"/>
    <n v="21.553956834532375"/>
    <s v="March"/>
    <s v="Q1"/>
    <s v="Large"/>
  </r>
  <r>
    <s v="Marney O'Breen"/>
    <s v="Canada"/>
    <s v="Milk Bars"/>
    <x v="143"/>
    <n v="2436"/>
    <n v="309"/>
    <n v="7.883495145631068"/>
    <s v="February"/>
    <s v="Q1"/>
    <s v="Large"/>
  </r>
  <r>
    <s v="Brien Boise"/>
    <s v="India"/>
    <s v="Caramel Stuffed Bars"/>
    <x v="75"/>
    <n v="1540"/>
    <n v="100"/>
    <n v="15.4"/>
    <s v="February"/>
    <s v="Q1"/>
    <s v="Large"/>
  </r>
  <r>
    <s v="Gunar Cockshoot"/>
    <s v="USA"/>
    <s v="Eclairs"/>
    <x v="144"/>
    <n v="6916"/>
    <n v="42"/>
    <n v="164.66666666666666"/>
    <s v="May"/>
    <s v="Q2"/>
    <s v="Large"/>
  </r>
  <r>
    <s v="Roddy Speechley"/>
    <s v="USA"/>
    <s v="Fruit &amp; Nut Bars"/>
    <x v="107"/>
    <n v="5509"/>
    <n v="24"/>
    <n v="229.54166666666666"/>
    <s v="June"/>
    <s v="Q2"/>
    <s v="Large"/>
  </r>
  <r>
    <s v="Gunar Cockshoot"/>
    <s v="India"/>
    <s v="50% Dark Bites"/>
    <x v="145"/>
    <n v="12992"/>
    <n v="83"/>
    <n v="156.53012048192772"/>
    <s v="August"/>
    <s v="Q3"/>
    <s v="Large"/>
  </r>
  <r>
    <s v="Wilone O'Kielt"/>
    <s v="New Zealand"/>
    <s v="Manuka Honey Choco"/>
    <x v="36"/>
    <n v="3724"/>
    <n v="234"/>
    <n v="15.914529914529915"/>
    <s v="July"/>
    <s v="Q3"/>
    <s v="Large"/>
  </r>
  <r>
    <s v="Kaine Padly"/>
    <s v="UK"/>
    <s v="Manuka Honey Choco"/>
    <x v="102"/>
    <n v="7133"/>
    <n v="118"/>
    <n v="60.449152542372879"/>
    <s v="January"/>
    <s v="Q1"/>
    <s v="Large"/>
  </r>
  <r>
    <s v="Van Tuxwell"/>
    <s v="Canada"/>
    <s v="Manuka Honey Choco"/>
    <x v="4"/>
    <n v="8617"/>
    <n v="46"/>
    <n v="187.32608695652175"/>
    <s v="February"/>
    <s v="Q1"/>
    <s v="Large"/>
  </r>
  <r>
    <s v="Wilone O'Kielt"/>
    <s v="New Zealand"/>
    <s v="Almond Choco"/>
    <x v="111"/>
    <n v="9198"/>
    <n v="144"/>
    <n v="63.875"/>
    <s v="March"/>
    <s v="Q1"/>
    <s v="Large"/>
  </r>
  <r>
    <s v="Oby Sorrel"/>
    <s v="New Zealand"/>
    <s v="Baker's Choco Chips"/>
    <x v="91"/>
    <n v="11823"/>
    <n v="47"/>
    <n v="251.55319148936169"/>
    <s v="April"/>
    <s v="Q2"/>
    <s v="Large"/>
  </r>
  <r>
    <s v="Dennison Crosswaite"/>
    <s v="Australia"/>
    <s v="Organic Choco Syrup"/>
    <x v="146"/>
    <n v="5775"/>
    <n v="41"/>
    <n v="140.85365853658536"/>
    <s v="May"/>
    <s v="Q2"/>
    <s v="Large"/>
  </r>
  <r>
    <s v="Marney O'Breen"/>
    <s v="Australia"/>
    <s v="Spicy Special Slims"/>
    <x v="130"/>
    <n v="13125"/>
    <n v="275"/>
    <n v="47.727272727272727"/>
    <s v="June"/>
    <s v="Q2"/>
    <s v="Large"/>
  </r>
  <r>
    <s v="Beverie Moffet"/>
    <s v="Canada"/>
    <s v="Smooth Sliky Salty"/>
    <x v="23"/>
    <n v="14287"/>
    <n v="370"/>
    <n v="38.61351351351351"/>
    <s v="February"/>
    <s v="Q1"/>
    <s v="Large"/>
  </r>
  <r>
    <s v="Brien Boise"/>
    <s v="USA"/>
    <s v="Organic Choco Syrup"/>
    <x v="63"/>
    <n v="16233"/>
    <n v="138"/>
    <n v="117.6304347826087"/>
    <s v="May"/>
    <s v="Q2"/>
    <s v="Large"/>
  </r>
  <r>
    <s v="Roddy Speechley"/>
    <s v="New Zealand"/>
    <s v="Baker's Choco Chips"/>
    <x v="105"/>
    <n v="5313"/>
    <n v="215"/>
    <n v="24.711627906976744"/>
    <s v="February"/>
    <s v="Q1"/>
    <s v="Large"/>
  </r>
  <r>
    <s v="Van Tuxwell"/>
    <s v="UK"/>
    <s v="85% Dark Bars"/>
    <x v="36"/>
    <n v="3577"/>
    <n v="134"/>
    <n v="26.694029850746269"/>
    <s v="July"/>
    <s v="Q3"/>
    <s v="Large"/>
  </r>
  <r>
    <s v="Marney O'Breen"/>
    <s v="Canada"/>
    <s v="Spicy Special Slims"/>
    <x v="67"/>
    <n v="3528"/>
    <n v="336"/>
    <n v="10.5"/>
    <s v="January"/>
    <s v="Q1"/>
    <s v="Large"/>
  </r>
  <r>
    <s v="Rafaelita Blaksland"/>
    <s v="New Zealand"/>
    <s v="70% Dark Bites"/>
    <x v="32"/>
    <n v="679"/>
    <n v="280"/>
    <n v="2.4249999999999998"/>
    <s v="August"/>
    <s v="Q3"/>
    <s v="Large"/>
  </r>
  <r>
    <s v="Beverie Moffet"/>
    <s v="USA"/>
    <s v="50% Dark Bites"/>
    <x v="12"/>
    <n v="2450"/>
    <n v="352"/>
    <n v="6.9602272727272725"/>
    <s v="July"/>
    <s v="Q3"/>
    <s v="Large"/>
  </r>
  <r>
    <s v="Brien Boise"/>
    <s v="USA"/>
    <s v="Mint Chip Choco"/>
    <x v="63"/>
    <n v="10577"/>
    <n v="150"/>
    <n v="70.513333333333335"/>
    <s v="May"/>
    <s v="Q2"/>
    <s v="Large"/>
  </r>
  <r>
    <s v="Karlen McCaffrey"/>
    <s v="New Zealand"/>
    <s v="Eclairs"/>
    <x v="141"/>
    <n v="2597"/>
    <n v="177"/>
    <n v="14.672316384180791"/>
    <s v="May"/>
    <s v="Q2"/>
    <s v="Large"/>
  </r>
  <r>
    <s v="Barr Faughny"/>
    <s v="India"/>
    <s v="Drinking Coco"/>
    <x v="82"/>
    <n v="2219"/>
    <n v="142"/>
    <n v="15.626760563380282"/>
    <s v="January"/>
    <s v="Q1"/>
    <s v="Large"/>
  </r>
  <r>
    <s v="Marney O'Breen"/>
    <s v="UK"/>
    <s v="Orange Choco"/>
    <x v="5"/>
    <n v="11319"/>
    <n v="12"/>
    <n v="943.25"/>
    <s v="June"/>
    <s v="Q2"/>
    <s v="Large"/>
  </r>
  <r>
    <s v="Brien Boise"/>
    <s v="New Zealand"/>
    <s v="Baker's Choco Chips"/>
    <x v="97"/>
    <n v="5978"/>
    <n v="24"/>
    <n v="249.08333333333334"/>
    <s v="July"/>
    <s v="Q3"/>
    <s v="Large"/>
  </r>
  <r>
    <s v="Ches Bonnell"/>
    <s v="Canada"/>
    <s v="Spicy Special Slims"/>
    <x v="147"/>
    <n v="5327"/>
    <n v="183"/>
    <n v="29.10928961748634"/>
    <s v="August"/>
    <s v="Q3"/>
    <s v="Large"/>
  </r>
  <r>
    <s v="Brien Boise"/>
    <s v="USA"/>
    <s v="Orange Choco"/>
    <x v="82"/>
    <n v="6020"/>
    <n v="147"/>
    <n v="40.952380952380949"/>
    <s v="January"/>
    <s v="Q1"/>
    <s v="Large"/>
  </r>
  <r>
    <s v="Kaine Padly"/>
    <s v="India"/>
    <s v="Spicy Special Slims"/>
    <x v="148"/>
    <n v="5614"/>
    <n v="137"/>
    <n v="40.978102189781019"/>
    <s v="August"/>
    <s v="Q3"/>
    <s v="Large"/>
  </r>
  <r>
    <s v="Mallorie Waber"/>
    <s v="USA"/>
    <s v="50% Dark Bites"/>
    <x v="41"/>
    <n v="1736"/>
    <n v="13"/>
    <n v="133.53846153846155"/>
    <s v="April"/>
    <s v="Q2"/>
    <s v="Large"/>
  </r>
  <r>
    <s v="Mallorie Waber"/>
    <s v="UK"/>
    <s v="Mint Chip Choco"/>
    <x v="28"/>
    <n v="6384"/>
    <n v="2"/>
    <n v="3192"/>
    <s v="June"/>
    <s v="Q2"/>
    <s v="Large"/>
  </r>
  <r>
    <s v="Beverie Moffet"/>
    <s v="India"/>
    <s v="Choco Coated Almonds"/>
    <x v="4"/>
    <n v="3577"/>
    <n v="261"/>
    <n v="13.704980842911878"/>
    <s v="February"/>
    <s v="Q1"/>
    <s v="Large"/>
  </r>
  <r>
    <s v="Madelene Upcott"/>
    <s v="UK"/>
    <s v="Smooth Sliky Salty"/>
    <x v="72"/>
    <n v="14539"/>
    <n v="84"/>
    <n v="173.08333333333334"/>
    <s v="March"/>
    <s v="Q1"/>
    <s v="Large"/>
  </r>
  <r>
    <s v="Gigi Bohling"/>
    <s v="India"/>
    <s v="Eclairs"/>
    <x v="136"/>
    <n v="3493"/>
    <n v="68"/>
    <n v="51.367647058823529"/>
    <s v="June"/>
    <s v="Q2"/>
    <s v="Large"/>
  </r>
  <r>
    <s v="Rafaelita Blaksland"/>
    <s v="Australia"/>
    <s v="Organic Choco Syrup"/>
    <x v="14"/>
    <n v="994"/>
    <n v="105"/>
    <n v="9.4666666666666668"/>
    <s v="January"/>
    <s v="Q1"/>
    <s v="Large"/>
  </r>
  <r>
    <s v="Oby Sorrel"/>
    <s v="New Zealand"/>
    <s v="White Choc"/>
    <x v="39"/>
    <n v="4361"/>
    <n v="40"/>
    <n v="109.02500000000001"/>
    <s v="June"/>
    <s v="Q2"/>
    <s v="Large"/>
  </r>
  <r>
    <s v="Andria Kimpton"/>
    <s v="UK"/>
    <s v="Drinking Coco"/>
    <x v="123"/>
    <n v="1554"/>
    <n v="65"/>
    <n v="23.907692307692308"/>
    <s v="May"/>
    <s v="Q2"/>
    <s v="Large"/>
  </r>
  <r>
    <s v="Kelci Walkden"/>
    <s v="India"/>
    <s v="Milk Bars"/>
    <x v="35"/>
    <n v="966"/>
    <n v="107"/>
    <n v="9.0280373831775709"/>
    <s v="April"/>
    <s v="Q2"/>
    <s v="Large"/>
  </r>
  <r>
    <s v="Karlen McCaffrey"/>
    <s v="New Zealand"/>
    <s v="Caramel Stuffed Bars"/>
    <x v="60"/>
    <n v="5334"/>
    <n v="227"/>
    <n v="23.497797356828194"/>
    <s v="January"/>
    <s v="Q1"/>
    <s v="Large"/>
  </r>
  <r>
    <s v="Andria Kimpton"/>
    <s v="New Zealand"/>
    <s v="Organic Choco Syrup"/>
    <x v="72"/>
    <n v="4935"/>
    <n v="39"/>
    <n v="126.53846153846153"/>
    <s v="March"/>
    <s v="Q1"/>
    <s v="Large"/>
  </r>
  <r>
    <s v="Barr Faughny"/>
    <s v="New Zealand"/>
    <s v="After Nines"/>
    <x v="41"/>
    <n v="10024"/>
    <n v="84"/>
    <n v="119.33333333333333"/>
    <s v="April"/>
    <s v="Q2"/>
    <s v="Large"/>
  </r>
  <r>
    <s v="Beverie Moffet"/>
    <s v="UK"/>
    <s v="Almond Choco"/>
    <x v="45"/>
    <n v="2506"/>
    <n v="100"/>
    <n v="25.06"/>
    <s v="May"/>
    <s v="Q2"/>
    <s v="Large"/>
  </r>
  <r>
    <s v="Oby Sorrel"/>
    <s v="Australia"/>
    <s v="Raspberry Choco"/>
    <x v="20"/>
    <n v="1043"/>
    <n v="120"/>
    <n v="8.6916666666666664"/>
    <s v="February"/>
    <s v="Q1"/>
    <s v="Large"/>
  </r>
  <r>
    <s v="Dennison Crosswaite"/>
    <s v="USA"/>
    <s v="Raspberry Choco"/>
    <x v="93"/>
    <n v="6524"/>
    <n v="257"/>
    <n v="25.3852140077821"/>
    <s v="January"/>
    <s v="Q1"/>
    <s v="Large"/>
  </r>
  <r>
    <s v="Roddy Speechley"/>
    <s v="Canada"/>
    <s v="Orange Choco"/>
    <x v="24"/>
    <n v="8148"/>
    <n v="85"/>
    <n v="95.858823529411765"/>
    <s v="February"/>
    <s v="Q1"/>
    <s v="Large"/>
  </r>
  <r>
    <s v="Mallorie Waber"/>
    <s v="Canada"/>
    <s v="Orange Choco"/>
    <x v="85"/>
    <n v="3577"/>
    <n v="178"/>
    <n v="20.09550561797753"/>
    <s v="March"/>
    <s v="Q1"/>
    <s v="Large"/>
  </r>
  <r>
    <s v="Madelene Upcott"/>
    <s v="New Zealand"/>
    <s v="Caramel Stuffed Bars"/>
    <x v="131"/>
    <n v="3374"/>
    <n v="151"/>
    <n v="22.344370860927153"/>
    <s v="February"/>
    <s v="Q1"/>
    <s v="Large"/>
  </r>
  <r>
    <s v="Mallorie Waber"/>
    <s v="India"/>
    <s v="Drinking Coco"/>
    <x v="66"/>
    <n v="3948"/>
    <n v="142"/>
    <n v="27.802816901408452"/>
    <s v="March"/>
    <s v="Q1"/>
    <s v="Large"/>
  </r>
  <r>
    <s v="Ches Bonnell"/>
    <s v="UK"/>
    <s v="White Choc"/>
    <x v="67"/>
    <n v="3269"/>
    <n v="226"/>
    <n v="14.464601769911505"/>
    <s v="January"/>
    <s v="Q1"/>
    <s v="Large"/>
  </r>
  <r>
    <s v="Ches Bonnell"/>
    <s v="USA"/>
    <s v="White Choc"/>
    <x v="58"/>
    <n v="5271"/>
    <n v="341"/>
    <n v="15.457478005865102"/>
    <s v="February"/>
    <s v="Q1"/>
    <s v="Large"/>
  </r>
  <r>
    <s v="Dennison Crosswaite"/>
    <s v="New Zealand"/>
    <s v="Orange Choco"/>
    <x v="83"/>
    <n v="4571"/>
    <n v="140"/>
    <n v="32.65"/>
    <s v="March"/>
    <s v="Q1"/>
    <s v="Large"/>
  </r>
  <r>
    <s v="Dotty Strutley"/>
    <s v="India"/>
    <s v="White Choc"/>
    <x v="88"/>
    <n v="12327"/>
    <n v="330"/>
    <n v="37.354545454545452"/>
    <s v="August"/>
    <s v="Q3"/>
    <s v="Large"/>
  </r>
  <r>
    <s v="Gigi Bohling"/>
    <s v="India"/>
    <s v="Manuka Honey Choco"/>
    <x v="65"/>
    <n v="4935"/>
    <n v="73"/>
    <n v="67.602739726027394"/>
    <s v="May"/>
    <s v="Q2"/>
    <s v="Large"/>
  </r>
  <r>
    <s v="Van Tuxwell"/>
    <s v="India"/>
    <s v="Spicy Special Slims"/>
    <x v="149"/>
    <n v="6167"/>
    <n v="4"/>
    <n v="1541.75"/>
    <s v="April"/>
    <s v="Q2"/>
    <s v="Large"/>
  </r>
  <r>
    <s v="Jan Morforth"/>
    <s v="New Zealand"/>
    <s v="Mint Chip Choco"/>
    <x v="30"/>
    <n v="18340"/>
    <n v="285"/>
    <n v="64.350877192982452"/>
    <s v="June"/>
    <s v="Q2"/>
    <s v="Large"/>
  </r>
  <r>
    <s v="Dotty Strutley"/>
    <s v="New Zealand"/>
    <s v="White Choc"/>
    <x v="26"/>
    <n v="7014"/>
    <n v="60"/>
    <n v="116.9"/>
    <s v="June"/>
    <s v="Q2"/>
    <s v="Large"/>
  </r>
  <r>
    <s v="Rafaelita Blaksland"/>
    <s v="Canada"/>
    <s v="Caramel Stuffed Bars"/>
    <x v="1"/>
    <n v="7119"/>
    <n v="101"/>
    <n v="70.485148514851488"/>
    <s v="August"/>
    <s v="Q3"/>
    <s v="Large"/>
  </r>
  <r>
    <s v="Kaine Padly"/>
    <s v="USA"/>
    <s v="Milk Bars"/>
    <x v="26"/>
    <n v="15491"/>
    <n v="58"/>
    <n v="267.08620689655174"/>
    <s v="June"/>
    <s v="Q2"/>
    <s v="Large"/>
  </r>
  <r>
    <s v="Brien Boise"/>
    <s v="India"/>
    <s v="After Nines"/>
    <x v="86"/>
    <n v="5747"/>
    <n v="45"/>
    <n v="127.71111111111111"/>
    <s v="June"/>
    <s v="Q2"/>
    <s v="Large"/>
  </r>
  <r>
    <s v="Oby Sorrel"/>
    <s v="New Zealand"/>
    <s v="Raspberry Choco"/>
    <x v="110"/>
    <n v="4550"/>
    <n v="281"/>
    <n v="16.192170818505339"/>
    <s v="May"/>
    <s v="Q2"/>
    <s v="Large"/>
  </r>
  <r>
    <s v="Dennison Crosswaite"/>
    <s v="USA"/>
    <s v="Drinking Coco"/>
    <x v="146"/>
    <n v="2191"/>
    <n v="138"/>
    <n v="15.876811594202898"/>
    <s v="May"/>
    <s v="Q2"/>
    <s v="Large"/>
  </r>
  <r>
    <s v="Oby Sorrel"/>
    <s v="India"/>
    <s v="Eclairs"/>
    <x v="74"/>
    <n v="5663"/>
    <n v="322"/>
    <n v="17.586956521739129"/>
    <s v="August"/>
    <s v="Q3"/>
    <s v="Large"/>
  </r>
  <r>
    <s v="Ches Bonnell"/>
    <s v="New Zealand"/>
    <s v="Organic Choco Syrup"/>
    <x v="42"/>
    <n v="7623"/>
    <n v="85"/>
    <n v="89.682352941176475"/>
    <s v="July"/>
    <s v="Q3"/>
    <s v="Large"/>
  </r>
  <r>
    <s v="Gigi Bohling"/>
    <s v="UK"/>
    <s v="Baker's Choco Chips"/>
    <x v="45"/>
    <n v="9023"/>
    <n v="409"/>
    <n v="22.061124694376527"/>
    <s v="May"/>
    <s v="Q2"/>
    <s v="Large"/>
  </r>
  <r>
    <s v="Jan Morforth"/>
    <s v="Australia"/>
    <s v="50% Dark Bites"/>
    <x v="107"/>
    <n v="3402"/>
    <n v="182"/>
    <n v="18.692307692307693"/>
    <s v="June"/>
    <s v="Q2"/>
    <s v="Large"/>
  </r>
  <r>
    <s v="Beverie Moffet"/>
    <s v="Australia"/>
    <s v="Smooth Sliky Salty"/>
    <x v="6"/>
    <n v="10507"/>
    <n v="467"/>
    <n v="22.498929336188436"/>
    <s v="January"/>
    <s v="Q1"/>
    <s v="Large"/>
  </r>
  <r>
    <s v="Ches Bonnell"/>
    <s v="USA"/>
    <s v="Organic Choco Syrup"/>
    <x v="12"/>
    <n v="7721"/>
    <n v="14"/>
    <n v="551.5"/>
    <s v="July"/>
    <s v="Q3"/>
    <s v="Large"/>
  </r>
  <r>
    <s v="Brien Boise"/>
    <s v="Canada"/>
    <s v="Mint Chip Choco"/>
    <x v="82"/>
    <n v="5033"/>
    <n v="178"/>
    <n v="28.275280898876403"/>
    <s v="January"/>
    <s v="Q1"/>
    <s v="Large"/>
  </r>
  <r>
    <s v="Kaine Padly"/>
    <s v="UK"/>
    <s v="Orange Choco"/>
    <x v="28"/>
    <n v="1960"/>
    <n v="191"/>
    <n v="10.261780104712042"/>
    <s v="June"/>
    <s v="Q2"/>
    <s v="Large"/>
  </r>
  <r>
    <s v="Karlen McCaffrey"/>
    <s v="Australia"/>
    <s v="70% Dark Bites"/>
    <x v="132"/>
    <n v="238"/>
    <n v="317"/>
    <n v="0.75078864353312302"/>
    <s v="June"/>
    <s v="Q2"/>
    <s v="Small"/>
  </r>
  <r>
    <s v="Gunar Cockshoot"/>
    <s v="Canada"/>
    <s v="Mint Chip Choco"/>
    <x v="114"/>
    <n v="7756"/>
    <n v="410"/>
    <n v="18.917073170731708"/>
    <s v="July"/>
    <s v="Q3"/>
    <s v="Large"/>
  </r>
  <r>
    <s v="Roddy Speechley"/>
    <s v="USA"/>
    <s v="Peanut Butter Cubes"/>
    <x v="75"/>
    <n v="1736"/>
    <n v="137"/>
    <n v="12.671532846715328"/>
    <s v="February"/>
    <s v="Q1"/>
    <s v="Large"/>
  </r>
  <r>
    <s v="Curtice Advani"/>
    <s v="Canada"/>
    <s v="Smooth Sliky Salty"/>
    <x v="1"/>
    <n v="2660"/>
    <n v="12"/>
    <n v="221.66666666666666"/>
    <s v="August"/>
    <s v="Q3"/>
    <s v="Large"/>
  </r>
  <r>
    <s v="Oby Sorrel"/>
    <s v="Australia"/>
    <s v="Milk Bars"/>
    <x v="136"/>
    <n v="7672"/>
    <n v="254"/>
    <n v="30.204724409448819"/>
    <s v="June"/>
    <s v="Q2"/>
    <s v="Large"/>
  </r>
  <r>
    <s v="Camilla Castle"/>
    <s v="New Zealand"/>
    <s v="Spicy Special Slims"/>
    <x v="6"/>
    <n v="11564"/>
    <n v="24"/>
    <n v="481.83333333333331"/>
    <s v="January"/>
    <s v="Q1"/>
    <s v="Large"/>
  </r>
  <r>
    <s v="Gigi Bohling"/>
    <s v="UK"/>
    <s v="Milk Bars"/>
    <x v="134"/>
    <n v="1365"/>
    <n v="232"/>
    <n v="5.8836206896551726"/>
    <s v="May"/>
    <s v="Q2"/>
    <s v="Large"/>
  </r>
  <r>
    <s v="Andria Kimpton"/>
    <s v="Australia"/>
    <s v="85% Dark Bars"/>
    <x v="62"/>
    <n v="4186"/>
    <n v="233"/>
    <n v="17.965665236051503"/>
    <s v="August"/>
    <s v="Q3"/>
    <s v="Large"/>
  </r>
  <r>
    <s v="Camilla Castle"/>
    <s v="Australia"/>
    <s v="Smooth Sliky Salty"/>
    <x v="150"/>
    <n v="7406"/>
    <n v="118"/>
    <n v="62.762711864406782"/>
    <s v="March"/>
    <s v="Q1"/>
    <s v="Large"/>
  </r>
  <r>
    <s v="Roddy Speechley"/>
    <s v="India"/>
    <s v="Caramel Stuffed Bars"/>
    <x v="21"/>
    <n v="8911"/>
    <n v="543"/>
    <n v="16.410681399631677"/>
    <s v="May"/>
    <s v="Q2"/>
    <s v="Large"/>
  </r>
  <r>
    <s v="Karlen McCaffrey"/>
    <s v="USA"/>
    <s v="Drinking Coco"/>
    <x v="28"/>
    <n v="112"/>
    <n v="223"/>
    <n v="0.50224215246636772"/>
    <s v="June"/>
    <s v="Q2"/>
    <s v="Small"/>
  </r>
  <r>
    <s v="Andria Kimpton"/>
    <s v="Canada"/>
    <s v="Organic Choco Syrup"/>
    <x v="0"/>
    <n v="8204"/>
    <n v="204"/>
    <n v="40.215686274509807"/>
    <s v="January"/>
    <s v="Q1"/>
    <s v="Large"/>
  </r>
  <r>
    <s v="Jehu Rudeforth"/>
    <s v="Australia"/>
    <s v="Drinking Coco"/>
    <x v="102"/>
    <n v="2611"/>
    <n v="65"/>
    <n v="40.169230769230772"/>
    <s v="January"/>
    <s v="Q1"/>
    <s v="Large"/>
  </r>
  <r>
    <s v="Karlen McCaffrey"/>
    <s v="USA"/>
    <s v="Mint Chip Choco"/>
    <x v="142"/>
    <n v="15652"/>
    <n v="53"/>
    <n v="295.32075471698113"/>
    <s v="February"/>
    <s v="Q1"/>
    <s v="Large"/>
  </r>
  <r>
    <s v="Curtice Advani"/>
    <s v="New Zealand"/>
    <s v="Spicy Special Slims"/>
    <x v="53"/>
    <n v="4074"/>
    <n v="469"/>
    <n v="8.6865671641791042"/>
    <s v="January"/>
    <s v="Q1"/>
    <s v="Large"/>
  </r>
  <r>
    <s v="Madelene Upcott"/>
    <s v="USA"/>
    <s v="White Choc"/>
    <x v="116"/>
    <n v="12250"/>
    <n v="213"/>
    <n v="57.51173708920188"/>
    <s v="May"/>
    <s v="Q2"/>
    <s v="Large"/>
  </r>
  <r>
    <s v="Andria Kimpton"/>
    <s v="USA"/>
    <s v="Spicy Special Slims"/>
    <x v="123"/>
    <n v="2366"/>
    <n v="5"/>
    <n v="473.2"/>
    <s v="May"/>
    <s v="Q2"/>
    <s v="Large"/>
  </r>
  <r>
    <s v="Barr Faughny"/>
    <s v="New Zealand"/>
    <s v="Fruit &amp; Nut Bars"/>
    <x v="151"/>
    <n v="1687"/>
    <n v="147"/>
    <n v="11.476190476190476"/>
    <s v="April"/>
    <s v="Q2"/>
    <s v="Large"/>
  </r>
  <r>
    <s v="Oby Sorrel"/>
    <s v="Canada"/>
    <s v="Organic Choco Syrup"/>
    <x v="25"/>
    <n v="1232"/>
    <n v="74"/>
    <n v="16.648648648648649"/>
    <s v="July"/>
    <s v="Q3"/>
    <s v="Large"/>
  </r>
  <r>
    <s v="Madelene Upcott"/>
    <s v="UK"/>
    <s v="Organic Choco Syrup"/>
    <x v="129"/>
    <n v="6965"/>
    <n v="163"/>
    <n v="42.730061349693251"/>
    <s v="July"/>
    <s v="Q3"/>
    <s v="Large"/>
  </r>
  <r>
    <s v="Dotty Strutley"/>
    <s v="USA"/>
    <s v="Mint Chip Choco"/>
    <x v="84"/>
    <n v="5292"/>
    <n v="248"/>
    <n v="21.338709677419356"/>
    <s v="February"/>
    <s v="Q1"/>
    <s v="Large"/>
  </r>
  <r>
    <s v="Kelci Walkden"/>
    <s v="USA"/>
    <s v="Orange Choco"/>
    <x v="152"/>
    <n v="1379"/>
    <n v="138"/>
    <n v="9.9927536231884062"/>
    <s v="February"/>
    <s v="Q1"/>
    <s v="Large"/>
  </r>
  <r>
    <s v="Gigi Bohling"/>
    <s v="Australia"/>
    <s v="Caramel Stuffed Bars"/>
    <x v="51"/>
    <n v="8001"/>
    <n v="151"/>
    <n v="52.986754966887418"/>
    <s v="July"/>
    <s v="Q3"/>
    <s v="Large"/>
  </r>
  <r>
    <s v="Mallorie Waber"/>
    <s v="India"/>
    <s v="50% Dark Bites"/>
    <x v="106"/>
    <n v="588"/>
    <n v="139"/>
    <n v="4.2302158273381298"/>
    <s v="May"/>
    <s v="Q2"/>
    <s v="Large"/>
  </r>
  <r>
    <s v="Van Tuxwell"/>
    <s v="New Zealand"/>
    <s v="Mint Chip Choco"/>
    <x v="19"/>
    <n v="4046"/>
    <n v="103"/>
    <n v="39.28155339805825"/>
    <s v="June"/>
    <s v="Q2"/>
    <s v="Large"/>
  </r>
  <r>
    <s v="Van Tuxwell"/>
    <s v="India"/>
    <s v="50% Dark Bites"/>
    <x v="110"/>
    <n v="5103"/>
    <n v="129"/>
    <n v="39.558139534883722"/>
    <s v="May"/>
    <s v="Q2"/>
    <s v="Large"/>
  </r>
  <r>
    <s v="Van Tuxwell"/>
    <s v="USA"/>
    <s v="Manuka Honey Choco"/>
    <x v="106"/>
    <n v="2317"/>
    <n v="102"/>
    <n v="22.715686274509803"/>
    <s v="May"/>
    <s v="Q2"/>
    <s v="Large"/>
  </r>
  <r>
    <s v="Wilone O'Kielt"/>
    <s v="USA"/>
    <s v="Orange Choco"/>
    <x v="23"/>
    <n v="7042"/>
    <n v="37"/>
    <n v="190.32432432432432"/>
    <s v="February"/>
    <s v="Q1"/>
    <s v="Large"/>
  </r>
  <r>
    <s v="Barr Faughny"/>
    <s v="New Zealand"/>
    <s v="Eclairs"/>
    <x v="71"/>
    <n v="6713"/>
    <n v="31"/>
    <n v="216.54838709677421"/>
    <s v="March"/>
    <s v="Q1"/>
    <s v="Large"/>
  </r>
  <r>
    <s v="Gigi Bohling"/>
    <s v="USA"/>
    <s v="After Nines"/>
    <x v="102"/>
    <n v="1848"/>
    <n v="227"/>
    <n v="8.140969162995594"/>
    <s v="January"/>
    <s v="Q1"/>
    <s v="Large"/>
  </r>
  <r>
    <s v="Barr Faughny"/>
    <s v="New Zealand"/>
    <s v="Mint Chip Choco"/>
    <x v="84"/>
    <n v="6440"/>
    <n v="145"/>
    <n v="44.413793103448278"/>
    <s v="February"/>
    <s v="Q1"/>
    <s v="Large"/>
  </r>
  <r>
    <s v="Dennison Crosswaite"/>
    <s v="Canada"/>
    <s v="85% Dark Bars"/>
    <x v="1"/>
    <n v="10885"/>
    <n v="90"/>
    <n v="120.94444444444444"/>
    <s v="August"/>
    <s v="Q3"/>
    <s v="Large"/>
  </r>
  <r>
    <s v="Beverie Moffet"/>
    <s v="New Zealand"/>
    <s v="Smooth Sliky Salty"/>
    <x v="33"/>
    <n v="2387"/>
    <n v="59"/>
    <n v="40.457627118644069"/>
    <s v="May"/>
    <s v="Q2"/>
    <s v="Large"/>
  </r>
  <r>
    <s v="Husein Augar"/>
    <s v="USA"/>
    <s v="White Choc"/>
    <x v="57"/>
    <n v="2030"/>
    <n v="60"/>
    <n v="33.833333333333336"/>
    <s v="July"/>
    <s v="Q3"/>
    <s v="Large"/>
  </r>
  <r>
    <s v="Andria Kimpton"/>
    <s v="Australia"/>
    <s v="Peanut Butter Cubes"/>
    <x v="8"/>
    <n v="6678"/>
    <n v="148"/>
    <n v="45.121621621621621"/>
    <s v="April"/>
    <s v="Q2"/>
    <s v="Large"/>
  </r>
  <r>
    <s v="Dennison Crosswaite"/>
    <s v="India"/>
    <s v="85% Dark Bars"/>
    <x v="30"/>
    <n v="4515"/>
    <n v="22"/>
    <n v="205.22727272727272"/>
    <s v="June"/>
    <s v="Q2"/>
    <s v="Large"/>
  </r>
  <r>
    <s v="Curtice Advani"/>
    <s v="UK"/>
    <s v="50% Dark Bites"/>
    <x v="121"/>
    <n v="3374"/>
    <n v="142"/>
    <n v="23.760563380281692"/>
    <s v="March"/>
    <s v="Q1"/>
    <s v="Large"/>
  </r>
  <r>
    <s v="Gunar Cockshoot"/>
    <s v="USA"/>
    <s v="Fruit &amp; Nut Bars"/>
    <x v="87"/>
    <n v="5852"/>
    <n v="93"/>
    <n v="62.924731182795696"/>
    <s v="March"/>
    <s v="Q1"/>
    <s v="Large"/>
  </r>
  <r>
    <s v="Oby Sorrel"/>
    <s v="Canada"/>
    <s v="Raspberry Choco"/>
    <x v="86"/>
    <n v="1750"/>
    <n v="208"/>
    <n v="8.4134615384615383"/>
    <s v="June"/>
    <s v="Q2"/>
    <s v="Large"/>
  </r>
  <r>
    <s v="Gigi Bohling"/>
    <s v="UK"/>
    <s v="Drinking Coco"/>
    <x v="30"/>
    <n v="5782"/>
    <n v="42"/>
    <n v="137.66666666666666"/>
    <s v="June"/>
    <s v="Q2"/>
    <s v="Large"/>
  </r>
  <r>
    <s v="Kelci Walkden"/>
    <s v="India"/>
    <s v="Mint Chip Choco"/>
    <x v="12"/>
    <n v="2870"/>
    <n v="120"/>
    <n v="23.916666666666668"/>
    <s v="July"/>
    <s v="Q3"/>
    <s v="Large"/>
  </r>
  <r>
    <s v="Karlen McCaffrey"/>
    <s v="Canada"/>
    <s v="Peanut Butter Cubes"/>
    <x v="153"/>
    <n v="3094"/>
    <n v="159"/>
    <n v="19.459119496855347"/>
    <s v="August"/>
    <s v="Q3"/>
    <s v="Large"/>
  </r>
  <r>
    <s v="Barr Faughny"/>
    <s v="UK"/>
    <s v="Mint Chip Choco"/>
    <x v="2"/>
    <n v="3724"/>
    <n v="316"/>
    <n v="11.784810126582279"/>
    <s v="July"/>
    <s v="Q3"/>
    <s v="Large"/>
  </r>
  <r>
    <s v="Barr Faughny"/>
    <s v="USA"/>
    <s v="85% Dark Bars"/>
    <x v="74"/>
    <n v="12761"/>
    <n v="47"/>
    <n v="271.51063829787233"/>
    <s v="August"/>
    <s v="Q3"/>
    <s v="Large"/>
  </r>
  <r>
    <s v="Husein Augar"/>
    <s v="Canada"/>
    <s v="Eclairs"/>
    <x v="154"/>
    <n v="3696"/>
    <n v="233"/>
    <n v="15.862660944206009"/>
    <s v="January"/>
    <s v="Q1"/>
    <s v="Large"/>
  </r>
  <r>
    <s v="Jan Morforth"/>
    <s v="Australia"/>
    <s v="70% Dark Bites"/>
    <x v="72"/>
    <n v="5222"/>
    <n v="384"/>
    <n v="13.598958333333334"/>
    <s v="March"/>
    <s v="Q1"/>
    <s v="Large"/>
  </r>
  <r>
    <s v="Marney O'Breen"/>
    <s v="New Zealand"/>
    <s v="Fruit &amp; Nut Bars"/>
    <x v="74"/>
    <n v="8939"/>
    <n v="4"/>
    <n v="2234.75"/>
    <s v="August"/>
    <s v="Q3"/>
    <s v="Large"/>
  </r>
  <r>
    <s v="Ches Bonnell"/>
    <s v="UK"/>
    <s v="Peanut Butter Cubes"/>
    <x v="35"/>
    <n v="2156"/>
    <n v="260"/>
    <n v="8.292307692307693"/>
    <s v="April"/>
    <s v="Q2"/>
    <s v="Large"/>
  </r>
  <r>
    <s v="Kaine Padly"/>
    <s v="USA"/>
    <s v="Organic Choco Syrup"/>
    <x v="54"/>
    <n v="2380"/>
    <n v="22"/>
    <n v="108.18181818181819"/>
    <s v="March"/>
    <s v="Q1"/>
    <s v="Large"/>
  </r>
  <r>
    <s v="Camilla Castle"/>
    <s v="USA"/>
    <s v="Raspberry Choco"/>
    <x v="98"/>
    <n v="3339"/>
    <n v="18"/>
    <n v="185.5"/>
    <s v="May"/>
    <s v="Q2"/>
    <s v="Large"/>
  </r>
  <r>
    <s v="Brien Boise"/>
    <s v="New Zealand"/>
    <s v="Manuka Honey Choco"/>
    <x v="107"/>
    <n v="14980"/>
    <n v="42"/>
    <n v="356.66666666666669"/>
    <s v="June"/>
    <s v="Q2"/>
    <s v="Large"/>
  </r>
  <r>
    <s v="Jehu Rudeforth"/>
    <s v="New Zealand"/>
    <s v="After Nines"/>
    <x v="49"/>
    <n v="1512"/>
    <n v="73"/>
    <n v="20.712328767123289"/>
    <s v="April"/>
    <s v="Q2"/>
    <s v="Large"/>
  </r>
  <r>
    <s v="Jehu Rudeforth"/>
    <s v="USA"/>
    <s v="Smooth Sliky Salty"/>
    <x v="2"/>
    <n v="6657"/>
    <n v="154"/>
    <n v="43.227272727272727"/>
    <s v="July"/>
    <s v="Q3"/>
    <s v="Large"/>
  </r>
  <r>
    <s v="Madelene Upcott"/>
    <s v="India"/>
    <s v="Mint Chip Choco"/>
    <x v="32"/>
    <n v="3836"/>
    <n v="71"/>
    <n v="54.028169014084504"/>
    <s v="August"/>
    <s v="Q3"/>
    <s v="Large"/>
  </r>
  <r>
    <s v="Jehu Rudeforth"/>
    <s v="India"/>
    <s v="Eclairs"/>
    <x v="4"/>
    <n v="8771"/>
    <n v="127"/>
    <n v="69.062992125984252"/>
    <s v="February"/>
    <s v="Q1"/>
    <s v="Large"/>
  </r>
  <r>
    <s v="Karlen McCaffrey"/>
    <s v="Canada"/>
    <s v="Raspberry Choco"/>
    <x v="122"/>
    <n v="651"/>
    <n v="224"/>
    <n v="2.90625"/>
    <s v="May"/>
    <s v="Q2"/>
    <s v="Large"/>
  </r>
  <r>
    <s v="Kaine Padly"/>
    <s v="Australia"/>
    <s v="70% Dark Bites"/>
    <x v="143"/>
    <n v="6706"/>
    <n v="223"/>
    <n v="30.071748878923767"/>
    <s v="February"/>
    <s v="Q1"/>
    <s v="Large"/>
  </r>
  <r>
    <s v="Roddy Speechley"/>
    <s v="UK"/>
    <s v="70% Dark Bites"/>
    <x v="7"/>
    <n v="1421"/>
    <n v="284"/>
    <n v="5.003521126760563"/>
    <s v="March"/>
    <s v="Q1"/>
    <s v="Large"/>
  </r>
  <r>
    <s v="Rafaelita Blaksland"/>
    <s v="USA"/>
    <s v="Drinking Coco"/>
    <x v="55"/>
    <n v="8526"/>
    <n v="73"/>
    <n v="116.79452054794521"/>
    <s v="June"/>
    <s v="Q2"/>
    <s v="Large"/>
  </r>
  <r>
    <s v="Mallorie Waber"/>
    <s v="Canada"/>
    <s v="Manuka Honey Choco"/>
    <x v="66"/>
    <n v="1435"/>
    <n v="112"/>
    <n v="12.8125"/>
    <s v="March"/>
    <s v="Q1"/>
    <s v="Large"/>
  </r>
  <r>
    <s v="Kaine Padly"/>
    <s v="Australia"/>
    <s v="Fruit &amp; Nut Bars"/>
    <x v="55"/>
    <n v="7434"/>
    <n v="85"/>
    <n v="87.45882352941176"/>
    <s v="June"/>
    <s v="Q2"/>
    <s v="Large"/>
  </r>
  <r>
    <s v="Oby Sorrel"/>
    <s v="New Zealand"/>
    <s v="Organic Choco Syrup"/>
    <x v="20"/>
    <n v="15316"/>
    <n v="270"/>
    <n v="56.725925925925928"/>
    <s v="February"/>
    <s v="Q1"/>
    <s v="Large"/>
  </r>
  <r>
    <s v="Madelene Upcott"/>
    <s v="UK"/>
    <s v="99% Dark &amp; Pure"/>
    <x v="14"/>
    <n v="10479"/>
    <n v="45"/>
    <n v="232.86666666666667"/>
    <s v="January"/>
    <s v="Q1"/>
    <s v="Large"/>
  </r>
  <r>
    <s v="Madelene Upcott"/>
    <s v="Australia"/>
    <s v="Mint Chip Choco"/>
    <x v="138"/>
    <n v="2751"/>
    <n v="153"/>
    <n v="17.980392156862745"/>
    <s v="May"/>
    <s v="Q2"/>
    <s v="Large"/>
  </r>
  <r>
    <s v="Curtice Advani"/>
    <s v="Canada"/>
    <s v="99% Dark &amp; Pure"/>
    <x v="2"/>
    <n v="12586"/>
    <n v="7"/>
    <n v="1798"/>
    <s v="July"/>
    <s v="Q3"/>
    <s v="Large"/>
  </r>
  <r>
    <s v="Rafaelita Blaksland"/>
    <s v="Australia"/>
    <s v="Baker's Choco Chips"/>
    <x v="38"/>
    <n v="2786"/>
    <n v="51"/>
    <n v="54.627450980392155"/>
    <s v="August"/>
    <s v="Q3"/>
    <s v="Large"/>
  </r>
  <r>
    <s v="Karlen McCaffrey"/>
    <s v="Australia"/>
    <s v="After Nines"/>
    <x v="155"/>
    <n v="2303"/>
    <n v="67"/>
    <n v="34.373134328358212"/>
    <s v="August"/>
    <s v="Q3"/>
    <s v="Large"/>
  </r>
  <r>
    <s v="Marney O'Breen"/>
    <s v="UK"/>
    <s v="99% Dark &amp; Pure"/>
    <x v="10"/>
    <n v="8113"/>
    <n v="194"/>
    <n v="41.819587628865982"/>
    <s v="January"/>
    <s v="Q1"/>
    <s v="Large"/>
  </r>
  <r>
    <s v="Gunar Cockshoot"/>
    <s v="Australia"/>
    <s v="50% Dark Bites"/>
    <x v="52"/>
    <n v="12271"/>
    <n v="116"/>
    <n v="105.78448275862068"/>
    <s v="March"/>
    <s v="Q1"/>
    <s v="Large"/>
  </r>
  <r>
    <s v="Marney O'Breen"/>
    <s v="Australia"/>
    <s v="Choco Coated Almonds"/>
    <x v="109"/>
    <n v="11298"/>
    <n v="41"/>
    <n v="275.5609756097561"/>
    <s v="July"/>
    <s v="Q3"/>
    <s v="Large"/>
  </r>
  <r>
    <s v="Kelci Walkden"/>
    <s v="New Zealand"/>
    <s v="Drinking Coco"/>
    <x v="11"/>
    <n v="15855"/>
    <n v="111"/>
    <n v="142.83783783783784"/>
    <s v="March"/>
    <s v="Q1"/>
    <s v="Large"/>
  </r>
  <r>
    <s v="Beverie Moffet"/>
    <s v="USA"/>
    <s v="85% Dark Bars"/>
    <x v="62"/>
    <n v="12404"/>
    <n v="334"/>
    <n v="37.137724550898206"/>
    <s v="August"/>
    <s v="Q3"/>
    <s v="Large"/>
  </r>
  <r>
    <s v="Roddy Speechley"/>
    <s v="USA"/>
    <s v="Eclairs"/>
    <x v="91"/>
    <n v="3990"/>
    <n v="155"/>
    <n v="25.741935483870968"/>
    <s v="April"/>
    <s v="Q2"/>
    <s v="Large"/>
  </r>
  <r>
    <s v="Dennison Crosswaite"/>
    <s v="UK"/>
    <s v="Milk Bars"/>
    <x v="66"/>
    <n v="10808"/>
    <n v="407"/>
    <n v="26.555282555282556"/>
    <s v="March"/>
    <s v="Q1"/>
    <s v="Large"/>
  </r>
  <r>
    <s v="Wilone O'Kielt"/>
    <s v="UK"/>
    <s v="Organic Choco Syrup"/>
    <x v="97"/>
    <n v="4858"/>
    <n v="52"/>
    <n v="93.42307692307692"/>
    <s v="July"/>
    <s v="Q3"/>
    <s v="Large"/>
  </r>
  <r>
    <s v="Madelene Upcott"/>
    <s v="USA"/>
    <s v="Orange Choco"/>
    <x v="45"/>
    <n v="7742"/>
    <n v="138"/>
    <n v="56.10144927536232"/>
    <s v="May"/>
    <s v="Q2"/>
    <s v="Large"/>
  </r>
  <r>
    <s v="Gunar Cockshoot"/>
    <s v="India"/>
    <s v="Smooth Sliky Salty"/>
    <x v="52"/>
    <n v="3752"/>
    <n v="70"/>
    <n v="53.6"/>
    <s v="March"/>
    <s v="Q1"/>
    <s v="Large"/>
  </r>
  <r>
    <s v="Marney O'Breen"/>
    <s v="New Zealand"/>
    <s v="85% Dark Bars"/>
    <x v="21"/>
    <n v="1218"/>
    <n v="149"/>
    <n v="8.1744966442953029"/>
    <s v="May"/>
    <s v="Q2"/>
    <s v="Large"/>
  </r>
  <r>
    <s v="Marney O'Breen"/>
    <s v="UK"/>
    <s v="Manuka Honey Choco"/>
    <x v="39"/>
    <n v="10983"/>
    <n v="179"/>
    <n v="61.357541899441344"/>
    <s v="June"/>
    <s v="Q2"/>
    <s v="Large"/>
  </r>
  <r>
    <s v="Brien Boise"/>
    <s v="USA"/>
    <s v="99% Dark &amp; Pure"/>
    <x v="90"/>
    <n v="6769"/>
    <n v="353"/>
    <n v="19.175637393767705"/>
    <s v="July"/>
    <s v="Q3"/>
    <s v="Large"/>
  </r>
  <r>
    <s v="Beverie Moffet"/>
    <s v="New Zealand"/>
    <s v="Mint Chip Choco"/>
    <x v="133"/>
    <n v="4361"/>
    <n v="97"/>
    <n v="44.958762886597938"/>
    <s v="June"/>
    <s v="Q2"/>
    <s v="Large"/>
  </r>
  <r>
    <s v="Dennison Crosswaite"/>
    <s v="USA"/>
    <s v="Milk Bars"/>
    <x v="65"/>
    <n v="777"/>
    <n v="60"/>
    <n v="12.95"/>
    <s v="May"/>
    <s v="Q2"/>
    <s v="Large"/>
  </r>
  <r>
    <s v="Gunar Cockshoot"/>
    <s v="USA"/>
    <s v="Drinking Coco"/>
    <x v="122"/>
    <n v="3843"/>
    <n v="5"/>
    <n v="768.6"/>
    <s v="May"/>
    <s v="Q2"/>
    <s v="Large"/>
  </r>
  <r>
    <s v="Brien Boise"/>
    <s v="Canada"/>
    <s v="Manuka Honey Choco"/>
    <x v="145"/>
    <n v="6930"/>
    <n v="182"/>
    <n v="38.07692307692308"/>
    <s v="August"/>
    <s v="Q3"/>
    <s v="Large"/>
  </r>
  <r>
    <s v="Van Tuxwell"/>
    <s v="India"/>
    <s v="Choco Coated Almonds"/>
    <x v="100"/>
    <n v="5733"/>
    <n v="114"/>
    <n v="50.289473684210527"/>
    <s v="April"/>
    <s v="Q2"/>
    <s v="Large"/>
  </r>
  <r>
    <s v="Andria Kimpton"/>
    <s v="USA"/>
    <s v="Caramel Stuffed Bars"/>
    <x v="138"/>
    <n v="8393"/>
    <n v="46"/>
    <n v="182.45652173913044"/>
    <s v="May"/>
    <s v="Q2"/>
    <s v="Large"/>
  </r>
  <r>
    <s v="Dotty Strutley"/>
    <s v="USA"/>
    <s v="99% Dark &amp; Pure"/>
    <x v="145"/>
    <n v="3822"/>
    <n v="320"/>
    <n v="11.94375"/>
    <s v="August"/>
    <s v="Q3"/>
    <s v="Large"/>
  </r>
  <r>
    <s v="Camilla Castle"/>
    <s v="Australia"/>
    <s v="Raspberry Choco"/>
    <x v="62"/>
    <n v="6342"/>
    <n v="178"/>
    <n v="35.629213483146067"/>
    <s v="August"/>
    <s v="Q3"/>
    <s v="Large"/>
  </r>
  <r>
    <s v="Gunar Cockshoot"/>
    <s v="India"/>
    <s v="Spicy Special Slims"/>
    <x v="110"/>
    <n v="6510"/>
    <n v="170"/>
    <n v="38.294117647058826"/>
    <s v="May"/>
    <s v="Q2"/>
    <s v="Large"/>
  </r>
  <r>
    <s v="Karlen McCaffrey"/>
    <s v="USA"/>
    <s v="Manuka Honey Choco"/>
    <x v="131"/>
    <n v="10171"/>
    <n v="67"/>
    <n v="151.80597014925374"/>
    <s v="February"/>
    <s v="Q1"/>
    <s v="Large"/>
  </r>
  <r>
    <s v="Camilla Castle"/>
    <s v="USA"/>
    <s v="50% Dark Bites"/>
    <x v="130"/>
    <n v="5908"/>
    <n v="301"/>
    <n v="19.627906976744185"/>
    <s v="June"/>
    <s v="Q2"/>
    <s v="Large"/>
  </r>
  <r>
    <s v="Madelene Upcott"/>
    <s v="UK"/>
    <s v="Choco Coated Almonds"/>
    <x v="27"/>
    <n v="10164"/>
    <n v="134"/>
    <n v="75.850746268656721"/>
    <s v="May"/>
    <s v="Q2"/>
    <s v="Large"/>
  </r>
  <r>
    <s v="Jan Morforth"/>
    <s v="Canada"/>
    <s v="Mint Chip Choco"/>
    <x v="69"/>
    <n v="1064"/>
    <n v="211"/>
    <n v="5.0426540284360186"/>
    <s v="April"/>
    <s v="Q2"/>
    <s v="Large"/>
  </r>
  <r>
    <s v="Camilla Castle"/>
    <s v="Canada"/>
    <s v="70% Dark Bites"/>
    <x v="109"/>
    <n v="9716"/>
    <n v="151"/>
    <n v="64.344370860927157"/>
    <s v="July"/>
    <s v="Q3"/>
    <s v="Large"/>
  </r>
  <r>
    <s v="Ches Bonnell"/>
    <s v="India"/>
    <s v="Peanut Butter Cubes"/>
    <x v="59"/>
    <n v="22050"/>
    <n v="208"/>
    <n v="106.00961538461539"/>
    <s v="January"/>
    <s v="Q1"/>
    <s v="Large"/>
  </r>
  <r>
    <s v="Jan Morforth"/>
    <s v="India"/>
    <s v="Choco Coated Almonds"/>
    <x v="153"/>
    <n v="2541"/>
    <n v="134"/>
    <n v="18.96268656716418"/>
    <s v="August"/>
    <s v="Q3"/>
    <s v="Large"/>
  </r>
  <r>
    <s v="Gigi Bohling"/>
    <s v="Canada"/>
    <s v="Almond Choco"/>
    <x v="131"/>
    <n v="9989"/>
    <n v="49"/>
    <n v="203.85714285714286"/>
    <s v="February"/>
    <s v="Q1"/>
    <s v="Large"/>
  </r>
  <r>
    <s v="Rafaelita Blaksland"/>
    <s v="India"/>
    <s v="After Nines"/>
    <x v="52"/>
    <n v="4739"/>
    <n v="204"/>
    <n v="23.230392156862745"/>
    <s v="March"/>
    <s v="Q1"/>
    <s v="Large"/>
  </r>
  <r>
    <s v="Kelci Walkden"/>
    <s v="Australia"/>
    <s v="99% Dark &amp; Pure"/>
    <x v="30"/>
    <n v="3185"/>
    <n v="34"/>
    <n v="93.67647058823529"/>
    <s v="June"/>
    <s v="Q2"/>
    <s v="Large"/>
  </r>
  <r>
    <s v="Dotty Strutley"/>
    <s v="Australia"/>
    <s v="Spicy Special Slims"/>
    <x v="154"/>
    <n v="8225"/>
    <n v="91"/>
    <n v="90.384615384615387"/>
    <s v="January"/>
    <s v="Q1"/>
    <s v="Large"/>
  </r>
  <r>
    <s v="Brien Boise"/>
    <s v="USA"/>
    <s v="Milk Bars"/>
    <x v="2"/>
    <n v="14301"/>
    <n v="130"/>
    <n v="110.00769230769231"/>
    <s v="July"/>
    <s v="Q3"/>
    <s v="Large"/>
  </r>
  <r>
    <s v="Mallorie Waber"/>
    <s v="New Zealand"/>
    <s v="Mint Chip Choco"/>
    <x v="60"/>
    <n v="1316"/>
    <n v="107"/>
    <n v="12.299065420560748"/>
    <s v="January"/>
    <s v="Q1"/>
    <s v="Large"/>
  </r>
  <r>
    <s v="Beverie Moffet"/>
    <s v="UK"/>
    <s v="99% Dark &amp; Pure"/>
    <x v="50"/>
    <n v="3486"/>
    <n v="121"/>
    <n v="28.809917355371901"/>
    <s v="August"/>
    <s v="Q3"/>
    <s v="Large"/>
  </r>
  <r>
    <s v="Beverie Moffet"/>
    <s v="USA"/>
    <s v="Peanut Butter Cubes"/>
    <x v="61"/>
    <n v="13930"/>
    <n v="339"/>
    <n v="41.091445427728615"/>
    <s v="August"/>
    <s v="Q3"/>
    <s v="Large"/>
  </r>
  <r>
    <s v="Brien Boise"/>
    <s v="New Zealand"/>
    <s v="White Choc"/>
    <x v="26"/>
    <n v="5509"/>
    <n v="321"/>
    <n v="17.161993769470406"/>
    <s v="June"/>
    <s v="Q2"/>
    <s v="Large"/>
  </r>
  <r>
    <s v="Marney O'Breen"/>
    <s v="USA"/>
    <s v="Baker's Choco Chips"/>
    <x v="14"/>
    <n v="8470"/>
    <n v="9"/>
    <n v="941.11111111111109"/>
    <s v="January"/>
    <s v="Q1"/>
    <s v="Large"/>
  </r>
  <r>
    <s v="Kelci Walkden"/>
    <s v="USA"/>
    <s v="Spicy Special Slims"/>
    <x v="94"/>
    <n v="77"/>
    <n v="69"/>
    <n v="1.1159420289855073"/>
    <s v="April"/>
    <s v="Q2"/>
    <s v="Small"/>
  </r>
  <r>
    <s v="Mallorie Waber"/>
    <s v="Canada"/>
    <s v="White Choc"/>
    <x v="150"/>
    <n v="3381"/>
    <n v="72"/>
    <n v="46.958333333333336"/>
    <s v="March"/>
    <s v="Q1"/>
    <s v="Large"/>
  </r>
  <r>
    <s v="Kaine Padly"/>
    <s v="Australia"/>
    <s v="Almond Choco"/>
    <x v="105"/>
    <n v="4102"/>
    <n v="392"/>
    <n v="10.464285714285714"/>
    <s v="February"/>
    <s v="Q1"/>
    <s v="Large"/>
  </r>
  <r>
    <s v="Oby Sorrel"/>
    <s v="USA"/>
    <s v="Smooth Sliky Salty"/>
    <x v="72"/>
    <n v="3577"/>
    <n v="158"/>
    <n v="22.639240506329113"/>
    <s v="March"/>
    <s v="Q1"/>
    <s v="Large"/>
  </r>
  <r>
    <s v="Dennison Crosswaite"/>
    <s v="India"/>
    <s v="Smooth Sliky Salty"/>
    <x v="2"/>
    <n v="2975"/>
    <n v="9"/>
    <n v="330.55555555555554"/>
    <s v="July"/>
    <s v="Q3"/>
    <s v="Large"/>
  </r>
  <r>
    <s v="Camilla Castle"/>
    <s v="New Zealand"/>
    <s v="Caramel Stuffed Bars"/>
    <x v="156"/>
    <n v="4137"/>
    <n v="347"/>
    <n v="11.922190201729107"/>
    <s v="June"/>
    <s v="Q2"/>
    <s v="Large"/>
  </r>
  <r>
    <s v="Jan Morforth"/>
    <s v="Canada"/>
    <s v="Caramel Stuffed Bars"/>
    <x v="73"/>
    <n v="9541"/>
    <n v="114"/>
    <n v="83.692982456140356"/>
    <s v="August"/>
    <s v="Q3"/>
    <s v="Large"/>
  </r>
  <r>
    <s v="Oby Sorrel"/>
    <s v="USA"/>
    <s v="Baker's Choco Chips"/>
    <x v="153"/>
    <n v="8001"/>
    <n v="120"/>
    <n v="66.674999999999997"/>
    <s v="August"/>
    <s v="Q3"/>
    <s v="Large"/>
  </r>
  <r>
    <s v="Madelene Upcott"/>
    <s v="New Zealand"/>
    <s v="Peanut Butter Cubes"/>
    <x v="82"/>
    <n v="5152"/>
    <n v="333"/>
    <n v="15.471471471471471"/>
    <s v="January"/>
    <s v="Q1"/>
    <s v="Large"/>
  </r>
  <r>
    <s v="Kelci Walkden"/>
    <s v="Australia"/>
    <s v="Orange Choco"/>
    <x v="94"/>
    <n v="11116"/>
    <n v="432"/>
    <n v="25.731481481481481"/>
    <s v="April"/>
    <s v="Q2"/>
    <s v="Large"/>
  </r>
  <r>
    <s v="Marney O'Breen"/>
    <s v="Australia"/>
    <s v="Manuka Honey Choco"/>
    <x v="16"/>
    <n v="13076"/>
    <n v="236"/>
    <n v="55.406779661016948"/>
    <s v="April"/>
    <s v="Q2"/>
    <s v="Large"/>
  </r>
  <r>
    <s v="Kaine Padly"/>
    <s v="Canada"/>
    <s v="Manuka Honey Choco"/>
    <x v="93"/>
    <n v="10213"/>
    <n v="135"/>
    <n v="75.651851851851845"/>
    <s v="January"/>
    <s v="Q1"/>
    <s v="Large"/>
  </r>
  <r>
    <s v="Jehu Rudeforth"/>
    <s v="UK"/>
    <s v="Baker's Choco Chips"/>
    <x v="45"/>
    <n v="2485"/>
    <n v="97"/>
    <n v="25.618556701030929"/>
    <s v="May"/>
    <s v="Q2"/>
    <s v="Large"/>
  </r>
  <r>
    <s v="Kelci Walkden"/>
    <s v="Australia"/>
    <s v="White Choc"/>
    <x v="32"/>
    <n v="8715"/>
    <n v="168"/>
    <n v="51.875"/>
    <s v="August"/>
    <s v="Q3"/>
    <s v="Large"/>
  </r>
  <r>
    <s v="Curtice Advani"/>
    <s v="India"/>
    <s v="85% Dark Bars"/>
    <x v="93"/>
    <n v="273"/>
    <n v="402"/>
    <n v="0.67910447761194026"/>
    <s v="January"/>
    <s v="Q1"/>
    <s v="Small"/>
  </r>
  <r>
    <s v="Kaine Padly"/>
    <s v="USA"/>
    <s v="Eclairs"/>
    <x v="38"/>
    <n v="7623"/>
    <n v="10"/>
    <n v="762.3"/>
    <s v="August"/>
    <s v="Q3"/>
    <s v="Large"/>
  </r>
  <r>
    <s v="Gunar Cockshoot"/>
    <s v="UK"/>
    <s v="99% Dark &amp; Pure"/>
    <x v="66"/>
    <n v="7"/>
    <n v="84"/>
    <n v="8.3333333333333329E-2"/>
    <s v="March"/>
    <s v="Q1"/>
    <s v="Small"/>
  </r>
  <r>
    <s v="Beverie Moffet"/>
    <s v="UK"/>
    <s v="Choco Coated Almonds"/>
    <x v="72"/>
    <n v="3010"/>
    <n v="69"/>
    <n v="43.623188405797102"/>
    <s v="March"/>
    <s v="Q1"/>
    <s v="Large"/>
  </r>
  <r>
    <s v="Dotty Strutley"/>
    <s v="Canada"/>
    <s v="Manuka Honey Choco"/>
    <x v="119"/>
    <n v="11550"/>
    <n v="111"/>
    <n v="104.05405405405405"/>
    <s v="April"/>
    <s v="Q2"/>
    <s v="Large"/>
  </r>
  <r>
    <s v="Kaine Padly"/>
    <s v="Australia"/>
    <s v="Milk Bars"/>
    <x v="133"/>
    <n v="4046"/>
    <n v="89"/>
    <n v="45.460674157303373"/>
    <s v="June"/>
    <s v="Q2"/>
    <s v="Large"/>
  </r>
  <r>
    <s v="Jan Morforth"/>
    <s v="Canada"/>
    <s v="Fruit &amp; Nut Bars"/>
    <x v="90"/>
    <n v="8904"/>
    <n v="199"/>
    <n v="44.743718592964825"/>
    <s v="July"/>
    <s v="Q3"/>
    <s v="Large"/>
  </r>
  <r>
    <s v="Jan Morforth"/>
    <s v="India"/>
    <s v="Smooth Sliky Salty"/>
    <x v="13"/>
    <n v="11298"/>
    <n v="89"/>
    <n v="126.9438202247191"/>
    <s v="August"/>
    <s v="Q3"/>
    <s v="Large"/>
  </r>
  <r>
    <s v="Rafaelita Blaksland"/>
    <s v="Australia"/>
    <s v="Manuka Honey Choco"/>
    <x v="13"/>
    <n v="4396"/>
    <n v="131"/>
    <n v="33.55725190839695"/>
    <s v="August"/>
    <s v="Q3"/>
    <s v="Large"/>
  </r>
  <r>
    <s v="Jehu Rudeforth"/>
    <s v="UK"/>
    <s v="Milk Bars"/>
    <x v="144"/>
    <n v="12068"/>
    <n v="227"/>
    <n v="53.162995594713657"/>
    <s v="May"/>
    <s v="Q2"/>
    <s v="Large"/>
  </r>
  <r>
    <s v="Husein Augar"/>
    <s v="Canada"/>
    <s v="After Nines"/>
    <x v="78"/>
    <n v="9772"/>
    <n v="301"/>
    <n v="32.465116279069768"/>
    <s v="January"/>
    <s v="Q1"/>
    <s v="Large"/>
  </r>
  <r>
    <s v="Roddy Speechley"/>
    <s v="USA"/>
    <s v="50% Dark Bites"/>
    <x v="58"/>
    <n v="10458"/>
    <n v="316"/>
    <n v="33.094936708860757"/>
    <s v="February"/>
    <s v="Q1"/>
    <s v="Large"/>
  </r>
  <r>
    <s v="Van Tuxwell"/>
    <s v="India"/>
    <s v="Almond Choco"/>
    <x v="107"/>
    <n v="6426"/>
    <n v="390"/>
    <n v="16.476923076923075"/>
    <s v="June"/>
    <s v="Q2"/>
    <s v="Large"/>
  </r>
  <r>
    <s v="Kelci Walkden"/>
    <s v="USA"/>
    <s v="50% Dark Bites"/>
    <x v="85"/>
    <n v="6188"/>
    <n v="223"/>
    <n v="27.748878923766817"/>
    <s v="March"/>
    <s v="Q1"/>
    <s v="Large"/>
  </r>
  <r>
    <s v="Madelene Upcott"/>
    <s v="Canada"/>
    <s v="85% Dark Bars"/>
    <x v="20"/>
    <n v="7504"/>
    <n v="101"/>
    <n v="74.297029702970292"/>
    <s v="February"/>
    <s v="Q1"/>
    <s v="Large"/>
  </r>
  <r>
    <s v="Dennison Crosswaite"/>
    <s v="Canada"/>
    <s v="Smooth Sliky Salty"/>
    <x v="103"/>
    <n v="1750"/>
    <n v="479"/>
    <n v="3.6534446764091859"/>
    <s v="March"/>
    <s v="Q1"/>
    <s v="Large"/>
  </r>
  <r>
    <s v="Mallorie Waber"/>
    <s v="Australia"/>
    <s v="Spicy Special Slims"/>
    <x v="28"/>
    <n v="5439"/>
    <n v="287"/>
    <n v="18.951219512195124"/>
    <s v="June"/>
    <s v="Q2"/>
    <s v="Large"/>
  </r>
  <r>
    <s v="Ches Bonnell"/>
    <s v="Canada"/>
    <s v="Choco Coated Almonds"/>
    <x v="32"/>
    <n v="15547"/>
    <n v="269"/>
    <n v="57.795539033457246"/>
    <s v="August"/>
    <s v="Q3"/>
    <s v="Large"/>
  </r>
  <r>
    <s v="Gigi Bohling"/>
    <s v="Canada"/>
    <s v="Spicy Special Slims"/>
    <x v="9"/>
    <n v="11956"/>
    <n v="277"/>
    <n v="43.162454873646212"/>
    <s v="July"/>
    <s v="Q3"/>
    <s v="Large"/>
  </r>
  <r>
    <s v="Roddy Speechley"/>
    <s v="New Zealand"/>
    <s v="Almond Choco"/>
    <x v="71"/>
    <n v="2723"/>
    <n v="67"/>
    <n v="40.64179104477612"/>
    <s v="March"/>
    <s v="Q1"/>
    <s v="Large"/>
  </r>
  <r>
    <s v="Curtice Advani"/>
    <s v="India"/>
    <s v="Smooth Sliky Salty"/>
    <x v="41"/>
    <n v="19327"/>
    <n v="135"/>
    <n v="143.16296296296295"/>
    <s v="April"/>
    <s v="Q2"/>
    <s v="Large"/>
  </r>
  <r>
    <s v="Ches Bonnell"/>
    <s v="New Zealand"/>
    <s v="Mint Chip Choco"/>
    <x v="93"/>
    <n v="9058"/>
    <n v="229"/>
    <n v="39.554585152838428"/>
    <s v="January"/>
    <s v="Q1"/>
    <s v="Large"/>
  </r>
  <r>
    <s v="Van Tuxwell"/>
    <s v="New Zealand"/>
    <s v="Fruit &amp; Nut Bars"/>
    <x v="154"/>
    <n v="2996"/>
    <n v="88"/>
    <n v="34.045454545454547"/>
    <s v="January"/>
    <s v="Q1"/>
    <s v="Large"/>
  </r>
  <r>
    <s v="Andria Kimpton"/>
    <s v="New Zealand"/>
    <s v="Mint Chip Choco"/>
    <x v="142"/>
    <n v="8848"/>
    <n v="211"/>
    <n v="41.933649289099527"/>
    <s v="February"/>
    <s v="Q1"/>
    <s v="Large"/>
  </r>
  <r>
    <s v="Andria Kimpton"/>
    <s v="UK"/>
    <s v="Milk Bars"/>
    <x v="58"/>
    <n v="14336"/>
    <n v="293"/>
    <n v="48.928327645051198"/>
    <s v="February"/>
    <s v="Q1"/>
    <s v="Large"/>
  </r>
  <r>
    <s v="Camilla Castle"/>
    <s v="USA"/>
    <s v="Manuka Honey Choco"/>
    <x v="139"/>
    <n v="16401"/>
    <n v="179"/>
    <n v="91.625698324022352"/>
    <s v="March"/>
    <s v="Q1"/>
    <s v="Large"/>
  </r>
  <r>
    <s v="Gunar Cockshoot"/>
    <s v="New Zealand"/>
    <s v="Almond Choco"/>
    <x v="79"/>
    <n v="5173"/>
    <n v="129"/>
    <n v="40.100775193798448"/>
    <s v="January"/>
    <s v="Q1"/>
    <s v="Large"/>
  </r>
  <r>
    <s v="Brien Boise"/>
    <s v="India"/>
    <s v="Raspberry Choco"/>
    <x v="21"/>
    <n v="6328"/>
    <n v="164"/>
    <n v="38.585365853658537"/>
    <s v="May"/>
    <s v="Q2"/>
    <s v="Large"/>
  </r>
  <r>
    <s v="Jehu Rudeforth"/>
    <s v="USA"/>
    <s v="99% Dark &amp; Pure"/>
    <x v="0"/>
    <n v="2534"/>
    <n v="219"/>
    <n v="11.570776255707763"/>
    <s v="January"/>
    <s v="Q1"/>
    <s v="Large"/>
  </r>
  <r>
    <s v="Beverie Moffet"/>
    <s v="Australia"/>
    <s v="Fruit &amp; Nut Bars"/>
    <x v="119"/>
    <n v="1435"/>
    <n v="258"/>
    <n v="5.5620155038759691"/>
    <s v="April"/>
    <s v="Q2"/>
    <s v="Large"/>
  </r>
  <r>
    <s v="Gigi Bohling"/>
    <s v="Canada"/>
    <s v="Milk Bars"/>
    <x v="157"/>
    <n v="3052"/>
    <n v="116"/>
    <n v="26.310344827586206"/>
    <s v="February"/>
    <s v="Q1"/>
    <s v="Large"/>
  </r>
  <r>
    <s v="Dotty Strutley"/>
    <s v="India"/>
    <s v="Spicy Special Slims"/>
    <x v="153"/>
    <n v="910"/>
    <n v="204"/>
    <n v="4.4607843137254903"/>
    <s v="August"/>
    <s v="Q3"/>
    <s v="Large"/>
  </r>
  <r>
    <s v="Gunar Cockshoot"/>
    <s v="USA"/>
    <s v="Organic Choco Syrup"/>
    <x v="50"/>
    <n v="2331"/>
    <n v="321"/>
    <n v="7.2616822429906538"/>
    <s v="August"/>
    <s v="Q3"/>
    <s v="Large"/>
  </r>
  <r>
    <s v="Kelci Walkden"/>
    <s v="Australia"/>
    <s v="Raspberry Choco"/>
    <x v="76"/>
    <n v="679"/>
    <n v="56"/>
    <n v="12.125"/>
    <s v="June"/>
    <s v="Q2"/>
    <s v="Large"/>
  </r>
  <r>
    <s v="Jehu Rudeforth"/>
    <s v="India"/>
    <s v="Baker's Choco Chips"/>
    <x v="5"/>
    <n v="2086"/>
    <n v="74"/>
    <n v="28.189189189189189"/>
    <s v="June"/>
    <s v="Q2"/>
    <s v="Large"/>
  </r>
  <r>
    <s v="Karlen McCaffrey"/>
    <s v="New Zealand"/>
    <s v="Baker's Choco Chips"/>
    <x v="16"/>
    <n v="5012"/>
    <n v="189"/>
    <n v="26.518518518518519"/>
    <s v="April"/>
    <s v="Q2"/>
    <s v="Large"/>
  </r>
  <r>
    <s v="Wilone O'Kielt"/>
    <s v="USA"/>
    <s v="50% Dark Bites"/>
    <x v="158"/>
    <n v="4501"/>
    <n v="131"/>
    <n v="34.358778625954201"/>
    <s v="April"/>
    <s v="Q2"/>
    <s v="Large"/>
  </r>
  <r>
    <s v="Andria Kimpton"/>
    <s v="India"/>
    <s v="50% Dark Bites"/>
    <x v="60"/>
    <n v="13482"/>
    <n v="15"/>
    <n v="898.8"/>
    <s v="January"/>
    <s v="Q1"/>
    <s v="Large"/>
  </r>
  <r>
    <s v="Madelene Upcott"/>
    <s v="USA"/>
    <s v="Baker's Choco Chips"/>
    <x v="38"/>
    <n v="5621"/>
    <n v="140"/>
    <n v="40.15"/>
    <s v="August"/>
    <s v="Q3"/>
    <s v="Large"/>
  </r>
  <r>
    <s v="Jehu Rudeforth"/>
    <s v="Australia"/>
    <s v="99% Dark &amp; Pure"/>
    <x v="75"/>
    <n v="10486"/>
    <n v="198"/>
    <n v="52.959595959595958"/>
    <s v="February"/>
    <s v="Q1"/>
    <s v="Large"/>
  </r>
  <r>
    <s v="Jan Morforth"/>
    <s v="Australia"/>
    <s v="Mint Chip Choco"/>
    <x v="105"/>
    <n v="17626"/>
    <n v="103"/>
    <n v="171.126213592233"/>
    <s v="February"/>
    <s v="Q1"/>
    <s v="Large"/>
  </r>
  <r>
    <s v="Oby Sorrel"/>
    <s v="New Zealand"/>
    <s v="Milk Bars"/>
    <x v="89"/>
    <n v="4494"/>
    <n v="187"/>
    <n v="24.032085561497325"/>
    <s v="January"/>
    <s v="Q1"/>
    <s v="Large"/>
  </r>
  <r>
    <s v="Brien Boise"/>
    <s v="UK"/>
    <s v="Almond Choco"/>
    <x v="63"/>
    <n v="105"/>
    <n v="125"/>
    <n v="0.84"/>
    <s v="May"/>
    <s v="Q2"/>
    <s v="Small"/>
  </r>
  <r>
    <s v="Kelci Walkden"/>
    <s v="India"/>
    <s v="Smooth Sliky Salty"/>
    <x v="131"/>
    <n v="2464"/>
    <n v="8"/>
    <n v="308"/>
    <s v="February"/>
    <s v="Q1"/>
    <s v="Large"/>
  </r>
  <r>
    <s v="Rafaelita Blaksland"/>
    <s v="UK"/>
    <s v="Eclairs"/>
    <x v="3"/>
    <n v="1379"/>
    <n v="70"/>
    <n v="19.7"/>
    <s v="April"/>
    <s v="Q2"/>
    <s v="Large"/>
  </r>
  <r>
    <s v="Gigi Bohling"/>
    <s v="USA"/>
    <s v="Smooth Sliky Salty"/>
    <x v="31"/>
    <n v="2583"/>
    <n v="126"/>
    <n v="20.5"/>
    <s v="July"/>
    <s v="Q3"/>
    <s v="Large"/>
  </r>
  <r>
    <s v="Curtice Advani"/>
    <s v="New Zealand"/>
    <s v="Mint Chip Choco"/>
    <x v="14"/>
    <n v="3220"/>
    <n v="265"/>
    <n v="12.150943396226415"/>
    <s v="January"/>
    <s v="Q1"/>
    <s v="Large"/>
  </r>
  <r>
    <s v="Curtice Advani"/>
    <s v="USA"/>
    <s v="Mint Chip Choco"/>
    <x v="32"/>
    <n v="4802"/>
    <n v="296"/>
    <n v="16.222972972972972"/>
    <s v="August"/>
    <s v="Q3"/>
    <s v="Large"/>
  </r>
  <r>
    <s v="Madelene Upcott"/>
    <s v="New Zealand"/>
    <s v="Fruit &amp; Nut Bars"/>
    <x v="93"/>
    <n v="5677"/>
    <n v="21"/>
    <n v="270.33333333333331"/>
    <s v="January"/>
    <s v="Q1"/>
    <s v="Large"/>
  </r>
  <r>
    <s v="Karlen McCaffrey"/>
    <s v="India"/>
    <s v="85% Dark Bars"/>
    <x v="159"/>
    <n v="945"/>
    <n v="83"/>
    <n v="11.385542168674698"/>
    <s v="March"/>
    <s v="Q1"/>
    <s v="Large"/>
  </r>
  <r>
    <s v="Ches Bonnell"/>
    <s v="Australia"/>
    <s v="Caramel Stuffed Bars"/>
    <x v="154"/>
    <n v="8757"/>
    <n v="162"/>
    <n v="54.055555555555557"/>
    <s v="January"/>
    <s v="Q1"/>
    <s v="Large"/>
  </r>
  <r>
    <s v="Kelci Walkden"/>
    <s v="USA"/>
    <s v="Fruit &amp; Nut Bars"/>
    <x v="20"/>
    <n v="4816"/>
    <n v="145"/>
    <n v="33.213793103448275"/>
    <s v="February"/>
    <s v="Q1"/>
    <s v="Large"/>
  </r>
  <r>
    <s v="Kelci Walkden"/>
    <s v="Canada"/>
    <s v="Peanut Butter Cubes"/>
    <x v="70"/>
    <n v="7532"/>
    <n v="44"/>
    <n v="171.18181818181819"/>
    <s v="April"/>
    <s v="Q2"/>
    <s v="Large"/>
  </r>
  <r>
    <s v="Gigi Bohling"/>
    <s v="Canada"/>
    <s v="Drinking Coco"/>
    <x v="47"/>
    <n v="3549"/>
    <n v="82"/>
    <n v="43.280487804878049"/>
    <s v="July"/>
    <s v="Q3"/>
    <s v="Large"/>
  </r>
  <r>
    <s v="Husein Augar"/>
    <s v="India"/>
    <s v="Fruit &amp; Nut Bars"/>
    <x v="92"/>
    <n v="4340"/>
    <n v="226"/>
    <n v="19.20353982300885"/>
    <s v="April"/>
    <s v="Q2"/>
    <s v="Large"/>
  </r>
  <r>
    <s v="Jan Morforth"/>
    <s v="New Zealand"/>
    <s v="Organic Choco Syrup"/>
    <x v="52"/>
    <n v="1799"/>
    <n v="207"/>
    <n v="8.6908212560386477"/>
    <s v="March"/>
    <s v="Q1"/>
    <s v="Large"/>
  </r>
  <r>
    <s v="Gigi Bohling"/>
    <s v="New Zealand"/>
    <s v="Raspberry Choco"/>
    <x v="145"/>
    <n v="1127"/>
    <n v="176"/>
    <n v="6.4034090909090908"/>
    <s v="August"/>
    <s v="Q3"/>
    <s v="Large"/>
  </r>
  <r>
    <s v="Dennison Crosswaite"/>
    <s v="Australia"/>
    <s v="Milk Bars"/>
    <x v="133"/>
    <n v="10038"/>
    <n v="286"/>
    <n v="35.0979020979021"/>
    <s v="June"/>
    <s v="Q2"/>
    <s v="Large"/>
  </r>
  <r>
    <s v="Ches Bonnell"/>
    <s v="UK"/>
    <s v="Caramel Stuffed Bars"/>
    <x v="34"/>
    <n v="2926"/>
    <n v="300"/>
    <n v="9.7533333333333339"/>
    <s v="June"/>
    <s v="Q2"/>
    <s v="Large"/>
  </r>
  <r>
    <s v="Van Tuxwell"/>
    <s v="USA"/>
    <s v="Fruit &amp; Nut Bars"/>
    <x v="25"/>
    <n v="6279"/>
    <n v="235"/>
    <n v="26.719148936170214"/>
    <s v="July"/>
    <s v="Q3"/>
    <s v="Large"/>
  </r>
  <r>
    <s v="Andria Kimpton"/>
    <s v="Canada"/>
    <s v="Eclairs"/>
    <x v="155"/>
    <n v="308"/>
    <n v="125"/>
    <n v="2.464"/>
    <s v="August"/>
    <s v="Q3"/>
    <s v="Small"/>
  </r>
  <r>
    <s v="Madelene Upcott"/>
    <s v="India"/>
    <s v="Choco Coated Almonds"/>
    <x v="58"/>
    <n v="3500"/>
    <n v="145"/>
    <n v="24.137931034482758"/>
    <s v="February"/>
    <s v="Q1"/>
    <s v="Large"/>
  </r>
  <r>
    <s v="Kelci Walkden"/>
    <s v="New Zealand"/>
    <s v="Spicy Special Slims"/>
    <x v="155"/>
    <n v="658"/>
    <n v="65"/>
    <n v="10.123076923076923"/>
    <s v="August"/>
    <s v="Q3"/>
    <s v="Large"/>
  </r>
  <r>
    <s v="Roddy Speechley"/>
    <s v="Australia"/>
    <s v="Drinking Coco"/>
    <x v="65"/>
    <n v="12565"/>
    <n v="102"/>
    <n v="123.18627450980392"/>
    <s v="May"/>
    <s v="Q2"/>
    <s v="Large"/>
  </r>
  <r>
    <s v="Wilone O'Kielt"/>
    <s v="USA"/>
    <s v="Milk Bars"/>
    <x v="42"/>
    <n v="5012"/>
    <n v="93"/>
    <n v="53.892473118279568"/>
    <s v="July"/>
    <s v="Q3"/>
    <s v="Large"/>
  </r>
  <r>
    <s v="Andria Kimpton"/>
    <s v="India"/>
    <s v="Organic Choco Syrup"/>
    <x v="93"/>
    <n v="3955"/>
    <n v="134"/>
    <n v="29.514925373134329"/>
    <s v="January"/>
    <s v="Q1"/>
    <s v="Large"/>
  </r>
  <r>
    <s v="Madelene Upcott"/>
    <s v="UK"/>
    <s v="Fruit &amp; Nut Bars"/>
    <x v="79"/>
    <n v="8512"/>
    <n v="189"/>
    <n v="45.037037037037038"/>
    <s v="January"/>
    <s v="Q1"/>
    <s v="Large"/>
  </r>
  <r>
    <s v="Curtice Advani"/>
    <s v="Australia"/>
    <s v="50% Dark Bites"/>
    <x v="28"/>
    <n v="504"/>
    <n v="232"/>
    <n v="2.1724137931034484"/>
    <s v="June"/>
    <s v="Q2"/>
    <s v="Large"/>
  </r>
  <r>
    <s v="Brien Boise"/>
    <s v="Canada"/>
    <s v="Raspberry Choco"/>
    <x v="107"/>
    <n v="2800"/>
    <n v="45"/>
    <n v="62.222222222222221"/>
    <s v="June"/>
    <s v="Q2"/>
    <s v="Large"/>
  </r>
  <r>
    <s v="Gunar Cockshoot"/>
    <s v="India"/>
    <s v="Mint Chip Choco"/>
    <x v="115"/>
    <n v="4256"/>
    <n v="67"/>
    <n v="63.522388059701491"/>
    <s v="August"/>
    <s v="Q3"/>
    <s v="Large"/>
  </r>
  <r>
    <s v="Dennison Crosswaite"/>
    <s v="India"/>
    <s v="Mint Chip Choco"/>
    <x v="85"/>
    <n v="13573"/>
    <n v="138"/>
    <n v="98.35507246376811"/>
    <s v="March"/>
    <s v="Q1"/>
    <s v="Large"/>
  </r>
  <r>
    <s v="Barr Faughny"/>
    <s v="India"/>
    <s v="Caramel Stuffed Bars"/>
    <x v="0"/>
    <n v="6566"/>
    <n v="99"/>
    <n v="66.323232323232318"/>
    <s v="January"/>
    <s v="Q1"/>
    <s v="Large"/>
  </r>
  <r>
    <s v="Brien Boise"/>
    <s v="India"/>
    <s v="Milk Bars"/>
    <x v="105"/>
    <n v="13503"/>
    <n v="251"/>
    <n v="53.796812749003983"/>
    <s v="February"/>
    <s v="Q1"/>
    <s v="Large"/>
  </r>
  <r>
    <s v="Beverie Moffet"/>
    <s v="UK"/>
    <s v="Spicy Special Slims"/>
    <x v="20"/>
    <n v="8680"/>
    <n v="252"/>
    <n v="34.444444444444443"/>
    <s v="February"/>
    <s v="Q1"/>
    <s v="Large"/>
  </r>
  <r>
    <s v="Barr Faughny"/>
    <s v="USA"/>
    <s v="Almond Choco"/>
    <x v="152"/>
    <n v="385"/>
    <n v="78"/>
    <n v="4.9358974358974361"/>
    <s v="February"/>
    <s v="Q1"/>
    <s v="Small"/>
  </r>
  <r>
    <s v="Van Tuxwell"/>
    <s v="Canada"/>
    <s v="Raspberry Choco"/>
    <x v="103"/>
    <n v="1267"/>
    <n v="130"/>
    <n v="9.7461538461538453"/>
    <s v="March"/>
    <s v="Q1"/>
    <s v="Large"/>
  </r>
  <r>
    <s v="Wilone O'Kielt"/>
    <s v="Australia"/>
    <s v="Baker's Choco Chips"/>
    <x v="6"/>
    <n v="2961"/>
    <n v="154"/>
    <n v="19.227272727272727"/>
    <s v="January"/>
    <s v="Q1"/>
    <s v="Large"/>
  </r>
  <r>
    <s v="Brien Boise"/>
    <s v="Australia"/>
    <s v="Milk Bars"/>
    <x v="109"/>
    <n v="1981"/>
    <n v="52"/>
    <n v="38.096153846153847"/>
    <s v="July"/>
    <s v="Q3"/>
    <s v="Large"/>
  </r>
  <r>
    <s v="Husein Augar"/>
    <s v="Australia"/>
    <s v="Fruit &amp; Nut Bars"/>
    <x v="82"/>
    <n v="7959"/>
    <n v="53"/>
    <n v="150.16981132075472"/>
    <s v="January"/>
    <s v="Q1"/>
    <s v="Large"/>
  </r>
  <r>
    <s v="Madelene Upcott"/>
    <s v="Australia"/>
    <s v="Organic Choco Syrup"/>
    <x v="25"/>
    <n v="10794"/>
    <n v="50"/>
    <n v="215.88"/>
    <s v="July"/>
    <s v="Q3"/>
    <s v="Large"/>
  </r>
  <r>
    <s v="Van Tuxwell"/>
    <s v="India"/>
    <s v="White Choc"/>
    <x v="111"/>
    <n v="1897"/>
    <n v="44"/>
    <n v="43.113636363636367"/>
    <s v="March"/>
    <s v="Q1"/>
    <s v="Large"/>
  </r>
  <r>
    <s v="Gunar Cockshoot"/>
    <s v="Canada"/>
    <s v="After Nines"/>
    <x v="117"/>
    <n v="2744"/>
    <n v="200"/>
    <n v="13.72"/>
    <s v="August"/>
    <s v="Q3"/>
    <s v="Large"/>
  </r>
  <r>
    <s v="Jan Morforth"/>
    <s v="USA"/>
    <s v="Fruit &amp; Nut Bars"/>
    <x v="19"/>
    <n v="4382"/>
    <n v="361"/>
    <n v="12.138504155124654"/>
    <s v="June"/>
    <s v="Q2"/>
    <s v="Large"/>
  </r>
  <r>
    <s v="Jan Morforth"/>
    <s v="Canada"/>
    <s v="After Nines"/>
    <x v="57"/>
    <n v="4515"/>
    <n v="172"/>
    <n v="26.25"/>
    <s v="July"/>
    <s v="Q3"/>
    <s v="Large"/>
  </r>
  <r>
    <s v="Barr Faughny"/>
    <s v="New Zealand"/>
    <s v="Manuka Honey Choco"/>
    <x v="4"/>
    <n v="5474"/>
    <n v="239"/>
    <n v="22.90376569037657"/>
    <s v="February"/>
    <s v="Q1"/>
    <s v="Large"/>
  </r>
  <r>
    <s v="Karlen McCaffrey"/>
    <s v="New Zealand"/>
    <s v="85% Dark Bars"/>
    <x v="44"/>
    <n v="6069"/>
    <n v="55"/>
    <n v="110.34545454545454"/>
    <s v="June"/>
    <s v="Q2"/>
    <s v="Large"/>
  </r>
  <r>
    <s v="Oby Sorrel"/>
    <s v="Australia"/>
    <s v="85% Dark Bars"/>
    <x v="30"/>
    <n v="6944"/>
    <n v="27"/>
    <n v="257.18518518518516"/>
    <s v="June"/>
    <s v="Q2"/>
    <s v="Large"/>
  </r>
  <r>
    <s v="Curtice Advani"/>
    <s v="Canada"/>
    <s v="Choco Coated Almonds"/>
    <x v="61"/>
    <n v="5859"/>
    <n v="7"/>
    <n v="837"/>
    <s v="August"/>
    <s v="Q3"/>
    <s v="Large"/>
  </r>
  <r>
    <s v="Kaine Padly"/>
    <s v="India"/>
    <s v="70% Dark Bites"/>
    <x v="80"/>
    <n v="12173"/>
    <n v="301"/>
    <n v="40.441860465116278"/>
    <s v="January"/>
    <s v="Q1"/>
    <s v="Large"/>
  </r>
  <r>
    <s v="Beverie Moffet"/>
    <s v="USA"/>
    <s v="White Choc"/>
    <x v="54"/>
    <n v="5292"/>
    <n v="134"/>
    <n v="39.492537313432834"/>
    <s v="March"/>
    <s v="Q1"/>
    <s v="Large"/>
  </r>
  <r>
    <s v="Ches Bonnell"/>
    <s v="New Zealand"/>
    <s v="After Nines"/>
    <x v="130"/>
    <n v="5705"/>
    <n v="350"/>
    <n v="16.3"/>
    <s v="June"/>
    <s v="Q2"/>
    <s v="Large"/>
  </r>
  <r>
    <s v="Husein Augar"/>
    <s v="India"/>
    <s v="Spicy Special Slims"/>
    <x v="38"/>
    <n v="2492"/>
    <n v="33"/>
    <n v="75.515151515151516"/>
    <s v="August"/>
    <s v="Q3"/>
    <s v="Large"/>
  </r>
  <r>
    <s v="Gunar Cockshoot"/>
    <s v="Canada"/>
    <s v="50% Dark Bites"/>
    <x v="0"/>
    <n v="3024"/>
    <n v="23"/>
    <n v="131.47826086956522"/>
    <s v="January"/>
    <s v="Q1"/>
    <s v="Large"/>
  </r>
  <r>
    <s v="Curtice Advani"/>
    <s v="India"/>
    <s v="Milk Bars"/>
    <x v="16"/>
    <n v="3437"/>
    <n v="201"/>
    <n v="17.099502487562191"/>
    <s v="April"/>
    <s v="Q2"/>
    <s v="Large"/>
  </r>
  <r>
    <s v="Beverie Moffet"/>
    <s v="India"/>
    <s v="Milk Bars"/>
    <x v="35"/>
    <n v="1869"/>
    <n v="323"/>
    <n v="5.7863777089783284"/>
    <s v="April"/>
    <s v="Q2"/>
    <s v="Large"/>
  </r>
  <r>
    <s v="Husein Augar"/>
    <s v="Australia"/>
    <s v="White Choc"/>
    <x v="29"/>
    <n v="3171"/>
    <n v="220"/>
    <n v="14.413636363636364"/>
    <s v="May"/>
    <s v="Q2"/>
    <s v="Large"/>
  </r>
  <r>
    <s v="Andria Kimpton"/>
    <s v="Canada"/>
    <s v="Manuka Honey Choco"/>
    <x v="129"/>
    <n v="4858"/>
    <n v="488"/>
    <n v="9.9549180327868854"/>
    <s v="July"/>
    <s v="Q3"/>
    <s v="Large"/>
  </r>
  <r>
    <s v="Jan Morforth"/>
    <s v="New Zealand"/>
    <s v="Orange Choco"/>
    <x v="58"/>
    <n v="1225"/>
    <n v="84"/>
    <n v="14.583333333333334"/>
    <s v="February"/>
    <s v="Q1"/>
    <s v="Large"/>
  </r>
  <r>
    <s v="Andria Kimpton"/>
    <s v="Canada"/>
    <s v="Smooth Sliky Salty"/>
    <x v="51"/>
    <n v="1155"/>
    <n v="79"/>
    <n v="14.620253164556962"/>
    <s v="July"/>
    <s v="Q3"/>
    <s v="Large"/>
  </r>
  <r>
    <s v="Gunar Cockshoot"/>
    <s v="UK"/>
    <s v="Raspberry Choco"/>
    <x v="155"/>
    <n v="6811"/>
    <n v="344"/>
    <n v="19.799418604651162"/>
    <s v="August"/>
    <s v="Q3"/>
    <s v="Large"/>
  </r>
  <r>
    <s v="Husein Augar"/>
    <s v="New Zealand"/>
    <s v="After Nines"/>
    <x v="117"/>
    <n v="6433"/>
    <n v="7"/>
    <n v="919"/>
    <s v="August"/>
    <s v="Q3"/>
    <s v="Large"/>
  </r>
  <r>
    <s v="Andria Kimpton"/>
    <s v="New Zealand"/>
    <s v="Orange Choco"/>
    <x v="107"/>
    <n v="8169"/>
    <n v="88"/>
    <n v="92.829545454545453"/>
    <s v="June"/>
    <s v="Q2"/>
    <s v="Large"/>
  </r>
  <r>
    <s v="Dennison Crosswaite"/>
    <s v="UK"/>
    <s v="Baker's Choco Chips"/>
    <x v="154"/>
    <n v="2275"/>
    <n v="275"/>
    <n v="8.2727272727272734"/>
    <s v="January"/>
    <s v="Q1"/>
    <s v="Large"/>
  </r>
  <r>
    <s v="Jehu Rudeforth"/>
    <s v="Canada"/>
    <s v="Orange Choco"/>
    <x v="130"/>
    <n v="3857"/>
    <n v="512"/>
    <n v="7.533203125"/>
    <s v="June"/>
    <s v="Q2"/>
    <s v="Large"/>
  </r>
  <r>
    <s v="Jehu Rudeforth"/>
    <s v="UK"/>
    <s v="Smooth Sliky Salty"/>
    <x v="32"/>
    <n v="1463"/>
    <n v="113"/>
    <n v="12.946902654867257"/>
    <s v="August"/>
    <s v="Q3"/>
    <s v="Large"/>
  </r>
  <r>
    <s v="Andria Kimpton"/>
    <s v="UK"/>
    <s v="Caramel Stuffed Bars"/>
    <x v="76"/>
    <n v="7924"/>
    <n v="275"/>
    <n v="28.814545454545456"/>
    <s v="June"/>
    <s v="Q2"/>
    <s v="Large"/>
  </r>
  <r>
    <s v="Jan Morforth"/>
    <s v="UK"/>
    <s v="White Choc"/>
    <x v="137"/>
    <n v="8799"/>
    <n v="47"/>
    <n v="187.21276595744681"/>
    <s v="June"/>
    <s v="Q2"/>
    <s v="Large"/>
  </r>
  <r>
    <s v="Dotty Strutley"/>
    <s v="USA"/>
    <s v="Fruit &amp; Nut Bars"/>
    <x v="57"/>
    <n v="2898"/>
    <n v="276"/>
    <n v="10.5"/>
    <s v="July"/>
    <s v="Q3"/>
    <s v="Large"/>
  </r>
  <r>
    <s v="Kelci Walkden"/>
    <s v="UK"/>
    <s v="Choco Coated Almonds"/>
    <x v="27"/>
    <n v="9506"/>
    <n v="212"/>
    <n v="44.839622641509436"/>
    <s v="May"/>
    <s v="Q2"/>
    <s v="Large"/>
  </r>
  <r>
    <s v="Gunar Cockshoot"/>
    <s v="New Zealand"/>
    <s v="After Nines"/>
    <x v="145"/>
    <n v="7175"/>
    <n v="145"/>
    <n v="49.482758620689658"/>
    <s v="August"/>
    <s v="Q3"/>
    <s v="Large"/>
  </r>
  <r>
    <s v="Kaine Padly"/>
    <s v="Canada"/>
    <s v="85% Dark Bars"/>
    <x v="81"/>
    <n v="1729"/>
    <n v="31"/>
    <n v="55.774193548387096"/>
    <s v="April"/>
    <s v="Q2"/>
    <s v="Large"/>
  </r>
  <r>
    <s v="Jan Morforth"/>
    <s v="New Zealand"/>
    <s v="Manuka Honey Choco"/>
    <x v="12"/>
    <n v="1589"/>
    <n v="271"/>
    <n v="5.8634686346863472"/>
    <s v="July"/>
    <s v="Q3"/>
    <s v="Large"/>
  </r>
  <r>
    <s v="Gunar Cockshoot"/>
    <s v="New Zealand"/>
    <s v="Raspberry Choco"/>
    <x v="32"/>
    <n v="630"/>
    <n v="52"/>
    <n v="12.115384615384615"/>
    <s v="August"/>
    <s v="Q3"/>
    <s v="Large"/>
  </r>
  <r>
    <s v="Van Tuxwell"/>
    <s v="Australia"/>
    <s v="99% Dark &amp; Pure"/>
    <x v="154"/>
    <n v="112"/>
    <n v="128"/>
    <n v="0.875"/>
    <s v="January"/>
    <s v="Q1"/>
    <s v="Small"/>
  </r>
  <r>
    <s v="Curtice Advani"/>
    <s v="USA"/>
    <s v="Drinking Coco"/>
    <x v="64"/>
    <n v="5187"/>
    <n v="142"/>
    <n v="36.528169014084504"/>
    <s v="February"/>
    <s v="Q1"/>
    <s v="Large"/>
  </r>
  <r>
    <s v="Brien Boise"/>
    <s v="Australia"/>
    <s v="Spicy Special Slims"/>
    <x v="122"/>
    <n v="6223"/>
    <n v="256"/>
    <n v="24.30859375"/>
    <s v="May"/>
    <s v="Q2"/>
    <s v="Large"/>
  </r>
  <r>
    <s v="Mallorie Waber"/>
    <s v="New Zealand"/>
    <s v="85% Dark Bars"/>
    <x v="5"/>
    <n v="7714"/>
    <n v="106"/>
    <n v="72.773584905660371"/>
    <s v="June"/>
    <s v="Q2"/>
    <s v="Large"/>
  </r>
  <r>
    <s v="Wilone O'Kielt"/>
    <s v="USA"/>
    <s v="Choco Coated Almonds"/>
    <x v="5"/>
    <n v="9457"/>
    <n v="6"/>
    <n v="1576.1666666666667"/>
    <s v="June"/>
    <s v="Q2"/>
    <s v="Large"/>
  </r>
  <r>
    <s v="Beverie Moffet"/>
    <s v="New Zealand"/>
    <s v="Organic Choco Syrup"/>
    <x v="27"/>
    <n v="6678"/>
    <n v="226"/>
    <n v="29.548672566371682"/>
    <s v="May"/>
    <s v="Q2"/>
    <s v="Large"/>
  </r>
  <r>
    <s v="Gunar Cockshoot"/>
    <s v="UK"/>
    <s v="50% Dark Bites"/>
    <x v="10"/>
    <n v="2107"/>
    <n v="121"/>
    <n v="17.41322314049587"/>
    <s v="January"/>
    <s v="Q1"/>
    <s v="Large"/>
  </r>
  <r>
    <s v="Marney O'Breen"/>
    <s v="USA"/>
    <s v="Raspberry Choco"/>
    <x v="123"/>
    <n v="6069"/>
    <n v="151"/>
    <n v="40.192052980132452"/>
    <s v="May"/>
    <s v="Q2"/>
    <s v="Large"/>
  </r>
  <r>
    <s v="Jehu Rudeforth"/>
    <s v="UK"/>
    <s v="White Choc"/>
    <x v="28"/>
    <n v="1862"/>
    <n v="284"/>
    <n v="6.556338028169014"/>
    <s v="June"/>
    <s v="Q2"/>
    <s v="Large"/>
  </r>
  <r>
    <s v="Jehu Rudeforth"/>
    <s v="New Zealand"/>
    <s v="85% Dark Bars"/>
    <x v="54"/>
    <n v="6972"/>
    <n v="89"/>
    <n v="78.337078651685388"/>
    <s v="March"/>
    <s v="Q1"/>
    <s v="Large"/>
  </r>
  <r>
    <s v="Dotty Strutley"/>
    <s v="USA"/>
    <s v="85% Dark Bars"/>
    <x v="91"/>
    <n v="10220"/>
    <n v="508"/>
    <n v="20.118110236220474"/>
    <s v="April"/>
    <s v="Q2"/>
    <s v="Large"/>
  </r>
  <r>
    <s v="Rafaelita Blaksland"/>
    <s v="Australia"/>
    <s v="Smooth Sliky Salty"/>
    <x v="21"/>
    <n v="3969"/>
    <n v="243"/>
    <n v="16.333333333333332"/>
    <s v="May"/>
    <s v="Q2"/>
    <s v="Large"/>
  </r>
  <r>
    <s v="Curtice Advani"/>
    <s v="India"/>
    <s v="Manuka Honey Choco"/>
    <x v="123"/>
    <n v="1547"/>
    <n v="170"/>
    <n v="9.1"/>
    <s v="May"/>
    <s v="Q2"/>
    <s v="Large"/>
  </r>
  <r>
    <s v="Mallorie Waber"/>
    <s v="USA"/>
    <s v="Peanut Butter Cubes"/>
    <x v="123"/>
    <n v="1162"/>
    <n v="18"/>
    <n v="64.555555555555557"/>
    <s v="May"/>
    <s v="Q2"/>
    <s v="Large"/>
  </r>
  <r>
    <s v="Van Tuxwell"/>
    <s v="Canada"/>
    <s v="Peanut Butter Cubes"/>
    <x v="132"/>
    <n v="6342"/>
    <n v="282"/>
    <n v="22.48936170212766"/>
    <s v="June"/>
    <s v="Q2"/>
    <s v="Large"/>
  </r>
  <r>
    <s v="Kelci Walkden"/>
    <s v="New Zealand"/>
    <s v="Smooth Sliky Salty"/>
    <x v="54"/>
    <n v="10633"/>
    <n v="277"/>
    <n v="38.386281588447652"/>
    <s v="March"/>
    <s v="Q1"/>
    <s v="Large"/>
  </r>
  <r>
    <s v="Rafaelita Blaksland"/>
    <s v="USA"/>
    <s v="Smooth Sliky Salty"/>
    <x v="109"/>
    <n v="15057"/>
    <n v="212"/>
    <n v="71.023584905660371"/>
    <s v="July"/>
    <s v="Q3"/>
    <s v="Large"/>
  </r>
  <r>
    <s v="Rafaelita Blaksland"/>
    <s v="USA"/>
    <s v="White Choc"/>
    <x v="160"/>
    <n v="4704"/>
    <n v="126"/>
    <n v="37.333333333333336"/>
    <s v="August"/>
    <s v="Q3"/>
    <s v="Large"/>
  </r>
  <r>
    <s v="Roddy Speechley"/>
    <s v="Canada"/>
    <s v="Smooth Sliky Salty"/>
    <x v="66"/>
    <n v="9338"/>
    <n v="11"/>
    <n v="848.90909090909088"/>
    <s v="March"/>
    <s v="Q1"/>
    <s v="Large"/>
  </r>
  <r>
    <s v="Curtice Advani"/>
    <s v="New Zealand"/>
    <s v="After Nines"/>
    <x v="16"/>
    <n v="7959"/>
    <n v="30"/>
    <n v="265.3"/>
    <s v="April"/>
    <s v="Q2"/>
    <s v="Large"/>
  </r>
  <r>
    <s v="Camilla Castle"/>
    <s v="India"/>
    <s v="85% Dark Bars"/>
    <x v="116"/>
    <n v="9023"/>
    <n v="51"/>
    <n v="176.92156862745097"/>
    <s v="May"/>
    <s v="Q2"/>
    <s v="Large"/>
  </r>
  <r>
    <s v="Ches Bonnell"/>
    <s v="USA"/>
    <s v="Choco Coated Almonds"/>
    <x v="0"/>
    <n v="14525"/>
    <n v="92"/>
    <n v="157.88043478260869"/>
    <s v="January"/>
    <s v="Q1"/>
    <s v="Large"/>
  </r>
  <r>
    <s v="Marney O'Breen"/>
    <s v="Australia"/>
    <s v="Baker's Choco Chips"/>
    <x v="10"/>
    <n v="5810"/>
    <n v="101"/>
    <n v="57.524752475247524"/>
    <s v="January"/>
    <s v="Q1"/>
    <s v="Large"/>
  </r>
  <r>
    <s v="Wilone O'Kielt"/>
    <s v="New Zealand"/>
    <s v="Fruit &amp; Nut Bars"/>
    <x v="36"/>
    <n v="6426"/>
    <n v="98"/>
    <n v="65.571428571428569"/>
    <s v="July"/>
    <s v="Q3"/>
    <s v="Large"/>
  </r>
  <r>
    <s v="Kaine Padly"/>
    <s v="Australia"/>
    <s v="Mint Chip Choco"/>
    <x v="134"/>
    <n v="4403"/>
    <n v="159"/>
    <n v="27.691823899371069"/>
    <s v="May"/>
    <s v="Q2"/>
    <s v="Large"/>
  </r>
  <r>
    <s v="Camilla Castle"/>
    <s v="New Zealand"/>
    <s v="Peanut Butter Cubes"/>
    <x v="129"/>
    <n v="1582"/>
    <n v="62"/>
    <n v="25.516129032258064"/>
    <s v="July"/>
    <s v="Q3"/>
    <s v="Large"/>
  </r>
  <r>
    <s v="Curtice Advani"/>
    <s v="Canada"/>
    <s v="Organic Choco Syrup"/>
    <x v="105"/>
    <n v="791"/>
    <n v="22"/>
    <n v="35.954545454545453"/>
    <s v="February"/>
    <s v="Q1"/>
    <s v="Large"/>
  </r>
  <r>
    <s v="Jan Morforth"/>
    <s v="India"/>
    <s v="99% Dark &amp; Pure"/>
    <x v="123"/>
    <n v="9100"/>
    <n v="187"/>
    <n v="48.663101604278076"/>
    <s v="May"/>
    <s v="Q2"/>
    <s v="Large"/>
  </r>
  <r>
    <s v="Rafaelita Blaksland"/>
    <s v="Canada"/>
    <s v="Drinking Coco"/>
    <x v="97"/>
    <n v="9884"/>
    <n v="200"/>
    <n v="49.42"/>
    <s v="July"/>
    <s v="Q3"/>
    <s v="Large"/>
  </r>
  <r>
    <s v="Jan Morforth"/>
    <s v="UK"/>
    <s v="Orange Choco"/>
    <x v="26"/>
    <n v="3780"/>
    <n v="201"/>
    <n v="18.805970149253731"/>
    <s v="June"/>
    <s v="Q2"/>
    <s v="Large"/>
  </r>
  <r>
    <s v="Barr Faughny"/>
    <s v="New Zealand"/>
    <s v="50% Dark Bites"/>
    <x v="130"/>
    <n v="4557"/>
    <n v="308"/>
    <n v="14.795454545454545"/>
    <s v="June"/>
    <s v="Q2"/>
    <s v="Large"/>
  </r>
  <r>
    <s v="Curtice Advani"/>
    <s v="Australia"/>
    <s v="Eclairs"/>
    <x v="112"/>
    <n v="5796"/>
    <n v="55"/>
    <n v="105.38181818181818"/>
    <s v="March"/>
    <s v="Q1"/>
    <s v="Large"/>
  </r>
  <r>
    <s v="Jan Morforth"/>
    <s v="India"/>
    <s v="Caramel Stuffed Bars"/>
    <x v="9"/>
    <n v="84"/>
    <n v="153"/>
    <n v="0.5490196078431373"/>
    <s v="July"/>
    <s v="Q3"/>
    <s v="Small"/>
  </r>
  <r>
    <s v="Andria Kimpton"/>
    <s v="UK"/>
    <s v="White Choc"/>
    <x v="65"/>
    <n v="9037"/>
    <n v="101"/>
    <n v="89.475247524752476"/>
    <s v="May"/>
    <s v="Q2"/>
    <s v="Large"/>
  </r>
  <r>
    <s v="Camilla Castle"/>
    <s v="New Zealand"/>
    <s v="Raspberry Choco"/>
    <x v="92"/>
    <n v="4746"/>
    <n v="137"/>
    <n v="34.642335766423358"/>
    <s v="April"/>
    <s v="Q2"/>
    <s v="Large"/>
  </r>
  <r>
    <s v="Madelene Upcott"/>
    <s v="Australia"/>
    <s v="Orange Choco"/>
    <x v="35"/>
    <n v="6713"/>
    <n v="398"/>
    <n v="16.866834170854272"/>
    <s v="April"/>
    <s v="Q2"/>
    <s v="Large"/>
  </r>
  <r>
    <s v="Roddy Speechley"/>
    <s v="Canada"/>
    <s v="Eclairs"/>
    <x v="121"/>
    <n v="6237"/>
    <n v="88"/>
    <n v="70.875"/>
    <s v="March"/>
    <s v="Q1"/>
    <s v="Large"/>
  </r>
  <r>
    <s v="Karlen McCaffrey"/>
    <s v="India"/>
    <s v="White Choc"/>
    <x v="154"/>
    <n v="7483"/>
    <n v="232"/>
    <n v="32.254310344827587"/>
    <s v="January"/>
    <s v="Q1"/>
    <s v="Large"/>
  </r>
  <r>
    <s v="Wilone O'Kielt"/>
    <s v="India"/>
    <s v="Mint Chip Choco"/>
    <x v="38"/>
    <n v="1309"/>
    <n v="51"/>
    <n v="25.666666666666668"/>
    <s v="August"/>
    <s v="Q3"/>
    <s v="Large"/>
  </r>
  <r>
    <s v="Andria Kimpton"/>
    <s v="UK"/>
    <s v="99% Dark &amp; Pure"/>
    <x v="90"/>
    <n v="1155"/>
    <n v="66"/>
    <n v="17.5"/>
    <s v="July"/>
    <s v="Q3"/>
    <s v="Large"/>
  </r>
  <r>
    <s v="Marney O'Breen"/>
    <s v="UK"/>
    <s v="50% Dark Bites"/>
    <x v="107"/>
    <n v="2989"/>
    <n v="124"/>
    <n v="24.10483870967742"/>
    <s v="June"/>
    <s v="Q2"/>
    <s v="Large"/>
  </r>
  <r>
    <s v="Ches Bonnell"/>
    <s v="India"/>
    <s v="Choco Coated Almonds"/>
    <x v="16"/>
    <n v="9625"/>
    <n v="78"/>
    <n v="123.3974358974359"/>
    <s v="April"/>
    <s v="Q2"/>
    <s v="Large"/>
  </r>
  <r>
    <s v="Madelene Upcott"/>
    <s v="UK"/>
    <s v="Raspberry Choco"/>
    <x v="56"/>
    <n v="7357"/>
    <n v="341"/>
    <n v="21.574780058651026"/>
    <s v="August"/>
    <s v="Q3"/>
    <s v="Large"/>
  </r>
  <r>
    <s v="Wilone O'Kielt"/>
    <s v="Australia"/>
    <s v="50% Dark Bites"/>
    <x v="13"/>
    <n v="10031"/>
    <n v="114"/>
    <n v="87.991228070175438"/>
    <s v="August"/>
    <s v="Q3"/>
    <s v="Large"/>
  </r>
  <r>
    <s v="Gigi Bohling"/>
    <s v="Canada"/>
    <s v="White Choc"/>
    <x v="36"/>
    <n v="6587"/>
    <n v="4"/>
    <n v="1646.75"/>
    <s v="July"/>
    <s v="Q3"/>
    <s v="Large"/>
  </r>
  <r>
    <s v="Wilone O'Kielt"/>
    <s v="New Zealand"/>
    <s v="Eclairs"/>
    <x v="54"/>
    <n v="3311"/>
    <n v="22"/>
    <n v="150.5"/>
    <s v="March"/>
    <s v="Q1"/>
    <s v="Large"/>
  </r>
  <r>
    <s v="Brien Boise"/>
    <s v="UK"/>
    <s v="Peanut Butter Cubes"/>
    <x v="53"/>
    <n v="15330"/>
    <n v="30"/>
    <n v="511"/>
    <s v="January"/>
    <s v="Q1"/>
    <s v="Large"/>
  </r>
  <r>
    <s v="Roddy Speechley"/>
    <s v="UK"/>
    <s v="Baker's Choco Chips"/>
    <x v="92"/>
    <n v="14028"/>
    <n v="351"/>
    <n v="39.965811965811966"/>
    <s v="April"/>
    <s v="Q2"/>
    <s v="Large"/>
  </r>
  <r>
    <s v="Karlen McCaffrey"/>
    <s v="Australia"/>
    <s v="50% Dark Bites"/>
    <x v="154"/>
    <n v="6678"/>
    <n v="708"/>
    <n v="9.4322033898305087"/>
    <s v="January"/>
    <s v="Q1"/>
    <s v="Large"/>
  </r>
  <r>
    <s v="Marney O'Breen"/>
    <s v="New Zealand"/>
    <s v="Organic Choco Syrup"/>
    <x v="51"/>
    <n v="8624"/>
    <n v="50"/>
    <n v="172.48"/>
    <s v="July"/>
    <s v="Q3"/>
    <s v="Large"/>
  </r>
  <r>
    <s v="Jan Morforth"/>
    <s v="UK"/>
    <s v="Organic Choco Syrup"/>
    <x v="77"/>
    <n v="1197"/>
    <n v="356"/>
    <n v="3.3623595505617976"/>
    <s v="April"/>
    <s v="Q2"/>
    <s v="Large"/>
  </r>
  <r>
    <s v="Rafaelita Blaksland"/>
    <s v="Canada"/>
    <s v="Fruit &amp; Nut Bars"/>
    <x v="32"/>
    <n v="483"/>
    <n v="185"/>
    <n v="2.6108108108108108"/>
    <s v="August"/>
    <s v="Q3"/>
    <s v="Small"/>
  </r>
  <r>
    <s v="Ches Bonnell"/>
    <s v="UK"/>
    <s v="Choco Coated Almonds"/>
    <x v="76"/>
    <n v="1687"/>
    <n v="236"/>
    <n v="7.148305084745763"/>
    <s v="June"/>
    <s v="Q2"/>
    <s v="Large"/>
  </r>
  <r>
    <s v="Gunar Cockshoot"/>
    <s v="Canada"/>
    <s v="Almond Choco"/>
    <x v="12"/>
    <n v="1309"/>
    <n v="30"/>
    <n v="43.633333333333333"/>
    <s v="July"/>
    <s v="Q3"/>
    <s v="Large"/>
  </r>
  <r>
    <s v="Husein Augar"/>
    <s v="USA"/>
    <s v="99% Dark &amp; Pure"/>
    <x v="84"/>
    <n v="9534"/>
    <n v="111"/>
    <n v="85.891891891891888"/>
    <s v="February"/>
    <s v="Q1"/>
    <s v="Large"/>
  </r>
  <r>
    <s v="Dennison Crosswaite"/>
    <s v="Canada"/>
    <s v="Mint Chip Choco"/>
    <x v="70"/>
    <n v="1694"/>
    <n v="289"/>
    <n v="5.8615916955017298"/>
    <s v="April"/>
    <s v="Q2"/>
    <s v="Large"/>
  </r>
  <r>
    <s v="Brien Boise"/>
    <s v="UK"/>
    <s v="Manuka Honey Choco"/>
    <x v="44"/>
    <n v="70"/>
    <n v="103"/>
    <n v="0.67961165048543692"/>
    <s v="June"/>
    <s v="Q2"/>
    <s v="Small"/>
  </r>
  <r>
    <s v="Van Tuxwell"/>
    <s v="UK"/>
    <s v="Baker's Choco Chips"/>
    <x v="7"/>
    <n v="2443"/>
    <n v="20"/>
    <n v="122.15"/>
    <s v="March"/>
    <s v="Q1"/>
    <s v="Large"/>
  </r>
  <r>
    <s v="Barr Faughny"/>
    <s v="Australia"/>
    <s v="Caramel Stuffed Bars"/>
    <x v="99"/>
    <n v="2933"/>
    <n v="55"/>
    <n v="53.327272727272728"/>
    <s v="July"/>
    <s v="Q3"/>
    <s v="Large"/>
  </r>
  <r>
    <s v="Dennison Crosswaite"/>
    <s v="USA"/>
    <s v="Eclairs"/>
    <x v="63"/>
    <n v="2044"/>
    <n v="90"/>
    <n v="22.711111111111112"/>
    <s v="May"/>
    <s v="Q2"/>
    <s v="Large"/>
  </r>
  <r>
    <s v="Gigi Bohling"/>
    <s v="Australia"/>
    <s v="Raspberry Choco"/>
    <x v="159"/>
    <n v="6524"/>
    <n v="303"/>
    <n v="21.53135313531353"/>
    <s v="March"/>
    <s v="Q1"/>
    <s v="Large"/>
  </r>
  <r>
    <s v="Dennison Crosswaite"/>
    <s v="USA"/>
    <s v="Organic Choco Syrup"/>
    <x v="135"/>
    <n v="12656"/>
    <n v="126"/>
    <n v="100.44444444444444"/>
    <s v="July"/>
    <s v="Q3"/>
    <s v="Large"/>
  </r>
  <r>
    <s v="Beverie Moffet"/>
    <s v="Canada"/>
    <s v="Orange Choco"/>
    <x v="146"/>
    <n v="8722"/>
    <n v="109"/>
    <n v="80.018348623853214"/>
    <s v="May"/>
    <s v="Q2"/>
    <s v="Large"/>
  </r>
  <r>
    <s v="Mallorie Waber"/>
    <s v="Australia"/>
    <s v="Choco Coated Almonds"/>
    <x v="113"/>
    <n v="15750"/>
    <n v="92"/>
    <n v="171.19565217391303"/>
    <s v="March"/>
    <s v="Q1"/>
    <s v="Large"/>
  </r>
  <r>
    <s v="Ches Bonnell"/>
    <s v="India"/>
    <s v="Caramel Stuffed Bars"/>
    <x v="26"/>
    <n v="6839"/>
    <n v="56"/>
    <n v="122.125"/>
    <s v="June"/>
    <s v="Q2"/>
    <s v="Large"/>
  </r>
  <r>
    <s v="Van Tuxwell"/>
    <s v="Canada"/>
    <s v="50% Dark Bites"/>
    <x v="65"/>
    <n v="13685"/>
    <n v="58"/>
    <n v="235.94827586206895"/>
    <s v="May"/>
    <s v="Q2"/>
    <s v="Large"/>
  </r>
  <r>
    <s v="Kelci Walkden"/>
    <s v="New Zealand"/>
    <s v="Baker's Choco Chips"/>
    <x v="130"/>
    <n v="2912"/>
    <n v="110"/>
    <n v="26.472727272727273"/>
    <s v="June"/>
    <s v="Q2"/>
    <s v="Large"/>
  </r>
  <r>
    <s v="Beverie Moffet"/>
    <s v="India"/>
    <s v="Spicy Special Slims"/>
    <x v="126"/>
    <n v="3339"/>
    <n v="171"/>
    <n v="19.526315789473685"/>
    <s v="April"/>
    <s v="Q2"/>
    <s v="Large"/>
  </r>
  <r>
    <s v="Gigi Bohling"/>
    <s v="Australia"/>
    <s v="Almond Choco"/>
    <x v="120"/>
    <n v="910"/>
    <n v="117"/>
    <n v="7.7777777777777777"/>
    <s v="August"/>
    <s v="Q3"/>
    <s v="Large"/>
  </r>
  <r>
    <s v="Rafaelita Blaksland"/>
    <s v="New Zealand"/>
    <s v="Eclairs"/>
    <x v="64"/>
    <n v="19481"/>
    <n v="51"/>
    <n v="381.98039215686276"/>
    <s v="February"/>
    <s v="Q1"/>
    <s v="Large"/>
  </r>
  <r>
    <s v="Kelci Walkden"/>
    <s v="Canada"/>
    <s v="Smooth Sliky Salty"/>
    <x v="103"/>
    <n v="8099"/>
    <n v="118"/>
    <n v="68.63559322033899"/>
    <s v="March"/>
    <s v="Q1"/>
    <s v="Large"/>
  </r>
  <r>
    <s v="Jan Morforth"/>
    <s v="India"/>
    <s v="Baker's Choco Chips"/>
    <x v="1"/>
    <n v="13727"/>
    <n v="79"/>
    <n v="173.75949367088609"/>
    <s v="August"/>
    <s v="Q3"/>
    <s v="Large"/>
  </r>
  <r>
    <s v="Jehu Rudeforth"/>
    <s v="Australia"/>
    <s v="Milk Bars"/>
    <x v="113"/>
    <n v="8659"/>
    <n v="29"/>
    <n v="298.58620689655174"/>
    <s v="March"/>
    <s v="Q1"/>
    <s v="Large"/>
  </r>
  <r>
    <s v="Gigi Bohling"/>
    <s v="Canada"/>
    <s v="Fruit &amp; Nut Bars"/>
    <x v="107"/>
    <n v="5782"/>
    <n v="103"/>
    <n v="56.135922330097088"/>
    <s v="June"/>
    <s v="Q2"/>
    <s v="Large"/>
  </r>
  <r>
    <s v="Beverie Moffet"/>
    <s v="UK"/>
    <s v="Eclairs"/>
    <x v="119"/>
    <n v="8463"/>
    <n v="155"/>
    <n v="54.6"/>
    <s v="April"/>
    <s v="Q2"/>
    <s v="Large"/>
  </r>
  <r>
    <s v="Marney O'Breen"/>
    <s v="New Zealand"/>
    <s v="Eclairs"/>
    <x v="93"/>
    <n v="4914"/>
    <n v="31"/>
    <n v="158.51612903225808"/>
    <s v="January"/>
    <s v="Q1"/>
    <s v="Large"/>
  </r>
  <r>
    <s v="Husein Augar"/>
    <s v="Australia"/>
    <s v="99% Dark &amp; Pure"/>
    <x v="56"/>
    <n v="3087"/>
    <n v="128"/>
    <n v="24.1171875"/>
    <s v="August"/>
    <s v="Q3"/>
    <s v="Large"/>
  </r>
  <r>
    <s v="Gunar Cockshoot"/>
    <s v="New Zealand"/>
    <s v="Fruit &amp; Nut Bars"/>
    <x v="39"/>
    <n v="9205"/>
    <n v="419"/>
    <n v="21.968973747016708"/>
    <s v="June"/>
    <s v="Q2"/>
    <s v="Large"/>
  </r>
  <r>
    <s v="Curtice Advani"/>
    <s v="Canada"/>
    <s v="70% Dark Bites"/>
    <x v="60"/>
    <n v="2303"/>
    <n v="7"/>
    <n v="329"/>
    <s v="January"/>
    <s v="Q1"/>
    <s v="Large"/>
  </r>
  <r>
    <s v="Kelci Walkden"/>
    <s v="New Zealand"/>
    <s v="Manuka Honey Choco"/>
    <x v="70"/>
    <n v="1358"/>
    <n v="106"/>
    <n v="12.811320754716981"/>
    <s v="April"/>
    <s v="Q2"/>
    <s v="Large"/>
  </r>
  <r>
    <s v="Dotty Strutley"/>
    <s v="Australia"/>
    <s v="Baker's Choco Chips"/>
    <x v="76"/>
    <n v="3605"/>
    <n v="68"/>
    <n v="53.014705882352942"/>
    <s v="June"/>
    <s v="Q2"/>
    <s v="Large"/>
  </r>
  <r>
    <s v="Barr Faughny"/>
    <s v="Australia"/>
    <s v="85% Dark Bars"/>
    <x v="157"/>
    <n v="8498"/>
    <n v="44"/>
    <n v="193.13636363636363"/>
    <s v="February"/>
    <s v="Q1"/>
    <s v="Large"/>
  </r>
  <r>
    <s v="Beverie Moffet"/>
    <s v="Australia"/>
    <s v="50% Dark Bites"/>
    <x v="45"/>
    <n v="700"/>
    <n v="457"/>
    <n v="1.5317286652078774"/>
    <s v="May"/>
    <s v="Q2"/>
    <s v="Large"/>
  </r>
  <r>
    <s v="Gunar Cockshoot"/>
    <s v="India"/>
    <s v="Baker's Choco Chips"/>
    <x v="113"/>
    <n v="2191"/>
    <n v="524"/>
    <n v="4.1812977099236646"/>
    <s v="March"/>
    <s v="Q1"/>
    <s v="Large"/>
  </r>
  <r>
    <s v="Van Tuxwell"/>
    <s v="Australia"/>
    <s v="50% Dark Bites"/>
    <x v="57"/>
    <n v="644"/>
    <n v="137"/>
    <n v="4.7007299270072993"/>
    <s v="July"/>
    <s v="Q3"/>
    <s v="Large"/>
  </r>
  <r>
    <s v="Oby Sorrel"/>
    <s v="USA"/>
    <s v="Manuka Honey Choco"/>
    <x v="90"/>
    <n v="4340"/>
    <n v="86"/>
    <n v="50.465116279069768"/>
    <s v="July"/>
    <s v="Q3"/>
    <s v="Large"/>
  </r>
  <r>
    <s v="Van Tuxwell"/>
    <s v="Canada"/>
    <s v="Choco Coated Almonds"/>
    <x v="125"/>
    <n v="2282"/>
    <n v="296"/>
    <n v="7.7094594594594597"/>
    <s v="August"/>
    <s v="Q3"/>
    <s v="Large"/>
  </r>
  <r>
    <s v="Karlen McCaffrey"/>
    <s v="Canada"/>
    <s v="70% Dark Bites"/>
    <x v="132"/>
    <n v="7714"/>
    <n v="597"/>
    <n v="12.921273031825796"/>
    <s v="June"/>
    <s v="Q2"/>
    <s v="Large"/>
  </r>
  <r>
    <s v="Kelci Walkden"/>
    <s v="Canada"/>
    <s v="Fruit &amp; Nut Bars"/>
    <x v="55"/>
    <n v="826"/>
    <n v="149"/>
    <n v="5.5436241610738257"/>
    <s v="June"/>
    <s v="Q2"/>
    <s v="Large"/>
  </r>
  <r>
    <s v="Camilla Castle"/>
    <s v="India"/>
    <s v="99% Dark &amp; Pure"/>
    <x v="73"/>
    <n v="203"/>
    <n v="207"/>
    <n v="0.98067632850241548"/>
    <s v="August"/>
    <s v="Q3"/>
    <s v="Small"/>
  </r>
  <r>
    <s v="Madelene Upcott"/>
    <s v="New Zealand"/>
    <s v="70% Dark Bites"/>
    <x v="105"/>
    <n v="13356"/>
    <n v="93"/>
    <n v="143.61290322580646"/>
    <s v="February"/>
    <s v="Q1"/>
    <s v="Large"/>
  </r>
  <r>
    <s v="Mallorie Waber"/>
    <s v="New Zealand"/>
    <s v="Orange Choco"/>
    <x v="131"/>
    <n v="6510"/>
    <n v="23"/>
    <n v="283.04347826086956"/>
    <s v="February"/>
    <s v="Q1"/>
    <s v="Large"/>
  </r>
  <r>
    <s v="Jan Morforth"/>
    <s v="Canada"/>
    <s v="70% Dark Bites"/>
    <x v="15"/>
    <n v="5894"/>
    <n v="305"/>
    <n v="19.324590163934428"/>
    <s v="February"/>
    <s v="Q1"/>
    <s v="Large"/>
  </r>
  <r>
    <s v="Kelci Walkden"/>
    <s v="Australia"/>
    <s v="Milk Bars"/>
    <x v="4"/>
    <n v="7910"/>
    <n v="125"/>
    <n v="63.28"/>
    <s v="February"/>
    <s v="Q1"/>
    <s v="Large"/>
  </r>
  <r>
    <s v="Dennison Crosswaite"/>
    <s v="India"/>
    <s v="Orange Choco"/>
    <x v="113"/>
    <n v="784"/>
    <n v="129"/>
    <n v="6.0775193798449614"/>
    <s v="March"/>
    <s v="Q1"/>
    <s v="Large"/>
  </r>
  <r>
    <s v="Husein Augar"/>
    <s v="UK"/>
    <s v="Eclairs"/>
    <x v="128"/>
    <n v="1750"/>
    <n v="252"/>
    <n v="6.9444444444444446"/>
    <s v="August"/>
    <s v="Q3"/>
    <s v="Large"/>
  </r>
  <r>
    <s v="Gigi Bohling"/>
    <s v="USA"/>
    <s v="Peanut Butter Cubes"/>
    <x v="122"/>
    <n v="280"/>
    <n v="75"/>
    <n v="3.7333333333333334"/>
    <s v="May"/>
    <s v="Q2"/>
    <s v="Small"/>
  </r>
  <r>
    <s v="Wilone O'Kielt"/>
    <s v="USA"/>
    <s v="Smooth Sliky Salty"/>
    <x v="93"/>
    <n v="504"/>
    <n v="87"/>
    <n v="5.7931034482758621"/>
    <s v="January"/>
    <s v="Q1"/>
    <s v="Large"/>
  </r>
  <r>
    <s v="Curtice Advani"/>
    <s v="India"/>
    <s v="White Choc"/>
    <x v="9"/>
    <n v="7154"/>
    <n v="342"/>
    <n v="20.918128654970761"/>
    <s v="July"/>
    <s v="Q3"/>
    <s v="Large"/>
  </r>
  <r>
    <s v="Oby Sorrel"/>
    <s v="New Zealand"/>
    <s v="Spicy Special Slims"/>
    <x v="161"/>
    <n v="1617"/>
    <n v="13"/>
    <n v="124.38461538461539"/>
    <s v="June"/>
    <s v="Q2"/>
    <s v="Large"/>
  </r>
  <r>
    <s v="Beverie Moffet"/>
    <s v="New Zealand"/>
    <s v="Peanut Butter Cubes"/>
    <x v="37"/>
    <n v="10822"/>
    <n v="30"/>
    <n v="360.73333333333335"/>
    <s v="February"/>
    <s v="Q1"/>
    <s v="Large"/>
  </r>
  <r>
    <s v="Dotty Strutley"/>
    <s v="New Zealand"/>
    <s v="99% Dark &amp; Pure"/>
    <x v="122"/>
    <n v="10724"/>
    <n v="203"/>
    <n v="52.827586206896555"/>
    <s v="May"/>
    <s v="Q2"/>
    <s v="Large"/>
  </r>
  <r>
    <s v="Kelci Walkden"/>
    <s v="India"/>
    <s v="70% Dark Bites"/>
    <x v="5"/>
    <n v="3640"/>
    <n v="106"/>
    <n v="34.339622641509436"/>
    <s v="June"/>
    <s v="Q2"/>
    <s v="Large"/>
  </r>
  <r>
    <s v="Kelci Walkden"/>
    <s v="India"/>
    <s v="Drinking Coco"/>
    <x v="9"/>
    <n v="7532"/>
    <n v="234"/>
    <n v="32.188034188034187"/>
    <s v="July"/>
    <s v="Q3"/>
    <s v="Large"/>
  </r>
  <r>
    <s v="Brien Boise"/>
    <s v="New Zealand"/>
    <s v="Drinking Coco"/>
    <x v="5"/>
    <n v="1582"/>
    <n v="100"/>
    <n v="15.82"/>
    <s v="June"/>
    <s v="Q2"/>
    <s v="Large"/>
  </r>
  <r>
    <s v="Dotty Strutley"/>
    <s v="Australia"/>
    <s v="Almond Choco"/>
    <x v="110"/>
    <n v="1456"/>
    <n v="91"/>
    <n v="16"/>
    <s v="May"/>
    <s v="Q2"/>
    <s v="Large"/>
  </r>
  <r>
    <s v="Wilone O'Kielt"/>
    <s v="New Zealand"/>
    <s v="Organic Choco Syrup"/>
    <x v="60"/>
    <n v="2016"/>
    <n v="277"/>
    <n v="7.2779783393501809"/>
    <s v="January"/>
    <s v="Q1"/>
    <s v="Large"/>
  </r>
  <r>
    <s v="Ches Bonnell"/>
    <s v="New Zealand"/>
    <s v="Caramel Stuffed Bars"/>
    <x v="30"/>
    <n v="7588"/>
    <n v="42"/>
    <n v="180.66666666666666"/>
    <s v="June"/>
    <s v="Q2"/>
    <s v="Large"/>
  </r>
  <r>
    <s v="Barr Faughny"/>
    <s v="Canada"/>
    <s v="Manuka Honey Choco"/>
    <x v="74"/>
    <n v="3402"/>
    <n v="249"/>
    <n v="13.662650602409638"/>
    <s v="August"/>
    <s v="Q3"/>
    <s v="Large"/>
  </r>
  <r>
    <s v="Gigi Bohling"/>
    <s v="New Zealand"/>
    <s v="Smooth Sliky Salty"/>
    <x v="53"/>
    <n v="700"/>
    <n v="97"/>
    <n v="7.2164948453608249"/>
    <s v="January"/>
    <s v="Q1"/>
    <s v="Large"/>
  </r>
  <r>
    <s v="Brien Boise"/>
    <s v="USA"/>
    <s v="Manuka Honey Choco"/>
    <x v="38"/>
    <n v="1904"/>
    <n v="8"/>
    <n v="238"/>
    <s v="August"/>
    <s v="Q3"/>
    <s v="Large"/>
  </r>
  <r>
    <s v="Roddy Speechley"/>
    <s v="New Zealand"/>
    <s v="85% Dark Bars"/>
    <x v="49"/>
    <n v="4844"/>
    <n v="275"/>
    <n v="17.614545454545453"/>
    <s v="April"/>
    <s v="Q2"/>
    <s v="Large"/>
  </r>
  <r>
    <s v="Oby Sorrel"/>
    <s v="UK"/>
    <s v="Smooth Sliky Salty"/>
    <x v="106"/>
    <n v="9625"/>
    <n v="313"/>
    <n v="30.750798722044728"/>
    <s v="May"/>
    <s v="Q2"/>
    <s v="Large"/>
  </r>
  <r>
    <s v="Oby Sorrel"/>
    <s v="UK"/>
    <s v="Raspberry Choco"/>
    <x v="70"/>
    <n v="4599"/>
    <n v="323"/>
    <n v="14.238390092879257"/>
    <s v="April"/>
    <s v="Q2"/>
    <s v="Large"/>
  </r>
  <r>
    <s v="Roddy Speechley"/>
    <s v="USA"/>
    <s v="Drinking Coco"/>
    <x v="84"/>
    <n v="3003"/>
    <n v="155"/>
    <n v="19.374193548387098"/>
    <s v="February"/>
    <s v="Q1"/>
    <s v="Large"/>
  </r>
  <r>
    <s v="Andria Kimpton"/>
    <s v="Australia"/>
    <s v="Manuka Honey Choco"/>
    <x v="159"/>
    <n v="9744"/>
    <n v="377"/>
    <n v="25.846153846153847"/>
    <s v="March"/>
    <s v="Q1"/>
    <s v="Large"/>
  </r>
  <r>
    <s v="Mallorie Waber"/>
    <s v="India"/>
    <s v="Raspberry Choco"/>
    <x v="52"/>
    <n v="1400"/>
    <n v="2"/>
    <n v="700"/>
    <s v="March"/>
    <s v="Q1"/>
    <s v="Large"/>
  </r>
  <r>
    <s v="Jehu Rudeforth"/>
    <s v="USA"/>
    <s v="Orange Choco"/>
    <x v="12"/>
    <n v="364"/>
    <n v="170"/>
    <n v="2.1411764705882352"/>
    <s v="July"/>
    <s v="Q3"/>
    <s v="Small"/>
  </r>
  <r>
    <s v="Kaine Padly"/>
    <s v="New Zealand"/>
    <s v="70% Dark Bites"/>
    <x v="7"/>
    <n v="7231"/>
    <n v="38"/>
    <n v="190.28947368421052"/>
    <s v="March"/>
    <s v="Q1"/>
    <s v="Large"/>
  </r>
  <r>
    <s v="Curtice Advani"/>
    <s v="Australia"/>
    <s v="After Nines"/>
    <x v="155"/>
    <n v="63"/>
    <n v="105"/>
    <n v="0.6"/>
    <s v="August"/>
    <s v="Q3"/>
    <s v="Small"/>
  </r>
  <r>
    <s v="Husein Augar"/>
    <s v="UK"/>
    <s v="Almond Choco"/>
    <x v="134"/>
    <n v="8309"/>
    <n v="166"/>
    <n v="50.054216867469883"/>
    <s v="May"/>
    <s v="Q2"/>
    <s v="Large"/>
  </r>
  <r>
    <s v="Kaine Padly"/>
    <s v="Canada"/>
    <s v="Choco Coated Almonds"/>
    <x v="43"/>
    <n v="3164"/>
    <n v="164"/>
    <n v="19.292682926829269"/>
    <s v="May"/>
    <s v="Q2"/>
    <s v="Large"/>
  </r>
  <r>
    <s v="Roddy Speechley"/>
    <s v="UK"/>
    <s v="Peanut Butter Cubes"/>
    <x v="120"/>
    <n v="5691"/>
    <n v="171"/>
    <n v="33.280701754385966"/>
    <s v="August"/>
    <s v="Q3"/>
    <s v="Large"/>
  </r>
  <r>
    <s v="Ches Bonnell"/>
    <s v="New Zealand"/>
    <s v="Eclairs"/>
    <x v="92"/>
    <n v="490"/>
    <n v="49"/>
    <n v="10"/>
    <s v="April"/>
    <s v="Q2"/>
    <s v="Small"/>
  </r>
  <r>
    <s v="Brien Boise"/>
    <s v="India"/>
    <s v="85% Dark Bars"/>
    <x v="145"/>
    <n v="18032"/>
    <n v="205"/>
    <n v="87.960975609756105"/>
    <s v="August"/>
    <s v="Q3"/>
    <s v="Large"/>
  </r>
  <r>
    <s v="Brien Boise"/>
    <s v="New Zealand"/>
    <s v="Organic Choco Syrup"/>
    <x v="154"/>
    <n v="637"/>
    <n v="313"/>
    <n v="2.0351437699680512"/>
    <s v="January"/>
    <s v="Q1"/>
    <s v="Large"/>
  </r>
  <r>
    <s v="Andria Kimpton"/>
    <s v="Canada"/>
    <s v="White Choc"/>
    <x v="15"/>
    <n v="4067"/>
    <n v="29"/>
    <n v="140.24137931034483"/>
    <s v="February"/>
    <s v="Q1"/>
    <s v="Large"/>
  </r>
  <r>
    <s v="Gigi Bohling"/>
    <s v="New Zealand"/>
    <s v="Orange Choco"/>
    <x v="45"/>
    <n v="8204"/>
    <n v="307"/>
    <n v="26.723127035830618"/>
    <s v="May"/>
    <s v="Q2"/>
    <s v="Large"/>
  </r>
  <r>
    <s v="Ches Bonnell"/>
    <s v="Canada"/>
    <s v="Smooth Sliky Salty"/>
    <x v="83"/>
    <n v="9870"/>
    <n v="121"/>
    <n v="81.570247933884303"/>
    <s v="March"/>
    <s v="Q1"/>
    <s v="Large"/>
  </r>
  <r>
    <s v="Husein Augar"/>
    <s v="Canada"/>
    <s v="70% Dark Bites"/>
    <x v="60"/>
    <n v="5131"/>
    <n v="285"/>
    <n v="18.003508771929823"/>
    <s v="January"/>
    <s v="Q1"/>
    <s v="Large"/>
  </r>
  <r>
    <s v="Barr Faughny"/>
    <s v="Canada"/>
    <s v="Organic Choco Syrup"/>
    <x v="11"/>
    <n v="1141"/>
    <n v="205"/>
    <n v="5.565853658536585"/>
    <s v="March"/>
    <s v="Q1"/>
    <s v="Large"/>
  </r>
  <r>
    <s v="Oby Sorrel"/>
    <s v="UK"/>
    <s v="Organic Choco Syrup"/>
    <x v="30"/>
    <n v="7980"/>
    <n v="157"/>
    <n v="50.828025477707008"/>
    <s v="June"/>
    <s v="Q2"/>
    <s v="Large"/>
  </r>
  <r>
    <s v="Van Tuxwell"/>
    <s v="New Zealand"/>
    <s v="Eclairs"/>
    <x v="162"/>
    <n v="5229"/>
    <n v="182"/>
    <n v="28.73076923076923"/>
    <s v="March"/>
    <s v="Q1"/>
    <s v="Large"/>
  </r>
  <r>
    <s v="Mallorie Waber"/>
    <s v="UK"/>
    <s v="Drinking Coco"/>
    <x v="48"/>
    <n v="3423"/>
    <n v="100"/>
    <n v="34.229999999999997"/>
    <s v="May"/>
    <s v="Q2"/>
    <s v="Large"/>
  </r>
  <r>
    <s v="Oby Sorrel"/>
    <s v="UK"/>
    <s v="Milk Bars"/>
    <x v="36"/>
    <n v="6468"/>
    <n v="223"/>
    <n v="29.004484304932735"/>
    <s v="July"/>
    <s v="Q3"/>
    <s v="Large"/>
  </r>
  <r>
    <s v="Karlen McCaffrey"/>
    <s v="New Zealand"/>
    <s v="Mint Chip Choco"/>
    <x v="52"/>
    <n v="4326"/>
    <n v="61"/>
    <n v="70.918032786885249"/>
    <s v="March"/>
    <s v="Q1"/>
    <s v="Large"/>
  </r>
  <r>
    <s v="Jehu Rudeforth"/>
    <s v="USA"/>
    <s v="Raspberry Choco"/>
    <x v="72"/>
    <n v="7154"/>
    <n v="133"/>
    <n v="53.789473684210527"/>
    <s v="March"/>
    <s v="Q1"/>
    <s v="Large"/>
  </r>
  <r>
    <s v="Kelci Walkden"/>
    <s v="UK"/>
    <s v="85% Dark Bars"/>
    <x v="130"/>
    <n v="3997"/>
    <n v="228"/>
    <n v="17.530701754385966"/>
    <s v="June"/>
    <s v="Q2"/>
    <s v="Large"/>
  </r>
  <r>
    <s v="Kelci Walkden"/>
    <s v="USA"/>
    <s v="Almond Choco"/>
    <x v="59"/>
    <n v="5180"/>
    <n v="233"/>
    <n v="22.231759656652361"/>
    <s v="January"/>
    <s v="Q1"/>
    <s v="Large"/>
  </r>
  <r>
    <s v="Marney O'Breen"/>
    <s v="Canada"/>
    <s v="Orange Choco"/>
    <x v="102"/>
    <n v="2723"/>
    <n v="425"/>
    <n v="6.4070588235294119"/>
    <s v="January"/>
    <s v="Q1"/>
    <s v="Large"/>
  </r>
  <r>
    <s v="Dennison Crosswaite"/>
    <s v="India"/>
    <s v="Fruit &amp; Nut Bars"/>
    <x v="99"/>
    <n v="952"/>
    <n v="24"/>
    <n v="39.666666666666664"/>
    <s v="July"/>
    <s v="Q3"/>
    <s v="Large"/>
  </r>
  <r>
    <s v="Brien Boise"/>
    <s v="Canada"/>
    <s v="Smooth Sliky Salty"/>
    <x v="110"/>
    <n v="5691"/>
    <n v="495"/>
    <n v="11.496969696969696"/>
    <s v="May"/>
    <s v="Q2"/>
    <s v="Large"/>
  </r>
  <r>
    <s v="Barr Faughny"/>
    <s v="Canada"/>
    <s v="Baker's Choco Chips"/>
    <x v="152"/>
    <n v="10969"/>
    <n v="170"/>
    <n v="64.523529411764713"/>
    <s v="February"/>
    <s v="Q1"/>
    <s v="Large"/>
  </r>
  <r>
    <s v="Brien Boise"/>
    <s v="India"/>
    <s v="Smooth Sliky Salty"/>
    <x v="48"/>
    <n v="5964"/>
    <n v="26"/>
    <n v="229.38461538461539"/>
    <s v="May"/>
    <s v="Q2"/>
    <s v="Large"/>
  </r>
  <r>
    <s v="Jan Morforth"/>
    <s v="Australia"/>
    <s v="Drinking Coco"/>
    <x v="163"/>
    <n v="2821"/>
    <n v="24"/>
    <n v="117.54166666666667"/>
    <s v="February"/>
    <s v="Q1"/>
    <s v="Large"/>
  </r>
  <r>
    <s v="Brien Boise"/>
    <s v="India"/>
    <s v="Spicy Special Slims"/>
    <x v="82"/>
    <n v="1302"/>
    <n v="33"/>
    <n v="39.454545454545453"/>
    <s v="January"/>
    <s v="Q1"/>
    <s v="Large"/>
  </r>
  <r>
    <s v="Van Tuxwell"/>
    <s v="UK"/>
    <s v="Eclairs"/>
    <x v="28"/>
    <n v="5474"/>
    <n v="109"/>
    <n v="50.220183486238533"/>
    <s v="June"/>
    <s v="Q2"/>
    <s v="Large"/>
  </r>
  <r>
    <s v="Wilone O'Kielt"/>
    <s v="India"/>
    <s v="Caramel Stuffed Bars"/>
    <x v="10"/>
    <n v="4179"/>
    <n v="276"/>
    <n v="15.141304347826088"/>
    <s v="January"/>
    <s v="Q1"/>
    <s v="Large"/>
  </r>
  <r>
    <s v="Jehu Rudeforth"/>
    <s v="UK"/>
    <s v="After Nines"/>
    <x v="19"/>
    <n v="1946"/>
    <n v="164"/>
    <n v="11.865853658536585"/>
    <s v="June"/>
    <s v="Q2"/>
    <s v="Large"/>
  </r>
  <r>
    <s v="Barr Faughny"/>
    <s v="Canada"/>
    <s v="White Choc"/>
    <x v="96"/>
    <n v="4291"/>
    <n v="1"/>
    <n v="4291"/>
    <s v="March"/>
    <s v="Q1"/>
    <s v="Large"/>
  </r>
  <r>
    <s v="Gunar Cockshoot"/>
    <s v="India"/>
    <s v="Organic Choco Syrup"/>
    <x v="161"/>
    <n v="7196"/>
    <n v="160"/>
    <n v="44.975000000000001"/>
    <s v="June"/>
    <s v="Q2"/>
    <s v="Large"/>
  </r>
  <r>
    <s v="Mallorie Waber"/>
    <s v="Canada"/>
    <s v="Smooth Sliky Salty"/>
    <x v="139"/>
    <n v="1939"/>
    <n v="98"/>
    <n v="19.785714285714285"/>
    <s v="March"/>
    <s v="Q1"/>
    <s v="Large"/>
  </r>
  <r>
    <s v="Mallorie Waber"/>
    <s v="India"/>
    <s v="Eclairs"/>
    <x v="77"/>
    <n v="10437"/>
    <n v="46"/>
    <n v="226.89130434782609"/>
    <s v="April"/>
    <s v="Q2"/>
    <s v="Large"/>
  </r>
  <r>
    <s v="Rafaelita Blaksland"/>
    <s v="Australia"/>
    <s v="Raspberry Choco"/>
    <x v="78"/>
    <n v="6916"/>
    <n v="259"/>
    <n v="26.702702702702702"/>
    <s v="January"/>
    <s v="Q1"/>
    <s v="Large"/>
  </r>
  <r>
    <s v="Karlen McCaffrey"/>
    <s v="UK"/>
    <s v="50% Dark Bites"/>
    <x v="81"/>
    <n v="3647"/>
    <n v="310"/>
    <n v="11.764516129032257"/>
    <s v="April"/>
    <s v="Q2"/>
    <s v="Large"/>
  </r>
  <r>
    <s v="Kaine Padly"/>
    <s v="Australia"/>
    <s v="50% Dark Bites"/>
    <x v="73"/>
    <n v="8995"/>
    <n v="78"/>
    <n v="115.32051282051282"/>
    <s v="August"/>
    <s v="Q3"/>
    <s v="Large"/>
  </r>
  <r>
    <s v="Gigi Bohling"/>
    <s v="Australia"/>
    <s v="Eclairs"/>
    <x v="77"/>
    <n v="7252"/>
    <n v="136"/>
    <n v="53.323529411764703"/>
    <s v="April"/>
    <s v="Q2"/>
    <s v="Large"/>
  </r>
  <r>
    <s v="Oby Sorrel"/>
    <s v="India"/>
    <s v="Drinking Coco"/>
    <x v="129"/>
    <n v="16380"/>
    <n v="130"/>
    <n v="126"/>
    <s v="July"/>
    <s v="Q3"/>
    <s v="Large"/>
  </r>
  <r>
    <s v="Van Tuxwell"/>
    <s v="New Zealand"/>
    <s v="Baker's Choco Chips"/>
    <x v="127"/>
    <n v="9660"/>
    <n v="24"/>
    <n v="402.5"/>
    <s v="March"/>
    <s v="Q1"/>
    <s v="Large"/>
  </r>
  <r>
    <s v="Husein Augar"/>
    <s v="India"/>
    <s v="Peanut Butter Cubes"/>
    <x v="122"/>
    <n v="4522"/>
    <n v="5"/>
    <n v="904.4"/>
    <s v="May"/>
    <s v="Q2"/>
    <s v="Large"/>
  </r>
  <r>
    <s v="Andria Kimpton"/>
    <s v="Australia"/>
    <s v="Baker's Choco Chips"/>
    <x v="145"/>
    <n v="329"/>
    <n v="109"/>
    <n v="3.0183486238532109"/>
    <s v="August"/>
    <s v="Q3"/>
    <s v="Small"/>
  </r>
  <r>
    <s v="Madelene Upcott"/>
    <s v="Canada"/>
    <s v="Choco Coated Almonds"/>
    <x v="164"/>
    <n v="3458"/>
    <n v="294"/>
    <n v="11.761904761904763"/>
    <s v="July"/>
    <s v="Q3"/>
    <s v="Large"/>
  </r>
  <r>
    <s v="Brien Boise"/>
    <s v="India"/>
    <s v="70% Dark Bites"/>
    <x v="49"/>
    <n v="4641"/>
    <n v="413"/>
    <n v="11.23728813559322"/>
    <s v="April"/>
    <s v="Q2"/>
    <s v="Large"/>
  </r>
  <r>
    <s v="Jehu Rudeforth"/>
    <s v="Canada"/>
    <s v="White Choc"/>
    <x v="6"/>
    <n v="4627"/>
    <n v="136"/>
    <n v="34.022058823529413"/>
    <s v="January"/>
    <s v="Q1"/>
    <s v="Large"/>
  </r>
  <r>
    <s v="Andria Kimpton"/>
    <s v="Australia"/>
    <s v="Almond Choco"/>
    <x v="91"/>
    <n v="3192"/>
    <n v="175"/>
    <n v="18.239999999999998"/>
    <s v="April"/>
    <s v="Q2"/>
    <s v="Large"/>
  </r>
  <r>
    <s v="Dotty Strutley"/>
    <s v="Canada"/>
    <s v="After Nines"/>
    <x v="154"/>
    <n v="252"/>
    <n v="237"/>
    <n v="1.0632911392405062"/>
    <s v="January"/>
    <s v="Q1"/>
    <s v="Small"/>
  </r>
  <r>
    <s v="Karlen McCaffrey"/>
    <s v="USA"/>
    <s v="Eclairs"/>
    <x v="88"/>
    <n v="868"/>
    <n v="125"/>
    <n v="6.944"/>
    <s v="August"/>
    <s v="Q3"/>
    <s v="Large"/>
  </r>
  <r>
    <s v="Karlen McCaffrey"/>
    <s v="Canada"/>
    <s v="Fruit &amp; Nut Bars"/>
    <x v="34"/>
    <n v="210"/>
    <n v="16"/>
    <n v="13.125"/>
    <s v="June"/>
    <s v="Q2"/>
    <s v="Small"/>
  </r>
  <r>
    <s v="Gunar Cockshoot"/>
    <s v="USA"/>
    <s v="85% Dark Bars"/>
    <x v="30"/>
    <n v="7007"/>
    <n v="135"/>
    <n v="51.903703703703705"/>
    <s v="June"/>
    <s v="Q2"/>
    <s v="Large"/>
  </r>
  <r>
    <s v="Dotty Strutley"/>
    <s v="New Zealand"/>
    <s v="Raspberry Choco"/>
    <x v="157"/>
    <n v="5845"/>
    <n v="91"/>
    <n v="64.230769230769226"/>
    <s v="February"/>
    <s v="Q1"/>
    <s v="Large"/>
  </r>
  <r>
    <s v="Marney O'Breen"/>
    <s v="Canada"/>
    <s v="Caramel Stuffed Bars"/>
    <x v="37"/>
    <n v="1372"/>
    <n v="614"/>
    <n v="2.234527687296417"/>
    <s v="February"/>
    <s v="Q1"/>
    <s v="Large"/>
  </r>
  <r>
    <s v="Dennison Crosswaite"/>
    <s v="India"/>
    <s v="Organic Choco Syrup"/>
    <x v="59"/>
    <n v="8428"/>
    <n v="216"/>
    <n v="39.018518518518519"/>
    <s v="January"/>
    <s v="Q1"/>
    <s v="Large"/>
  </r>
  <r>
    <s v="Camilla Castle"/>
    <s v="UK"/>
    <s v="Mint Chip Choco"/>
    <x v="46"/>
    <n v="4977"/>
    <n v="317"/>
    <n v="15.700315457413248"/>
    <s v="May"/>
    <s v="Q2"/>
    <s v="Large"/>
  </r>
  <r>
    <s v="Brien Boise"/>
    <s v="USA"/>
    <s v="70% Dark Bites"/>
    <x v="49"/>
    <n v="1694"/>
    <n v="21"/>
    <n v="80.666666666666671"/>
    <s v="April"/>
    <s v="Q2"/>
    <s v="Large"/>
  </r>
  <r>
    <s v="Madelene Upcott"/>
    <s v="Australia"/>
    <s v="99% Dark &amp; Pure"/>
    <x v="1"/>
    <n v="4326"/>
    <n v="154"/>
    <n v="28.09090909090909"/>
    <s v="August"/>
    <s v="Q3"/>
    <s v="Large"/>
  </r>
  <r>
    <s v="Mallorie Waber"/>
    <s v="Australia"/>
    <s v="Eclairs"/>
    <x v="38"/>
    <n v="9527"/>
    <n v="222"/>
    <n v="42.914414414414416"/>
    <s v="August"/>
    <s v="Q3"/>
    <s v="Large"/>
  </r>
  <r>
    <s v="Marney O'Breen"/>
    <s v="India"/>
    <s v="99% Dark &amp; Pure"/>
    <x v="31"/>
    <n v="10766"/>
    <n v="157"/>
    <n v="68.573248407643305"/>
    <s v="July"/>
    <s v="Q3"/>
    <s v="Large"/>
  </r>
  <r>
    <s v="Husein Augar"/>
    <s v="USA"/>
    <s v="Fruit &amp; Nut Bars"/>
    <x v="165"/>
    <n v="1288"/>
    <n v="27"/>
    <n v="47.703703703703702"/>
    <s v="April"/>
    <s v="Q2"/>
    <s v="Large"/>
  </r>
  <r>
    <s v="Kelci Walkden"/>
    <s v="Australia"/>
    <s v="Almond Choco"/>
    <x v="21"/>
    <n v="4879"/>
    <n v="350"/>
    <n v="13.94"/>
    <s v="May"/>
    <s v="Q2"/>
    <s v="Large"/>
  </r>
  <r>
    <s v="Ches Bonnell"/>
    <s v="USA"/>
    <s v="Milk Bars"/>
    <x v="129"/>
    <n v="2408"/>
    <n v="157"/>
    <n v="15.337579617834395"/>
    <s v="July"/>
    <s v="Q3"/>
    <s v="Large"/>
  </r>
  <r>
    <s v="Jan Morforth"/>
    <s v="UK"/>
    <s v="Caramel Stuffed Bars"/>
    <x v="73"/>
    <n v="3094"/>
    <n v="468"/>
    <n v="6.6111111111111107"/>
    <s v="August"/>
    <s v="Q3"/>
    <s v="Large"/>
  </r>
  <r>
    <s v="Brien Boise"/>
    <s v="New Zealand"/>
    <s v="70% Dark Bites"/>
    <x v="26"/>
    <n v="7231"/>
    <n v="130"/>
    <n v="55.623076923076923"/>
    <s v="June"/>
    <s v="Q2"/>
    <s v="Large"/>
  </r>
  <r>
    <s v="Oby Sorrel"/>
    <s v="India"/>
    <s v="85% Dark Bars"/>
    <x v="25"/>
    <n v="8981"/>
    <n v="130"/>
    <n v="69.08461538461539"/>
    <s v="July"/>
    <s v="Q3"/>
    <s v="Large"/>
  </r>
  <r>
    <s v="Kaine Padly"/>
    <s v="New Zealand"/>
    <s v="Smooth Sliky Salty"/>
    <x v="77"/>
    <n v="7"/>
    <n v="518"/>
    <n v="1.3513513513513514E-2"/>
    <s v="April"/>
    <s v="Q2"/>
    <s v="Small"/>
  </r>
  <r>
    <s v="Gigi Bohling"/>
    <s v="Australia"/>
    <s v="70% Dark Bites"/>
    <x v="61"/>
    <n v="1372"/>
    <n v="105"/>
    <n v="13.066666666666666"/>
    <s v="August"/>
    <s v="Q3"/>
    <s v="Large"/>
  </r>
  <r>
    <s v="Jan Morforth"/>
    <s v="UK"/>
    <s v="50% Dark Bites"/>
    <x v="89"/>
    <n v="5250"/>
    <n v="293"/>
    <n v="17.918088737201366"/>
    <s v="January"/>
    <s v="Q1"/>
    <s v="Large"/>
  </r>
  <r>
    <s v="Gunar Cockshoot"/>
    <s v="Canada"/>
    <s v="White Choc"/>
    <x v="155"/>
    <n v="7560"/>
    <n v="15"/>
    <n v="504"/>
    <s v="August"/>
    <s v="Q3"/>
    <s v="Large"/>
  </r>
  <r>
    <s v="Jehu Rudeforth"/>
    <s v="Australia"/>
    <s v="Spicy Special Slims"/>
    <x v="10"/>
    <n v="5012"/>
    <n v="384"/>
    <n v="13.052083333333334"/>
    <s v="January"/>
    <s v="Q1"/>
    <s v="Large"/>
  </r>
  <r>
    <s v="Husein Augar"/>
    <s v="UK"/>
    <s v="Baker's Choco Chips"/>
    <x v="94"/>
    <n v="3038"/>
    <n v="135"/>
    <n v="22.503703703703703"/>
    <s v="April"/>
    <s v="Q2"/>
    <s v="Large"/>
  </r>
  <r>
    <s v="Rafaelita Blaksland"/>
    <s v="New Zealand"/>
    <s v="After Nines"/>
    <x v="2"/>
    <n v="1099"/>
    <n v="92"/>
    <n v="11.945652173913043"/>
    <s v="July"/>
    <s v="Q3"/>
    <s v="Large"/>
  </r>
  <r>
    <s v="Madelene Upcott"/>
    <s v="New Zealand"/>
    <s v="Mint Chip Choco"/>
    <x v="54"/>
    <n v="7413"/>
    <n v="4"/>
    <n v="1853.25"/>
    <s v="March"/>
    <s v="Q1"/>
    <s v="Large"/>
  </r>
  <r>
    <s v="Madelene Upcott"/>
    <s v="UK"/>
    <s v="70% Dark Bites"/>
    <x v="17"/>
    <n v="5397"/>
    <n v="239"/>
    <n v="22.581589958158997"/>
    <s v="February"/>
    <s v="Q1"/>
    <s v="Large"/>
  </r>
  <r>
    <s v="Barr Faughny"/>
    <s v="Australia"/>
    <s v="Organic Choco Syrup"/>
    <x v="101"/>
    <n v="2303"/>
    <n v="33"/>
    <n v="69.787878787878782"/>
    <s v="January"/>
    <s v="Q1"/>
    <s v="Large"/>
  </r>
  <r>
    <s v="Beverie Moffet"/>
    <s v="New Zealand"/>
    <s v="Drinking Coco"/>
    <x v="89"/>
    <n v="1141"/>
    <n v="518"/>
    <n v="2.2027027027027026"/>
    <s v="January"/>
    <s v="Q1"/>
    <s v="Large"/>
  </r>
  <r>
    <s v="Beverie Moffet"/>
    <s v="India"/>
    <s v="Eclairs"/>
    <x v="133"/>
    <n v="10325"/>
    <n v="147"/>
    <n v="70.238095238095241"/>
    <s v="June"/>
    <s v="Q2"/>
    <s v="Large"/>
  </r>
  <r>
    <s v="Andria Kimpton"/>
    <s v="India"/>
    <s v="Eclairs"/>
    <x v="45"/>
    <n v="2149"/>
    <n v="84"/>
    <n v="25.583333333333332"/>
    <s v="May"/>
    <s v="Q2"/>
    <s v="Large"/>
  </r>
  <r>
    <s v="Gigi Bohling"/>
    <s v="UK"/>
    <s v="85% Dark Bars"/>
    <x v="130"/>
    <n v="12362"/>
    <n v="94"/>
    <n v="131.51063829787233"/>
    <s v="June"/>
    <s v="Q2"/>
    <s v="Large"/>
  </r>
  <r>
    <s v="Roddy Speechley"/>
    <s v="UK"/>
    <s v="Raspberry Choco"/>
    <x v="82"/>
    <n v="12635"/>
    <n v="194"/>
    <n v="65.128865979381445"/>
    <s v="January"/>
    <s v="Q1"/>
    <s v="Large"/>
  </r>
  <r>
    <s v="Dotty Strutley"/>
    <s v="UK"/>
    <s v="Mint Chip Choco"/>
    <x v="166"/>
    <n v="2443"/>
    <n v="216"/>
    <n v="11.310185185185185"/>
    <s v="July"/>
    <s v="Q3"/>
    <s v="Large"/>
  </r>
  <r>
    <s v="Barr Faughny"/>
    <s v="Canada"/>
    <s v="Drinking Coco"/>
    <x v="158"/>
    <n v="6237"/>
    <n v="247"/>
    <n v="25.251012145748987"/>
    <s v="April"/>
    <s v="Q2"/>
    <s v="Large"/>
  </r>
  <r>
    <s v="Oby Sorrel"/>
    <s v="USA"/>
    <s v="Milk Bars"/>
    <x v="107"/>
    <n v="1736"/>
    <n v="79"/>
    <n v="21.974683544303797"/>
    <s v="June"/>
    <s v="Q2"/>
    <s v="Large"/>
  </r>
  <r>
    <s v="Oby Sorrel"/>
    <s v="UK"/>
    <s v="Orange Choco"/>
    <x v="35"/>
    <n v="7315"/>
    <n v="237"/>
    <n v="30.864978902953588"/>
    <s v="April"/>
    <s v="Q2"/>
    <s v="Large"/>
  </r>
  <r>
    <s v="Curtice Advani"/>
    <s v="Canada"/>
    <s v="Peanut Butter Cubes"/>
    <x v="33"/>
    <n v="4935"/>
    <n v="63"/>
    <n v="78.333333333333329"/>
    <s v="May"/>
    <s v="Q2"/>
    <s v="Large"/>
  </r>
  <r>
    <s v="Gigi Bohling"/>
    <s v="India"/>
    <s v="White Choc"/>
    <x v="100"/>
    <n v="1393"/>
    <n v="172"/>
    <n v="8.0988372093023262"/>
    <s v="April"/>
    <s v="Q2"/>
    <s v="Large"/>
  </r>
  <r>
    <s v="Husein Augar"/>
    <s v="Canada"/>
    <s v="Choco Coated Almonds"/>
    <x v="88"/>
    <n v="3381"/>
    <n v="408"/>
    <n v="8.2867647058823533"/>
    <s v="August"/>
    <s v="Q3"/>
    <s v="Large"/>
  </r>
  <r>
    <s v="Wilone O'Kielt"/>
    <s v="India"/>
    <s v="Choco Coated Almonds"/>
    <x v="38"/>
    <n v="2933"/>
    <n v="233"/>
    <n v="12.587982832618026"/>
    <s v="August"/>
    <s v="Q3"/>
    <s v="Large"/>
  </r>
  <r>
    <s v="Wilone O'Kielt"/>
    <s v="New Zealand"/>
    <s v="Baker's Choco Chips"/>
    <x v="119"/>
    <n v="3836"/>
    <n v="59"/>
    <n v="65.016949152542367"/>
    <s v="April"/>
    <s v="Q2"/>
    <s v="Large"/>
  </r>
  <r>
    <s v="Kaine Padly"/>
    <s v="UK"/>
    <s v="Choco Coated Almonds"/>
    <x v="13"/>
    <n v="8022"/>
    <n v="123"/>
    <n v="65.219512195121951"/>
    <s v="August"/>
    <s v="Q3"/>
    <s v="Large"/>
  </r>
  <r>
    <s v="Dennison Crosswaite"/>
    <s v="New Zealand"/>
    <s v="Organic Choco Syrup"/>
    <x v="0"/>
    <n v="371"/>
    <n v="229"/>
    <n v="1.6200873362445414"/>
    <s v="January"/>
    <s v="Q1"/>
    <s v="Small"/>
  </r>
  <r>
    <s v="Kelci Walkden"/>
    <s v="Canada"/>
    <s v="After Nines"/>
    <x v="10"/>
    <n v="16702"/>
    <n v="198"/>
    <n v="84.353535353535349"/>
    <s v="January"/>
    <s v="Q1"/>
    <s v="Large"/>
  </r>
  <r>
    <s v="Van Tuxwell"/>
    <s v="Australia"/>
    <s v="Baker's Choco Chips"/>
    <x v="29"/>
    <n v="13258"/>
    <n v="32"/>
    <n v="414.3125"/>
    <s v="May"/>
    <s v="Q2"/>
    <s v="Large"/>
  </r>
  <r>
    <s v="Husein Augar"/>
    <s v="New Zealand"/>
    <s v="Peanut Butter Cubes"/>
    <x v="17"/>
    <n v="2058"/>
    <n v="236"/>
    <n v="8.7203389830508478"/>
    <s v="February"/>
    <s v="Q1"/>
    <s v="Large"/>
  </r>
  <r>
    <s v="Kaine Padly"/>
    <s v="UK"/>
    <s v="Caramel Stuffed Bars"/>
    <x v="98"/>
    <n v="10192"/>
    <n v="67"/>
    <n v="152.11940298507463"/>
    <s v="May"/>
    <s v="Q2"/>
    <s v="Large"/>
  </r>
  <r>
    <s v="Jehu Rudeforth"/>
    <s v="UK"/>
    <s v="Drinking Coco"/>
    <x v="152"/>
    <n v="7140"/>
    <n v="438"/>
    <n v="16.301369863013697"/>
    <s v="February"/>
    <s v="Q1"/>
    <s v="Large"/>
  </r>
  <r>
    <s v="Beverie Moffet"/>
    <s v="India"/>
    <s v="Manuka Honey Choco"/>
    <x v="141"/>
    <n v="9835"/>
    <n v="167"/>
    <n v="58.892215568862277"/>
    <s v="May"/>
    <s v="Q2"/>
    <s v="Large"/>
  </r>
  <r>
    <s v="Gunar Cockshoot"/>
    <s v="UK"/>
    <s v="Choco Coated Almonds"/>
    <x v="30"/>
    <n v="5775"/>
    <n v="135"/>
    <n v="42.777777777777779"/>
    <s v="June"/>
    <s v="Q2"/>
    <s v="Large"/>
  </r>
  <r>
    <s v="Gunar Cockshoot"/>
    <s v="UK"/>
    <s v="Smooth Sliky Salty"/>
    <x v="127"/>
    <n v="749"/>
    <n v="148"/>
    <n v="5.0608108108108105"/>
    <s v="March"/>
    <s v="Q1"/>
    <s v="Large"/>
  </r>
  <r>
    <s v="Camilla Castle"/>
    <s v="Canada"/>
    <s v="Orange Choco"/>
    <x v="20"/>
    <n v="7770"/>
    <n v="54"/>
    <n v="143.88888888888889"/>
    <s v="February"/>
    <s v="Q1"/>
    <s v="Large"/>
  </r>
  <r>
    <s v="Jehu Rudeforth"/>
    <s v="UK"/>
    <s v="85% Dark Bars"/>
    <x v="2"/>
    <n v="5502"/>
    <n v="64"/>
    <n v="85.96875"/>
    <s v="July"/>
    <s v="Q3"/>
    <s v="Large"/>
  </r>
  <r>
    <s v="Oby Sorrel"/>
    <s v="UK"/>
    <s v="70% Dark Bites"/>
    <x v="83"/>
    <n v="6223"/>
    <n v="181"/>
    <n v="34.381215469613259"/>
    <s v="March"/>
    <s v="Q1"/>
    <s v="Large"/>
  </r>
  <r>
    <s v="Kelci Walkden"/>
    <s v="UK"/>
    <s v="99% Dark &amp; Pure"/>
    <x v="153"/>
    <n v="3507"/>
    <n v="114"/>
    <n v="30.763157894736842"/>
    <s v="August"/>
    <s v="Q3"/>
    <s v="Large"/>
  </r>
  <r>
    <s v="Gigi Bohling"/>
    <s v="New Zealand"/>
    <s v="After Nines"/>
    <x v="104"/>
    <n v="5600"/>
    <n v="181"/>
    <n v="30.939226519337016"/>
    <s v="January"/>
    <s v="Q1"/>
    <s v="Large"/>
  </r>
  <r>
    <s v="Oby Sorrel"/>
    <s v="Australia"/>
    <s v="50% Dark Bites"/>
    <x v="141"/>
    <n v="721"/>
    <n v="151"/>
    <n v="4.7748344370860929"/>
    <s v="May"/>
    <s v="Q2"/>
    <s v="Large"/>
  </r>
  <r>
    <s v="Oby Sorrel"/>
    <s v="Canada"/>
    <s v="50% Dark Bites"/>
    <x v="132"/>
    <n v="6615"/>
    <n v="137"/>
    <n v="48.284671532846716"/>
    <s v="June"/>
    <s v="Q2"/>
    <s v="Large"/>
  </r>
  <r>
    <s v="Barr Faughny"/>
    <s v="USA"/>
    <s v="White Choc"/>
    <x v="140"/>
    <n v="7420"/>
    <n v="163"/>
    <n v="45.521472392638039"/>
    <s v="May"/>
    <s v="Q2"/>
    <s v="Large"/>
  </r>
  <r>
    <s v="Rafaelita Blaksland"/>
    <s v="New Zealand"/>
    <s v="99% Dark &amp; Pure"/>
    <x v="112"/>
    <n v="3164"/>
    <n v="84"/>
    <n v="37.666666666666664"/>
    <s v="March"/>
    <s v="Q1"/>
    <s v="Large"/>
  </r>
  <r>
    <s v="Curtice Advani"/>
    <s v="Australia"/>
    <s v="Caramel Stuffed Bars"/>
    <x v="15"/>
    <n v="9114"/>
    <n v="140"/>
    <n v="65.099999999999994"/>
    <s v="February"/>
    <s v="Q1"/>
    <s v="Large"/>
  </r>
  <r>
    <s v="Curtice Advani"/>
    <s v="New Zealand"/>
    <s v="85% Dark Bars"/>
    <x v="65"/>
    <n v="5404"/>
    <n v="187"/>
    <n v="28.898395721925134"/>
    <s v="May"/>
    <s v="Q2"/>
    <s v="Large"/>
  </r>
  <r>
    <s v="Barr Faughny"/>
    <s v="New Zealand"/>
    <s v="Smooth Sliky Salty"/>
    <x v="6"/>
    <n v="3990"/>
    <n v="169"/>
    <n v="23.609467455621303"/>
    <s v="January"/>
    <s v="Q1"/>
    <s v="Large"/>
  </r>
  <r>
    <s v="Ches Bonnell"/>
    <s v="UK"/>
    <s v="85% Dark Bars"/>
    <x v="44"/>
    <n v="14924"/>
    <n v="12"/>
    <n v="1243.6666666666667"/>
    <s v="June"/>
    <s v="Q2"/>
    <s v="Large"/>
  </r>
  <r>
    <s v="Dennison Crosswaite"/>
    <s v="Australia"/>
    <s v="Drinking Coco"/>
    <x v="57"/>
    <n v="7091"/>
    <n v="194"/>
    <n v="36.551546391752581"/>
    <s v="July"/>
    <s v="Q3"/>
    <s v="Large"/>
  </r>
  <r>
    <s v="Roddy Speechley"/>
    <s v="USA"/>
    <s v="Milk Bars"/>
    <x v="45"/>
    <n v="2807"/>
    <n v="252"/>
    <n v="11.138888888888889"/>
    <s v="May"/>
    <s v="Q2"/>
    <s v="Large"/>
  </r>
  <r>
    <s v="Jan Morforth"/>
    <s v="India"/>
    <s v="After Nines"/>
    <x v="22"/>
    <n v="6496"/>
    <n v="168"/>
    <n v="38.666666666666664"/>
    <s v="March"/>
    <s v="Q1"/>
    <s v="Large"/>
  </r>
  <r>
    <s v="Gunar Cockshoot"/>
    <s v="USA"/>
    <s v="After Nines"/>
    <x v="88"/>
    <n v="3738"/>
    <n v="261"/>
    <n v="14.321839080459769"/>
    <s v="August"/>
    <s v="Q3"/>
    <s v="Large"/>
  </r>
  <r>
    <s v="Ches Bonnell"/>
    <s v="India"/>
    <s v="Orange Choco"/>
    <x v="17"/>
    <n v="1190"/>
    <n v="256"/>
    <n v="4.6484375"/>
    <s v="February"/>
    <s v="Q1"/>
    <s v="Large"/>
  </r>
  <r>
    <s v="Mallorie Waber"/>
    <s v="UK"/>
    <s v="Manuka Honey Choco"/>
    <x v="26"/>
    <n v="8379"/>
    <n v="43"/>
    <n v="194.86046511627907"/>
    <s v="June"/>
    <s v="Q2"/>
    <s v="Large"/>
  </r>
  <r>
    <s v="Barr Faughny"/>
    <s v="Australia"/>
    <s v="Raspberry Choco"/>
    <x v="48"/>
    <n v="9268"/>
    <n v="100"/>
    <n v="92.68"/>
    <s v="May"/>
    <s v="Q2"/>
    <s v="Large"/>
  </r>
  <r>
    <s v="Wilone O'Kielt"/>
    <s v="USA"/>
    <s v="Drinking Coco"/>
    <x v="107"/>
    <n v="1029"/>
    <n v="98"/>
    <n v="10.5"/>
    <s v="June"/>
    <s v="Q2"/>
    <s v="Large"/>
  </r>
  <r>
    <s v="Wilone O'Kielt"/>
    <s v="India"/>
    <s v="Eclairs"/>
    <x v="75"/>
    <n v="3549"/>
    <n v="76"/>
    <n v="46.69736842105263"/>
    <s v="February"/>
    <s v="Q1"/>
    <s v="Large"/>
  </r>
  <r>
    <s v="Wilone O'Kielt"/>
    <s v="India"/>
    <s v="After Nines"/>
    <x v="117"/>
    <n v="12026"/>
    <n v="262"/>
    <n v="45.900763358778626"/>
    <s v="August"/>
    <s v="Q3"/>
    <s v="Large"/>
  </r>
  <r>
    <s v="Kelci Walkden"/>
    <s v="India"/>
    <s v="99% Dark &amp; Pure"/>
    <x v="44"/>
    <n v="2303"/>
    <n v="244"/>
    <n v="9.4385245901639347"/>
    <s v="June"/>
    <s v="Q2"/>
    <s v="Large"/>
  </r>
  <r>
    <s v="Gunar Cockshoot"/>
    <s v="Canada"/>
    <s v="Spicy Special Slims"/>
    <x v="16"/>
    <n v="13405"/>
    <n v="12"/>
    <n v="1117.0833333333333"/>
    <s v="April"/>
    <s v="Q2"/>
    <s v="Large"/>
  </r>
  <r>
    <s v="Madelene Upcott"/>
    <s v="Canada"/>
    <s v="Peanut Butter Cubes"/>
    <x v="25"/>
    <n v="14763"/>
    <n v="113"/>
    <n v="130.64601769911505"/>
    <s v="July"/>
    <s v="Q3"/>
    <s v="Large"/>
  </r>
  <r>
    <s v="Kaine Padly"/>
    <s v="New Zealand"/>
    <s v="Eclairs"/>
    <x v="167"/>
    <n v="12894"/>
    <n v="48"/>
    <n v="268.625"/>
    <s v="January"/>
    <s v="Q1"/>
    <s v="Large"/>
  </r>
  <r>
    <s v="Ches Bonnell"/>
    <s v="New Zealand"/>
    <s v="Drinking Coco"/>
    <x v="17"/>
    <n v="8302"/>
    <n v="131"/>
    <n v="63.374045801526719"/>
    <s v="February"/>
    <s v="Q1"/>
    <s v="Large"/>
  </r>
  <r>
    <s v="Curtice Advani"/>
    <s v="UK"/>
    <s v="Drinking Coco"/>
    <x v="97"/>
    <n v="455"/>
    <n v="174"/>
    <n v="2.6149425287356323"/>
    <s v="July"/>
    <s v="Q3"/>
    <s v="Small"/>
  </r>
  <r>
    <s v="Kelci Walkden"/>
    <s v="India"/>
    <s v="Raspberry Choco"/>
    <x v="86"/>
    <n v="8183"/>
    <n v="254"/>
    <n v="32.216535433070867"/>
    <s v="June"/>
    <s v="Q2"/>
    <s v="Large"/>
  </r>
  <r>
    <s v="Dotty Strutley"/>
    <s v="Australia"/>
    <s v="Choco Coated Almonds"/>
    <x v="100"/>
    <n v="1645"/>
    <n v="284"/>
    <n v="5.792253521126761"/>
    <s v="April"/>
    <s v="Q2"/>
    <s v="Large"/>
  </r>
  <r>
    <s v="Kaine Padly"/>
    <s v="UK"/>
    <s v="50% Dark Bites"/>
    <x v="84"/>
    <n v="3143"/>
    <n v="67"/>
    <n v="46.910447761194028"/>
    <s v="February"/>
    <s v="Q1"/>
    <s v="Large"/>
  </r>
  <r>
    <s v="Roddy Speechley"/>
    <s v="Canada"/>
    <s v="Choco Coated Almonds"/>
    <x v="29"/>
    <n v="5873"/>
    <n v="249"/>
    <n v="23.586345381526105"/>
    <s v="May"/>
    <s v="Q2"/>
    <s v="Large"/>
  </r>
  <r>
    <s v="Ches Bonnell"/>
    <s v="India"/>
    <s v="50% Dark Bites"/>
    <x v="35"/>
    <n v="11298"/>
    <n v="313"/>
    <n v="36.095846645367409"/>
    <s v="April"/>
    <s v="Q2"/>
    <s v="Large"/>
  </r>
  <r>
    <s v="Oby Sorrel"/>
    <s v="Canada"/>
    <s v="Peanut Butter Cubes"/>
    <x v="76"/>
    <n v="12425"/>
    <n v="167"/>
    <n v="74.401197604790426"/>
    <s v="June"/>
    <s v="Q2"/>
    <s v="Large"/>
  </r>
  <r>
    <s v="Oby Sorrel"/>
    <s v="UK"/>
    <s v="White Choc"/>
    <x v="19"/>
    <n v="1715"/>
    <n v="286"/>
    <n v="5.9965034965034967"/>
    <s v="June"/>
    <s v="Q2"/>
    <s v="Large"/>
  </r>
  <r>
    <s v="Barr Faughny"/>
    <s v="India"/>
    <s v="After Nines"/>
    <x v="99"/>
    <n v="8190"/>
    <n v="109"/>
    <n v="75.137614678899084"/>
    <s v="July"/>
    <s v="Q3"/>
    <s v="Large"/>
  </r>
  <r>
    <s v="Wilone O'Kielt"/>
    <s v="Canada"/>
    <s v="Smooth Sliky Salty"/>
    <x v="34"/>
    <n v="4991"/>
    <n v="166"/>
    <n v="30.066265060240966"/>
    <s v="June"/>
    <s v="Q2"/>
    <s v="Large"/>
  </r>
  <r>
    <s v="Rafaelita Blaksland"/>
    <s v="India"/>
    <s v="Mint Chip Choco"/>
    <x v="14"/>
    <n v="15491"/>
    <n v="85"/>
    <n v="182.24705882352941"/>
    <s v="January"/>
    <s v="Q1"/>
    <s v="Large"/>
  </r>
  <r>
    <s v="Rafaelita Blaksland"/>
    <s v="Canada"/>
    <s v="99% Dark &amp; Pure"/>
    <x v="52"/>
    <n v="5096"/>
    <n v="142"/>
    <n v="35.887323943661968"/>
    <s v="March"/>
    <s v="Q1"/>
    <s v="Large"/>
  </r>
  <r>
    <s v="Van Tuxwell"/>
    <s v="Australia"/>
    <s v="70% Dark Bites"/>
    <x v="53"/>
    <n v="7063"/>
    <n v="104"/>
    <n v="67.913461538461533"/>
    <s v="January"/>
    <s v="Q1"/>
    <s v="Large"/>
  </r>
  <r>
    <s v="Beverie Moffet"/>
    <s v="USA"/>
    <s v="70% Dark Bites"/>
    <x v="19"/>
    <n v="2275"/>
    <n v="115"/>
    <n v="19.782608695652176"/>
    <s v="June"/>
    <s v="Q2"/>
    <s v="Large"/>
  </r>
  <r>
    <s v="Barr Faughny"/>
    <s v="Canada"/>
    <s v="Orange Choco"/>
    <x v="30"/>
    <n v="7602"/>
    <n v="18"/>
    <n v="422.33333333333331"/>
    <s v="June"/>
    <s v="Q2"/>
    <s v="Large"/>
  </r>
  <r>
    <s v="Roddy Speechley"/>
    <s v="Australia"/>
    <s v="85% Dark Bars"/>
    <x v="51"/>
    <n v="4200"/>
    <n v="80"/>
    <n v="52.5"/>
    <s v="July"/>
    <s v="Q3"/>
    <s v="Large"/>
  </r>
  <r>
    <s v="Oby Sorrel"/>
    <s v="India"/>
    <s v="Spicy Special Slims"/>
    <x v="18"/>
    <n v="11137"/>
    <n v="88"/>
    <n v="126.55681818181819"/>
    <s v="June"/>
    <s v="Q2"/>
    <s v="Large"/>
  </r>
  <r>
    <s v="Jan Morforth"/>
    <s v="UK"/>
    <s v="Manuka Honey Choco"/>
    <x v="61"/>
    <n v="3388"/>
    <n v="212"/>
    <n v="15.981132075471699"/>
    <s v="August"/>
    <s v="Q3"/>
    <s v="Large"/>
  </r>
  <r>
    <s v="Kaine Padly"/>
    <s v="Australia"/>
    <s v="After Nines"/>
    <x v="70"/>
    <n v="6832"/>
    <n v="306"/>
    <n v="22.326797385620914"/>
    <s v="April"/>
    <s v="Q2"/>
    <s v="Large"/>
  </r>
  <r>
    <s v="Wilone O'Kielt"/>
    <s v="Canada"/>
    <s v="Fruit &amp; Nut Bars"/>
    <x v="115"/>
    <n v="3437"/>
    <n v="181"/>
    <n v="18.988950276243095"/>
    <s v="August"/>
    <s v="Q3"/>
    <s v="Large"/>
  </r>
  <r>
    <s v="Wilone O'Kielt"/>
    <s v="UK"/>
    <s v="Milk Bars"/>
    <x v="56"/>
    <n v="301"/>
    <n v="65"/>
    <n v="4.6307692307692312"/>
    <s v="August"/>
    <s v="Q3"/>
    <s v="Small"/>
  </r>
  <r>
    <s v="Oby Sorrel"/>
    <s v="Canada"/>
    <s v="Fruit &amp; Nut Bars"/>
    <x v="102"/>
    <n v="1869"/>
    <n v="158"/>
    <n v="11.829113924050633"/>
    <s v="January"/>
    <s v="Q1"/>
    <s v="Large"/>
  </r>
  <r>
    <s v="Dennison Crosswaite"/>
    <s v="USA"/>
    <s v="Baker's Choco Chips"/>
    <x v="155"/>
    <n v="17465"/>
    <n v="271"/>
    <n v="64.446494464944649"/>
    <s v="August"/>
    <s v="Q3"/>
    <s v="Large"/>
  </r>
  <r>
    <s v="Madelene Upcott"/>
    <s v="USA"/>
    <s v="Almond Choco"/>
    <x v="106"/>
    <n v="10143"/>
    <n v="24"/>
    <n v="422.625"/>
    <s v="May"/>
    <s v="Q2"/>
    <s v="Large"/>
  </r>
  <r>
    <s v="Van Tuxwell"/>
    <s v="New Zealand"/>
    <s v="50% Dark Bites"/>
    <x v="36"/>
    <n v="3626"/>
    <n v="10"/>
    <n v="362.6"/>
    <s v="July"/>
    <s v="Q3"/>
    <s v="Large"/>
  </r>
  <r>
    <s v="Karlen McCaffrey"/>
    <s v="Canada"/>
    <s v="Caramel Stuffed Bars"/>
    <x v="52"/>
    <n v="3346"/>
    <n v="304"/>
    <n v="11.006578947368421"/>
    <s v="March"/>
    <s v="Q1"/>
    <s v="Large"/>
  </r>
  <r>
    <s v="Madelene Upcott"/>
    <s v="Australia"/>
    <s v="Raspberry Choco"/>
    <x v="57"/>
    <n v="6321"/>
    <n v="88"/>
    <n v="71.829545454545453"/>
    <s v="July"/>
    <s v="Q3"/>
    <s v="Large"/>
  </r>
  <r>
    <s v="Rafaelita Blaksland"/>
    <s v="UK"/>
    <s v="Spicy Special Slims"/>
    <x v="13"/>
    <n v="9345"/>
    <n v="133"/>
    <n v="70.263157894736835"/>
    <s v="August"/>
    <s v="Q3"/>
    <s v="Large"/>
  </r>
  <r>
    <s v="Curtice Advani"/>
    <s v="UK"/>
    <s v="Peanut Butter Cubes"/>
    <x v="162"/>
    <n v="15008"/>
    <n v="165"/>
    <n v="90.957575757575754"/>
    <s v="March"/>
    <s v="Q1"/>
    <s v="Large"/>
  </r>
  <r>
    <s v="Kelci Walkden"/>
    <s v="New Zealand"/>
    <s v="White Choc"/>
    <x v="100"/>
    <n v="7609"/>
    <n v="150"/>
    <n v="50.726666666666667"/>
    <s v="April"/>
    <s v="Q2"/>
    <s v="Large"/>
  </r>
  <r>
    <s v="Beverie Moffet"/>
    <s v="Canada"/>
    <s v="Fruit &amp; Nut Bars"/>
    <x v="15"/>
    <n v="10332"/>
    <n v="180"/>
    <n v="57.4"/>
    <s v="February"/>
    <s v="Q1"/>
    <s v="Large"/>
  </r>
  <r>
    <s v="Mallorie Waber"/>
    <s v="India"/>
    <s v="White Choc"/>
    <x v="68"/>
    <n v="819"/>
    <n v="213"/>
    <n v="3.8450704225352115"/>
    <s v="July"/>
    <s v="Q3"/>
    <s v="Large"/>
  </r>
  <r>
    <s v="Brien Boise"/>
    <s v="UK"/>
    <s v="Drinking Coco"/>
    <x v="59"/>
    <n v="5754"/>
    <n v="133"/>
    <n v="43.263157894736842"/>
    <s v="January"/>
    <s v="Q1"/>
    <s v="Large"/>
  </r>
  <r>
    <s v="Jehu Rudeforth"/>
    <s v="India"/>
    <s v="Peanut Butter Cubes"/>
    <x v="49"/>
    <n v="28"/>
    <n v="446"/>
    <n v="6.2780269058295965E-2"/>
    <s v="April"/>
    <s v="Q2"/>
    <s v="Small"/>
  </r>
  <r>
    <s v="Oby Sorrel"/>
    <s v="USA"/>
    <s v="Almond Choco"/>
    <x v="33"/>
    <n v="6440"/>
    <n v="141"/>
    <n v="45.673758865248224"/>
    <s v="May"/>
    <s v="Q2"/>
    <s v="Large"/>
  </r>
  <r>
    <s v="Husein Augar"/>
    <s v="India"/>
    <s v="Eclairs"/>
    <x v="24"/>
    <n v="4956"/>
    <n v="58"/>
    <n v="85.448275862068968"/>
    <s v="February"/>
    <s v="Q1"/>
    <s v="Large"/>
  </r>
  <r>
    <s v="Brien Boise"/>
    <s v="UK"/>
    <s v="Spicy Special Slims"/>
    <x v="63"/>
    <n v="2352"/>
    <n v="58"/>
    <n v="40.551724137931032"/>
    <s v="May"/>
    <s v="Q2"/>
    <s v="Large"/>
  </r>
  <r>
    <s v="Oby Sorrel"/>
    <s v="Australia"/>
    <s v="Manuka Honey Choco"/>
    <x v="14"/>
    <n v="3906"/>
    <n v="76"/>
    <n v="51.39473684210526"/>
    <s v="January"/>
    <s v="Q1"/>
    <s v="Large"/>
  </r>
  <r>
    <s v="Beverie Moffet"/>
    <s v="India"/>
    <s v="White Choc"/>
    <x v="9"/>
    <n v="1813"/>
    <n v="296"/>
    <n v="6.125"/>
    <s v="July"/>
    <s v="Q3"/>
    <s v="Large"/>
  </r>
  <r>
    <s v="Ches Bonnell"/>
    <s v="India"/>
    <s v="Almond Choco"/>
    <x v="100"/>
    <n v="11788"/>
    <n v="73"/>
    <n v="161.47945205479451"/>
    <s v="April"/>
    <s v="Q2"/>
    <s v="Large"/>
  </r>
  <r>
    <s v="Gigi Bohling"/>
    <s v="Australia"/>
    <s v="Smooth Sliky Salty"/>
    <x v="6"/>
    <n v="5768"/>
    <n v="119"/>
    <n v="48.470588235294116"/>
    <s v="January"/>
    <s v="Q1"/>
    <s v="Large"/>
  </r>
  <r>
    <s v="Camilla Castle"/>
    <s v="USA"/>
    <s v="85% Dark Bars"/>
    <x v="91"/>
    <n v="2401"/>
    <n v="78"/>
    <n v="30.782051282051281"/>
    <s v="April"/>
    <s v="Q2"/>
    <s v="Large"/>
  </r>
  <r>
    <s v="Camilla Castle"/>
    <s v="USA"/>
    <s v="Eclairs"/>
    <x v="39"/>
    <n v="4515"/>
    <n v="392"/>
    <n v="11.517857142857142"/>
    <s v="June"/>
    <s v="Q2"/>
    <s v="Large"/>
  </r>
  <r>
    <s v="Madelene Upcott"/>
    <s v="New Zealand"/>
    <s v="White Choc"/>
    <x v="38"/>
    <n v="10794"/>
    <n v="51"/>
    <n v="211.64705882352942"/>
    <s v="August"/>
    <s v="Q3"/>
    <s v="Large"/>
  </r>
  <r>
    <s v="Van Tuxwell"/>
    <s v="India"/>
    <s v="After Nines"/>
    <x v="19"/>
    <n v="13706"/>
    <n v="207"/>
    <n v="66.212560386473427"/>
    <s v="June"/>
    <s v="Q2"/>
    <s v="Large"/>
  </r>
  <r>
    <s v="Husein Augar"/>
    <s v="India"/>
    <s v="Orange Choco"/>
    <x v="30"/>
    <n v="4361"/>
    <n v="40"/>
    <n v="109.02500000000001"/>
    <s v="June"/>
    <s v="Q2"/>
    <s v="Large"/>
  </r>
  <r>
    <s v="Jehu Rudeforth"/>
    <s v="India"/>
    <s v="Almond Choco"/>
    <x v="128"/>
    <n v="10122"/>
    <n v="100"/>
    <n v="101.22"/>
    <s v="August"/>
    <s v="Q3"/>
    <s v="Large"/>
  </r>
  <r>
    <s v="Karlen McCaffrey"/>
    <s v="Australia"/>
    <s v="Raspberry Choco"/>
    <x v="62"/>
    <n v="994"/>
    <n v="57"/>
    <n v="17.438596491228068"/>
    <s v="August"/>
    <s v="Q3"/>
    <s v="Large"/>
  </r>
  <r>
    <s v="Camilla Castle"/>
    <s v="New Zealand"/>
    <s v="99% Dark &amp; Pure"/>
    <x v="56"/>
    <n v="2268"/>
    <n v="42"/>
    <n v="54"/>
    <s v="August"/>
    <s v="Q3"/>
    <s v="Large"/>
  </r>
  <r>
    <s v="Gigi Bohling"/>
    <s v="Australia"/>
    <s v="Orange Choco"/>
    <x v="87"/>
    <n v="574"/>
    <n v="156"/>
    <n v="3.6794871794871793"/>
    <s v="March"/>
    <s v="Q1"/>
    <s v="Large"/>
  </r>
  <r>
    <s v="Kelci Walkden"/>
    <s v="UK"/>
    <s v="Drinking Coco"/>
    <x v="8"/>
    <n v="1792"/>
    <n v="23"/>
    <n v="77.913043478260875"/>
    <s v="April"/>
    <s v="Q2"/>
    <s v="Large"/>
  </r>
  <r>
    <s v="Mallorie Waber"/>
    <s v="Canada"/>
    <s v="Caramel Stuffed Bars"/>
    <x v="39"/>
    <n v="4844"/>
    <n v="539"/>
    <n v="8.9870129870129869"/>
    <s v="June"/>
    <s v="Q2"/>
    <s v="Large"/>
  </r>
  <r>
    <s v="Husein Augar"/>
    <s v="Australia"/>
    <s v="Organic Choco Syrup"/>
    <x v="143"/>
    <n v="938"/>
    <n v="158"/>
    <n v="5.9367088607594933"/>
    <s v="February"/>
    <s v="Q1"/>
    <s v="Large"/>
  </r>
  <r>
    <s v="Brien Boise"/>
    <s v="Australia"/>
    <s v="White Choc"/>
    <x v="74"/>
    <n v="4879"/>
    <n v="22"/>
    <n v="221.77272727272728"/>
    <s v="August"/>
    <s v="Q3"/>
    <s v="Large"/>
  </r>
  <r>
    <s v="Dotty Strutley"/>
    <s v="India"/>
    <s v="Peanut Butter Cubes"/>
    <x v="17"/>
    <n v="9107"/>
    <n v="73"/>
    <n v="124.75342465753425"/>
    <s v="February"/>
    <s v="Q1"/>
    <s v="Large"/>
  </r>
  <r>
    <s v="Dennison Crosswaite"/>
    <s v="UK"/>
    <s v="99% Dark &amp; Pure"/>
    <x v="21"/>
    <n v="12187"/>
    <n v="27"/>
    <n v="451.37037037037038"/>
    <s v="May"/>
    <s v="Q2"/>
    <s v="Large"/>
  </r>
  <r>
    <s v="Gigi Bohling"/>
    <s v="New Zealand"/>
    <s v="50% Dark Bites"/>
    <x v="28"/>
    <n v="5670"/>
    <n v="64"/>
    <n v="88.59375"/>
    <s v="June"/>
    <s v="Q2"/>
    <s v="Large"/>
  </r>
  <r>
    <s v="Gigi Bohling"/>
    <s v="USA"/>
    <s v="Milk Bars"/>
    <x v="86"/>
    <n v="476"/>
    <n v="133"/>
    <n v="3.5789473684210527"/>
    <s v="June"/>
    <s v="Q2"/>
    <s v="Small"/>
  </r>
  <r>
    <s v="Brien Boise"/>
    <s v="UK"/>
    <s v="Caramel Stuffed Bars"/>
    <x v="72"/>
    <n v="2681"/>
    <n v="149"/>
    <n v="17.993288590604028"/>
    <s v="March"/>
    <s v="Q1"/>
    <s v="Large"/>
  </r>
  <r>
    <s v="Curtice Advani"/>
    <s v="New Zealand"/>
    <s v="Peanut Butter Cubes"/>
    <x v="111"/>
    <n v="1533"/>
    <n v="434"/>
    <n v="3.532258064516129"/>
    <s v="March"/>
    <s v="Q1"/>
    <s v="Large"/>
  </r>
  <r>
    <s v="Curtice Advani"/>
    <s v="New Zealand"/>
    <s v="50% Dark Bites"/>
    <x v="59"/>
    <n v="9765"/>
    <n v="85"/>
    <n v="114.88235294117646"/>
    <s v="January"/>
    <s v="Q1"/>
    <s v="Large"/>
  </r>
  <r>
    <s v="Beverie Moffet"/>
    <s v="Canada"/>
    <s v="Drinking Coco"/>
    <x v="25"/>
    <n v="994"/>
    <n v="118"/>
    <n v="8.4237288135593218"/>
    <s v="July"/>
    <s v="Q3"/>
    <s v="Large"/>
  </r>
  <r>
    <s v="Barr Faughny"/>
    <s v="USA"/>
    <s v="Caramel Stuffed Bars"/>
    <x v="96"/>
    <n v="3318"/>
    <n v="299"/>
    <n v="11.096989966555183"/>
    <s v="March"/>
    <s v="Q1"/>
    <s v="Large"/>
  </r>
  <r>
    <s v="Mallorie Waber"/>
    <s v="Canada"/>
    <s v="Almond Choco"/>
    <x v="65"/>
    <n v="4214"/>
    <n v="35"/>
    <n v="120.4"/>
    <s v="May"/>
    <s v="Q2"/>
    <s v="Large"/>
  </r>
  <r>
    <s v="Oby Sorrel"/>
    <s v="USA"/>
    <s v="Drinking Coco"/>
    <x v="54"/>
    <n v="7714"/>
    <n v="44"/>
    <n v="175.31818181818181"/>
    <s v="March"/>
    <s v="Q1"/>
    <s v="Large"/>
  </r>
  <r>
    <s v="Brien Boise"/>
    <s v="New Zealand"/>
    <s v="Eclairs"/>
    <x v="36"/>
    <n v="4690"/>
    <n v="299"/>
    <n v="15.685618729096991"/>
    <s v="July"/>
    <s v="Q3"/>
    <s v="Large"/>
  </r>
  <r>
    <s v="Gunar Cockshoot"/>
    <s v="New Zealand"/>
    <s v="Choco Coated Almonds"/>
    <x v="1"/>
    <n v="13062"/>
    <n v="62"/>
    <n v="210.67741935483872"/>
    <s v="August"/>
    <s v="Q3"/>
    <s v="Large"/>
  </r>
  <r>
    <s v="Gunar Cockshoot"/>
    <s v="UK"/>
    <s v="Spicy Special Slims"/>
    <x v="17"/>
    <n v="12488"/>
    <n v="200"/>
    <n v="62.44"/>
    <s v="February"/>
    <s v="Q1"/>
    <s v="Large"/>
  </r>
  <r>
    <s v="Curtice Advani"/>
    <s v="USA"/>
    <s v="After Nines"/>
    <x v="100"/>
    <n v="14147"/>
    <n v="235"/>
    <n v="60.2"/>
    <s v="April"/>
    <s v="Q2"/>
    <s v="Large"/>
  </r>
  <r>
    <s v="Oby Sorrel"/>
    <s v="India"/>
    <s v="Choco Coated Almonds"/>
    <x v="15"/>
    <n v="49"/>
    <n v="363"/>
    <n v="0.13498622589531681"/>
    <s v="February"/>
    <s v="Q1"/>
    <s v="Small"/>
  </r>
  <r>
    <s v="Ches Bonnell"/>
    <s v="Australia"/>
    <s v="Peanut Butter Cubes"/>
    <x v="22"/>
    <n v="10199"/>
    <n v="68"/>
    <n v="149.98529411764707"/>
    <s v="March"/>
    <s v="Q1"/>
    <s v="Large"/>
  </r>
  <r>
    <s v="Oby Sorrel"/>
    <s v="Australia"/>
    <s v="Spicy Special Slims"/>
    <x v="151"/>
    <n v="11389"/>
    <n v="26"/>
    <n v="438.03846153846155"/>
    <s v="April"/>
    <s v="Q2"/>
    <s v="Large"/>
  </r>
  <r>
    <s v="Jehu Rudeforth"/>
    <s v="Canada"/>
    <s v="Manuka Honey Choco"/>
    <x v="16"/>
    <n v="3584"/>
    <n v="200"/>
    <n v="17.920000000000002"/>
    <s v="April"/>
    <s v="Q2"/>
    <s v="Large"/>
  </r>
  <r>
    <s v="Camilla Castle"/>
    <s v="Canada"/>
    <s v="Drinking Coco"/>
    <x v="150"/>
    <n v="12481"/>
    <n v="264"/>
    <n v="47.276515151515149"/>
    <s v="March"/>
    <s v="Q1"/>
    <s v="Large"/>
  </r>
  <r>
    <s v="Kaine Padly"/>
    <s v="USA"/>
    <s v="Spicy Special Slims"/>
    <x v="108"/>
    <n v="2107"/>
    <n v="175"/>
    <n v="12.04"/>
    <s v="June"/>
    <s v="Q2"/>
    <s v="Large"/>
  </r>
  <r>
    <s v="Marney O'Breen"/>
    <s v="New Zealand"/>
    <s v="70% Dark Bites"/>
    <x v="15"/>
    <n v="8603"/>
    <n v="352"/>
    <n v="24.44034090909091"/>
    <s v="February"/>
    <s v="Q1"/>
    <s v="Large"/>
  </r>
  <r>
    <s v="Roddy Speechley"/>
    <s v="New Zealand"/>
    <s v="99% Dark &amp; Pure"/>
    <x v="158"/>
    <n v="7483"/>
    <n v="183"/>
    <n v="40.89071038251366"/>
    <s v="April"/>
    <s v="Q2"/>
    <s v="Large"/>
  </r>
  <r>
    <s v="Oby Sorrel"/>
    <s v="New Zealand"/>
    <s v="85% Dark Bars"/>
    <x v="131"/>
    <n v="3381"/>
    <n v="417"/>
    <n v="8.1079136690647484"/>
    <s v="February"/>
    <s v="Q1"/>
    <s v="Large"/>
  </r>
  <r>
    <s v="Dotty Strutley"/>
    <s v="New Zealand"/>
    <s v="Orange Choco"/>
    <x v="117"/>
    <n v="2030"/>
    <n v="146"/>
    <n v="13.904109589041095"/>
    <s v="August"/>
    <s v="Q3"/>
    <s v="Large"/>
  </r>
  <r>
    <s v="Andria Kimpton"/>
    <s v="New Zealand"/>
    <s v="Almond Choco"/>
    <x v="16"/>
    <n v="6559"/>
    <n v="158"/>
    <n v="41.5126582278481"/>
    <s v="April"/>
    <s v="Q2"/>
    <s v="Large"/>
  </r>
  <r>
    <s v="Karlen McCaffrey"/>
    <s v="Australia"/>
    <s v="99% Dark &amp; Pure"/>
    <x v="14"/>
    <n v="10822"/>
    <n v="168"/>
    <n v="64.416666666666671"/>
    <s v="January"/>
    <s v="Q1"/>
    <s v="Large"/>
  </r>
  <r>
    <s v="Kaine Padly"/>
    <s v="UK"/>
    <s v="After Nines"/>
    <x v="104"/>
    <n v="18697"/>
    <n v="176"/>
    <n v="106.23295454545455"/>
    <s v="January"/>
    <s v="Q1"/>
    <s v="Large"/>
  </r>
  <r>
    <s v="Kaine Padly"/>
    <s v="Canada"/>
    <s v="After Nines"/>
    <x v="38"/>
    <n v="5845"/>
    <n v="172"/>
    <n v="33.982558139534881"/>
    <s v="August"/>
    <s v="Q3"/>
    <s v="Large"/>
  </r>
  <r>
    <s v="Kaine Padly"/>
    <s v="UK"/>
    <s v="Drinking Coco"/>
    <x v="59"/>
    <n v="2317"/>
    <n v="224"/>
    <n v="10.34375"/>
    <s v="January"/>
    <s v="Q1"/>
    <s v="Large"/>
  </r>
  <r>
    <s v="Rafaelita Blaksland"/>
    <s v="UK"/>
    <s v="50% Dark Bites"/>
    <x v="17"/>
    <n v="10150"/>
    <n v="68"/>
    <n v="149.26470588235293"/>
    <s v="February"/>
    <s v="Q1"/>
    <s v="Large"/>
  </r>
  <r>
    <s v="Dotty Strutley"/>
    <s v="USA"/>
    <s v="Raspberry Choco"/>
    <x v="67"/>
    <n v="3437"/>
    <n v="46"/>
    <n v="74.717391304347828"/>
    <s v="January"/>
    <s v="Q1"/>
    <s v="Large"/>
  </r>
  <r>
    <s v="Karlen McCaffrey"/>
    <s v="USA"/>
    <s v="White Choc"/>
    <x v="32"/>
    <n v="4592"/>
    <n v="2"/>
    <n v="2296"/>
    <s v="August"/>
    <s v="Q3"/>
    <s v="Large"/>
  </r>
  <r>
    <s v="Oby Sorrel"/>
    <s v="USA"/>
    <s v="Spicy Special Slims"/>
    <x v="64"/>
    <n v="5691"/>
    <n v="417"/>
    <n v="13.647482014388489"/>
    <s v="February"/>
    <s v="Q1"/>
    <s v="Large"/>
  </r>
  <r>
    <s v="Mallorie Waber"/>
    <s v="Australia"/>
    <s v="Smooth Sliky Salty"/>
    <x v="58"/>
    <n v="4158"/>
    <n v="109"/>
    <n v="38.146788990825691"/>
    <s v="February"/>
    <s v="Q1"/>
    <s v="Large"/>
  </r>
  <r>
    <s v="Kaine Padly"/>
    <s v="Canada"/>
    <s v="Organic Choco Syrup"/>
    <x v="96"/>
    <n v="5684"/>
    <n v="81"/>
    <n v="70.172839506172835"/>
    <s v="March"/>
    <s v="Q1"/>
    <s v="Large"/>
  </r>
  <r>
    <s v="Marney O'Breen"/>
    <s v="USA"/>
    <s v="Peanut Butter Cubes"/>
    <x v="26"/>
    <n v="693"/>
    <n v="350"/>
    <n v="1.98"/>
    <s v="June"/>
    <s v="Q2"/>
    <s v="Large"/>
  </r>
  <r>
    <s v="Dennison Crosswaite"/>
    <s v="UK"/>
    <s v="Smooth Sliky Salty"/>
    <x v="151"/>
    <n v="546"/>
    <n v="142"/>
    <n v="3.8450704225352115"/>
    <s v="April"/>
    <s v="Q2"/>
    <s v="Large"/>
  </r>
  <r>
    <s v="Brien Boise"/>
    <s v="Australia"/>
    <s v="Organic Choco Syrup"/>
    <x v="42"/>
    <n v="4263"/>
    <n v="264"/>
    <n v="16.147727272727273"/>
    <s v="July"/>
    <s v="Q3"/>
    <s v="Large"/>
  </r>
  <r>
    <s v="Beverie Moffet"/>
    <s v="India"/>
    <s v="Organic Choco Syrup"/>
    <x v="130"/>
    <n v="1036"/>
    <n v="20"/>
    <n v="51.8"/>
    <s v="June"/>
    <s v="Q2"/>
    <s v="Large"/>
  </r>
  <r>
    <s v="Dennison Crosswaite"/>
    <s v="Australia"/>
    <s v="Baker's Choco Chips"/>
    <x v="124"/>
    <n v="13846"/>
    <n v="421"/>
    <n v="32.888361045130644"/>
    <s v="January"/>
    <s v="Q1"/>
    <s v="Large"/>
  </r>
  <r>
    <s v="Beverie Moffet"/>
    <s v="UK"/>
    <s v="50% Dark Bites"/>
    <x v="24"/>
    <n v="2499"/>
    <n v="271"/>
    <n v="9.2214022140221399"/>
    <s v="February"/>
    <s v="Q1"/>
    <s v="Large"/>
  </r>
  <r>
    <s v="Van Tuxwell"/>
    <s v="UK"/>
    <s v="Almond Choco"/>
    <x v="5"/>
    <n v="10689"/>
    <n v="204"/>
    <n v="52.397058823529413"/>
    <s v="June"/>
    <s v="Q2"/>
    <s v="Large"/>
  </r>
  <r>
    <s v="Dotty Strutley"/>
    <s v="UK"/>
    <s v="Caramel Stuffed Bars"/>
    <x v="50"/>
    <n v="5768"/>
    <n v="235"/>
    <n v="24.544680851063831"/>
    <s v="August"/>
    <s v="Q3"/>
    <s v="Large"/>
  </r>
  <r>
    <s v="Wilone O'Kielt"/>
    <s v="Australia"/>
    <s v="Smooth Sliky Salty"/>
    <x v="0"/>
    <n v="2226"/>
    <n v="46"/>
    <n v="48.391304347826086"/>
    <s v="January"/>
    <s v="Q1"/>
    <s v="Large"/>
  </r>
  <r>
    <s v="Andria Kimpton"/>
    <s v="Canada"/>
    <s v="70% Dark Bites"/>
    <x v="70"/>
    <n v="10262"/>
    <n v="15"/>
    <n v="684.13333333333333"/>
    <s v="April"/>
    <s v="Q2"/>
    <s v="Large"/>
  </r>
  <r>
    <s v="Barr Faughny"/>
    <s v="UK"/>
    <s v="Milk Bars"/>
    <x v="52"/>
    <n v="3864"/>
    <n v="430"/>
    <n v="8.9860465116279062"/>
    <s v="March"/>
    <s v="Q1"/>
    <s v="Large"/>
  </r>
  <r>
    <s v="Van Tuxwell"/>
    <s v="Canada"/>
    <s v="Drinking Coco"/>
    <x v="26"/>
    <n v="4900"/>
    <n v="709"/>
    <n v="6.9111424541607898"/>
    <s v="June"/>
    <s v="Q2"/>
    <s v="Large"/>
  </r>
  <r>
    <s v="Jehu Rudeforth"/>
    <s v="Australia"/>
    <s v="After Nines"/>
    <x v="15"/>
    <n v="5250"/>
    <n v="47"/>
    <n v="111.70212765957447"/>
    <s v="February"/>
    <s v="Q1"/>
    <s v="Large"/>
  </r>
  <r>
    <s v="Husein Augar"/>
    <s v="UK"/>
    <s v="After Nines"/>
    <x v="25"/>
    <n v="3507"/>
    <n v="380"/>
    <n v="9.2289473684210535"/>
    <s v="July"/>
    <s v="Q3"/>
    <s v="Large"/>
  </r>
  <r>
    <s v="Barr Faughny"/>
    <s v="India"/>
    <s v="Mint Chip Choco"/>
    <x v="89"/>
    <n v="7413"/>
    <n v="465"/>
    <n v="15.941935483870967"/>
    <s v="January"/>
    <s v="Q1"/>
    <s v="Large"/>
  </r>
  <r>
    <s v="Curtice Advani"/>
    <s v="India"/>
    <s v="Mint Chip Choco"/>
    <x v="150"/>
    <n v="8155"/>
    <n v="96"/>
    <n v="84.947916666666671"/>
    <s v="March"/>
    <s v="Q1"/>
    <s v="Large"/>
  </r>
  <r>
    <s v="Jehu Rudeforth"/>
    <s v="New Zealand"/>
    <s v="Milk Bars"/>
    <x v="43"/>
    <n v="2478"/>
    <n v="188"/>
    <n v="13.180851063829786"/>
    <s v="May"/>
    <s v="Q2"/>
    <s v="Large"/>
  </r>
  <r>
    <s v="Gunar Cockshoot"/>
    <s v="India"/>
    <s v="Caramel Stuffed Bars"/>
    <x v="12"/>
    <n v="2471"/>
    <n v="202"/>
    <n v="12.232673267326733"/>
    <s v="July"/>
    <s v="Q3"/>
    <s v="Large"/>
  </r>
  <r>
    <s v="Curtice Advani"/>
    <s v="UK"/>
    <s v="Manuka Honey Choco"/>
    <x v="64"/>
    <n v="1666"/>
    <n v="106"/>
    <n v="15.716981132075471"/>
    <s v="February"/>
    <s v="Q1"/>
    <s v="Large"/>
  </r>
  <r>
    <s v="Andria Kimpton"/>
    <s v="India"/>
    <s v="Orange Choco"/>
    <x v="21"/>
    <n v="301"/>
    <n v="421"/>
    <n v="0.71496437054631834"/>
    <s v="May"/>
    <s v="Q2"/>
    <s v="Small"/>
  </r>
  <r>
    <s v="Mallorie Waber"/>
    <s v="Australia"/>
    <s v="Raspberry Choco"/>
    <x v="91"/>
    <n v="8400"/>
    <n v="27"/>
    <n v="311.11111111111109"/>
    <s v="April"/>
    <s v="Q2"/>
    <s v="Large"/>
  </r>
  <r>
    <s v="Beverie Moffet"/>
    <s v="Canada"/>
    <s v="85% Dark Bars"/>
    <x v="17"/>
    <n v="6139"/>
    <n v="45"/>
    <n v="136.42222222222222"/>
    <s v="February"/>
    <s v="Q1"/>
    <s v="Large"/>
  </r>
  <r>
    <s v="Kelci Walkden"/>
    <s v="Australia"/>
    <s v="Drinking Coco"/>
    <x v="116"/>
    <n v="1288"/>
    <n v="60"/>
    <n v="21.466666666666665"/>
    <s v="May"/>
    <s v="Q2"/>
    <s v="Large"/>
  </r>
  <r>
    <s v="Van Tuxwell"/>
    <s v="Canada"/>
    <s v="70% Dark Bites"/>
    <x v="34"/>
    <n v="7077"/>
    <n v="77"/>
    <n v="91.909090909090907"/>
    <s v="June"/>
    <s v="Q2"/>
    <s v="Large"/>
  </r>
  <r>
    <s v="Dennison Crosswaite"/>
    <s v="USA"/>
    <s v="Caramel Stuffed Bars"/>
    <x v="36"/>
    <n v="2317"/>
    <n v="464"/>
    <n v="4.993534482758621"/>
    <s v="July"/>
    <s v="Q3"/>
    <s v="Large"/>
  </r>
  <r>
    <s v="Beverie Moffet"/>
    <s v="New Zealand"/>
    <s v="Spicy Special Slims"/>
    <x v="76"/>
    <n v="63"/>
    <n v="60"/>
    <n v="1.05"/>
    <s v="June"/>
    <s v="Q2"/>
    <s v="Small"/>
  </r>
  <r>
    <s v="Jan Morforth"/>
    <s v="UK"/>
    <s v="Almond Choco"/>
    <x v="47"/>
    <n v="9744"/>
    <n v="157"/>
    <n v="62.06369426751592"/>
    <s v="July"/>
    <s v="Q3"/>
    <s v="Large"/>
  </r>
  <r>
    <s v="Husein Augar"/>
    <s v="India"/>
    <s v="Raspberry Choco"/>
    <x v="26"/>
    <n v="9954"/>
    <n v="154"/>
    <n v="64.63636363636364"/>
    <s v="June"/>
    <s v="Q2"/>
    <s v="Large"/>
  </r>
  <r>
    <s v="Dotty Strutley"/>
    <s v="India"/>
    <s v="Mint Chip Choco"/>
    <x v="49"/>
    <n v="1260"/>
    <n v="239"/>
    <n v="5.2719665271966525"/>
    <s v="April"/>
    <s v="Q2"/>
    <s v="Large"/>
  </r>
  <r>
    <s v="Camilla Castle"/>
    <s v="India"/>
    <s v="Drinking Coco"/>
    <x v="115"/>
    <n v="469"/>
    <n v="163"/>
    <n v="2.8773006134969323"/>
    <s v="August"/>
    <s v="Q3"/>
    <s v="Small"/>
  </r>
  <r>
    <s v="Marney O'Breen"/>
    <s v="UK"/>
    <s v="Drinking Coco"/>
    <x v="96"/>
    <n v="973"/>
    <n v="28"/>
    <n v="34.75"/>
    <s v="March"/>
    <s v="Q1"/>
    <s v="Large"/>
  </r>
  <r>
    <s v="Roddy Speechley"/>
    <s v="Australia"/>
    <s v="Organic Choco Syrup"/>
    <x v="9"/>
    <n v="3647"/>
    <n v="76"/>
    <n v="47.986842105263158"/>
    <s v="July"/>
    <s v="Q3"/>
    <s v="Large"/>
  </r>
  <r>
    <s v="Ches Bonnell"/>
    <s v="India"/>
    <s v="99% Dark &amp; Pure"/>
    <x v="17"/>
    <n v="455"/>
    <n v="96"/>
    <n v="4.739583333333333"/>
    <s v="February"/>
    <s v="Q1"/>
    <s v="Small"/>
  </r>
  <r>
    <s v="Rafaelita Blaksland"/>
    <s v="Canada"/>
    <s v="Spicy Special Slims"/>
    <x v="138"/>
    <n v="2520"/>
    <n v="156"/>
    <n v="16.153846153846153"/>
    <s v="May"/>
    <s v="Q2"/>
    <s v="Large"/>
  </r>
  <r>
    <s v="Van Tuxwell"/>
    <s v="India"/>
    <s v="Eclairs"/>
    <x v="129"/>
    <n v="10500"/>
    <n v="106"/>
    <n v="99.056603773584911"/>
    <s v="July"/>
    <s v="Q3"/>
    <s v="Large"/>
  </r>
  <r>
    <s v="Gunar Cockshoot"/>
    <s v="Australia"/>
    <s v="99% Dark &amp; Pure"/>
    <x v="61"/>
    <n v="7952"/>
    <n v="235"/>
    <n v="33.838297872340426"/>
    <s v="August"/>
    <s v="Q3"/>
    <s v="Large"/>
  </r>
  <r>
    <s v="Kaine Padly"/>
    <s v="USA"/>
    <s v="85% Dark Bars"/>
    <x v="137"/>
    <n v="483"/>
    <n v="259"/>
    <n v="1.8648648648648649"/>
    <s v="June"/>
    <s v="Q2"/>
    <s v="Small"/>
  </r>
  <r>
    <s v="Camilla Castle"/>
    <s v="UK"/>
    <s v="Peanut Butter Cubes"/>
    <x v="40"/>
    <n v="4872"/>
    <n v="126"/>
    <n v="38.666666666666664"/>
    <s v="July"/>
    <s v="Q3"/>
    <s v="Large"/>
  </r>
  <r>
    <s v="Madelene Upcott"/>
    <s v="UK"/>
    <s v="Peanut Butter Cubes"/>
    <x v="153"/>
    <n v="7756"/>
    <n v="85"/>
    <n v="91.247058823529414"/>
    <s v="August"/>
    <s v="Q3"/>
    <s v="Large"/>
  </r>
  <r>
    <s v="Madelene Upcott"/>
    <s v="USA"/>
    <s v="Choco Coated Almonds"/>
    <x v="76"/>
    <n v="5446"/>
    <n v="132"/>
    <n v="41.257575757575758"/>
    <s v="June"/>
    <s v="Q2"/>
    <s v="Large"/>
  </r>
  <r>
    <s v="Marney O'Breen"/>
    <s v="Canada"/>
    <s v="Peanut Butter Cubes"/>
    <x v="121"/>
    <n v="6594"/>
    <n v="91"/>
    <n v="72.461538461538467"/>
    <s v="March"/>
    <s v="Q1"/>
    <s v="Large"/>
  </r>
  <r>
    <s v="Ches Bonnell"/>
    <s v="Australia"/>
    <s v="Choco Coated Almonds"/>
    <x v="70"/>
    <n v="1470"/>
    <n v="167"/>
    <n v="8.8023952095808387"/>
    <s v="April"/>
    <s v="Q2"/>
    <s v="Large"/>
  </r>
  <r>
    <s v="Curtice Advani"/>
    <s v="Canada"/>
    <s v="Eclairs"/>
    <x v="141"/>
    <n v="721"/>
    <n v="203"/>
    <n v="3.5517241379310347"/>
    <s v="May"/>
    <s v="Q2"/>
    <s v="Large"/>
  </r>
  <r>
    <s v="Roddy Speechley"/>
    <s v="India"/>
    <s v="Drinking Coco"/>
    <x v="106"/>
    <n v="4494"/>
    <n v="11"/>
    <n v="408.54545454545456"/>
    <s v="May"/>
    <s v="Q2"/>
    <s v="Large"/>
  </r>
  <r>
    <s v="Van Tuxwell"/>
    <s v="Australia"/>
    <s v="Mint Chip Choco"/>
    <x v="10"/>
    <n v="2674"/>
    <n v="295"/>
    <n v="9.0644067796610166"/>
    <s v="January"/>
    <s v="Q1"/>
    <s v="Large"/>
  </r>
  <r>
    <s v="Dennison Crosswaite"/>
    <s v="USA"/>
    <s v="70% Dark Bites"/>
    <x v="111"/>
    <n v="658"/>
    <n v="77"/>
    <n v="8.545454545454545"/>
    <s v="March"/>
    <s v="Q1"/>
    <s v="Large"/>
  </r>
  <r>
    <s v="Andria Kimpton"/>
    <s v="Canada"/>
    <s v="Peanut Butter Cubes"/>
    <x v="17"/>
    <n v="1127"/>
    <n v="319"/>
    <n v="3.5329153605015673"/>
    <s v="February"/>
    <s v="Q1"/>
    <s v="Large"/>
  </r>
  <r>
    <s v="Gigi Bohling"/>
    <s v="USA"/>
    <s v="70% Dark Bites"/>
    <x v="102"/>
    <n v="7364"/>
    <n v="196"/>
    <n v="37.571428571428569"/>
    <s v="January"/>
    <s v="Q1"/>
    <s v="Large"/>
  </r>
  <r>
    <s v="Rafaelita Blaksland"/>
    <s v="Australia"/>
    <s v="White Choc"/>
    <x v="139"/>
    <n v="6818"/>
    <n v="102"/>
    <n v="66.843137254901961"/>
    <s v="March"/>
    <s v="Q1"/>
    <s v="Large"/>
  </r>
  <r>
    <s v="Roddy Speechley"/>
    <s v="Canada"/>
    <s v="Drinking Coco"/>
    <x v="134"/>
    <n v="6776"/>
    <n v="312"/>
    <n v="21.717948717948719"/>
    <s v="May"/>
    <s v="Q2"/>
    <s v="Large"/>
  </r>
  <r>
    <s v="Camilla Castle"/>
    <s v="New Zealand"/>
    <s v="85% Dark Bars"/>
    <x v="115"/>
    <n v="15099"/>
    <n v="55"/>
    <n v="274.5272727272727"/>
    <s v="August"/>
    <s v="Q3"/>
    <s v="Large"/>
  </r>
  <r>
    <s v="Madelene Upcott"/>
    <s v="Canada"/>
    <s v="Milk Bars"/>
    <x v="151"/>
    <n v="3612"/>
    <n v="82"/>
    <n v="44.048780487804876"/>
    <s v="April"/>
    <s v="Q2"/>
    <s v="Large"/>
  </r>
  <r>
    <s v="Madelene Upcott"/>
    <s v="Australia"/>
    <s v="70% Dark Bites"/>
    <x v="35"/>
    <n v="3710"/>
    <n v="260"/>
    <n v="14.26923076923077"/>
    <s v="April"/>
    <s v="Q2"/>
    <s v="Large"/>
  </r>
  <r>
    <s v="Oby Sorrel"/>
    <s v="Canada"/>
    <s v="Eclairs"/>
    <x v="33"/>
    <n v="6111"/>
    <n v="591"/>
    <n v="10.340101522842639"/>
    <s v="May"/>
    <s v="Q2"/>
    <s v="Large"/>
  </r>
  <r>
    <s v="Dennison Crosswaite"/>
    <s v="Canada"/>
    <s v="Drinking Coco"/>
    <x v="53"/>
    <n v="2702"/>
    <n v="24"/>
    <n v="112.58333333333333"/>
    <s v="January"/>
    <s v="Q1"/>
    <s v="Large"/>
  </r>
  <r>
    <s v="Mallorie Waber"/>
    <s v="New Zealand"/>
    <s v="After Nines"/>
    <x v="116"/>
    <n v="483"/>
    <n v="228"/>
    <n v="2.1184210526315788"/>
    <s v="May"/>
    <s v="Q2"/>
    <s v="Small"/>
  </r>
  <r>
    <s v="Roddy Speechley"/>
    <s v="Canada"/>
    <s v="White Choc"/>
    <x v="16"/>
    <n v="5887"/>
    <n v="268"/>
    <n v="21.96641791044776"/>
    <s v="April"/>
    <s v="Q2"/>
    <s v="Large"/>
  </r>
  <r>
    <s v="Andria Kimpton"/>
    <s v="India"/>
    <s v="After Nines"/>
    <x v="154"/>
    <n v="952"/>
    <n v="68"/>
    <n v="14"/>
    <s v="January"/>
    <s v="Q1"/>
    <s v="Large"/>
  </r>
  <r>
    <s v="Roddy Speechley"/>
    <s v="India"/>
    <s v="Spicy Special Slims"/>
    <x v="127"/>
    <n v="10647"/>
    <n v="173"/>
    <n v="61.543352601156066"/>
    <s v="March"/>
    <s v="Q1"/>
    <s v="Large"/>
  </r>
  <r>
    <s v="Dotty Strutley"/>
    <s v="Australia"/>
    <s v="White Choc"/>
    <x v="25"/>
    <n v="6055"/>
    <n v="93"/>
    <n v="65.107526881720432"/>
    <s v="July"/>
    <s v="Q3"/>
    <s v="Large"/>
  </r>
  <r>
    <s v="Oby Sorrel"/>
    <s v="Canada"/>
    <s v="Orange Choco"/>
    <x v="3"/>
    <n v="8757"/>
    <n v="338"/>
    <n v="25.908284023668639"/>
    <s v="April"/>
    <s v="Q2"/>
    <s v="Large"/>
  </r>
  <r>
    <s v="Kaine Padly"/>
    <s v="Canada"/>
    <s v="Almond Choco"/>
    <x v="153"/>
    <n v="6055"/>
    <n v="73"/>
    <n v="82.945205479452056"/>
    <s v="August"/>
    <s v="Q3"/>
    <s v="Large"/>
  </r>
  <r>
    <s v="Jan Morforth"/>
    <s v="UK"/>
    <s v="Baker's Choco Chips"/>
    <x v="54"/>
    <n v="721"/>
    <n v="251"/>
    <n v="2.8725099601593627"/>
    <s v="March"/>
    <s v="Q1"/>
    <s v="Large"/>
  </r>
  <r>
    <s v="Jehu Rudeforth"/>
    <s v="UK"/>
    <s v="Fruit &amp; Nut Bars"/>
    <x v="110"/>
    <n v="8589"/>
    <n v="229"/>
    <n v="37.506550218340614"/>
    <s v="May"/>
    <s v="Q2"/>
    <s v="Large"/>
  </r>
  <r>
    <s v="Dennison Crosswaite"/>
    <s v="USA"/>
    <s v="Smooth Sliky Salty"/>
    <x v="65"/>
    <n v="11781"/>
    <n v="91"/>
    <n v="129.46153846153845"/>
    <s v="May"/>
    <s v="Q2"/>
    <s v="Large"/>
  </r>
  <r>
    <s v="Brien Boise"/>
    <s v="USA"/>
    <s v="Raspberry Choco"/>
    <x v="89"/>
    <n v="672"/>
    <n v="194"/>
    <n v="3.463917525773196"/>
    <s v="January"/>
    <s v="Q1"/>
    <s v="Large"/>
  </r>
  <r>
    <s v="Madelene Upcott"/>
    <s v="New Zealand"/>
    <s v="Milk Bars"/>
    <x v="96"/>
    <n v="12558"/>
    <n v="403"/>
    <n v="31.161290322580644"/>
    <s v="March"/>
    <s v="Q1"/>
    <s v="Large"/>
  </r>
  <r>
    <s v="Roddy Speechley"/>
    <s v="India"/>
    <s v="50% Dark Bites"/>
    <x v="22"/>
    <n v="8337"/>
    <n v="12"/>
    <n v="694.75"/>
    <s v="March"/>
    <s v="Q1"/>
    <s v="Large"/>
  </r>
  <r>
    <s v="Barr Faughny"/>
    <s v="New Zealand"/>
    <s v="99% Dark &amp; Pure"/>
    <x v="27"/>
    <n v="8134"/>
    <n v="195"/>
    <n v="41.712820512820514"/>
    <s v="May"/>
    <s v="Q2"/>
    <s v="Large"/>
  </r>
  <r>
    <s v="Dennison Crosswaite"/>
    <s v="Canada"/>
    <s v="Organic Choco Syrup"/>
    <x v="82"/>
    <n v="8491"/>
    <n v="75"/>
    <n v="113.21333333333334"/>
    <s v="January"/>
    <s v="Q1"/>
    <s v="Large"/>
  </r>
  <r>
    <s v="Beverie Moffet"/>
    <s v="India"/>
    <s v="Almond Choco"/>
    <x v="27"/>
    <n v="3066"/>
    <n v="96"/>
    <n v="31.9375"/>
    <s v="May"/>
    <s v="Q2"/>
    <s v="Large"/>
  </r>
  <r>
    <s v="Brien Boise"/>
    <s v="Australia"/>
    <s v="Peanut Butter Cubes"/>
    <x v="125"/>
    <n v="301"/>
    <n v="205"/>
    <n v="1.4682926829268292"/>
    <s v="August"/>
    <s v="Q3"/>
    <s v="Small"/>
  </r>
  <r>
    <s v="Karlen McCaffrey"/>
    <s v="Australia"/>
    <s v="Spicy Special Slims"/>
    <x v="134"/>
    <n v="4410"/>
    <n v="323"/>
    <n v="13.653250773993808"/>
    <s v="May"/>
    <s v="Q2"/>
    <s v="Large"/>
  </r>
  <r>
    <s v="Jehu Rudeforth"/>
    <s v="USA"/>
    <s v="White Choc"/>
    <x v="76"/>
    <n v="6559"/>
    <n v="119"/>
    <n v="55.117647058823529"/>
    <s v="June"/>
    <s v="Q2"/>
    <s v="Large"/>
  </r>
  <r>
    <s v="Ches Bonnell"/>
    <s v="Canada"/>
    <s v="Organic Choco Syrup"/>
    <x v="68"/>
    <n v="574"/>
    <n v="217"/>
    <n v="2.6451612903225805"/>
    <s v="July"/>
    <s v="Q3"/>
    <s v="Large"/>
  </r>
  <r>
    <s v="Dotty Strutley"/>
    <s v="India"/>
    <s v="Eclairs"/>
    <x v="12"/>
    <n v="2086"/>
    <n v="384"/>
    <n v="5.432291666666667"/>
    <s v="July"/>
    <s v="Q3"/>
    <s v="Large"/>
  </r>
  <r>
    <s v="Karlen McCaffrey"/>
    <s v="India"/>
    <s v="70% Dark Bites"/>
    <x v="123"/>
    <n v="5075"/>
    <n v="344"/>
    <n v="14.752906976744185"/>
    <s v="May"/>
    <s v="Q2"/>
    <s v="Large"/>
  </r>
  <r>
    <s v="Jehu Rudeforth"/>
    <s v="UK"/>
    <s v="Mint Chip Choco"/>
    <x v="168"/>
    <n v="5902.13"/>
    <n v="178"/>
    <n v="33.158033707865172"/>
    <s v="January"/>
    <s v="Q1"/>
    <s v="Large"/>
  </r>
  <r>
    <s v="Van Tuxwell"/>
    <s v="India"/>
    <s v="85% Dark Bars"/>
    <x v="169"/>
    <n v="8074.39"/>
    <n v="100"/>
    <n v="80.743899999999996"/>
    <s v="August"/>
    <s v="Q3"/>
    <s v="Large"/>
  </r>
  <r>
    <s v="Gigi Bohling"/>
    <s v="India"/>
    <s v="Peanut Butter Cubes"/>
    <x v="170"/>
    <n v="4666.18"/>
    <n v="100"/>
    <n v="46.661799999999999"/>
    <s v="July"/>
    <s v="Q3"/>
    <s v="Large"/>
  </r>
  <r>
    <s v="Jan Morforth"/>
    <s v="Australia"/>
    <s v="Peanut Butter Cubes"/>
    <x v="171"/>
    <n v="14103.4"/>
    <n v="350"/>
    <n v="40.295428571428573"/>
    <s v="April"/>
    <s v="Q2"/>
    <s v="Large"/>
  </r>
  <r>
    <s v="Jehu Rudeforth"/>
    <s v="UK"/>
    <s v="Peanut Butter Cubes"/>
    <x v="172"/>
    <n v="14167.84"/>
    <n v="178"/>
    <n v="79.594606741573031"/>
    <s v="February"/>
    <s v="Q1"/>
    <s v="Large"/>
  </r>
  <r>
    <s v="Van Tuxwell"/>
    <s v="India"/>
    <s v="Smooth Sliky Salty"/>
    <x v="173"/>
    <n v="5768.75"/>
    <n v="37"/>
    <n v="155.91216216216216"/>
    <s v="June"/>
    <s v="Q2"/>
    <s v="Large"/>
  </r>
  <r>
    <s v="Oby Sorrel"/>
    <s v="UK"/>
    <s v="99% Dark &amp; Pure"/>
    <x v="174"/>
    <n v="14673.2"/>
    <n v="175"/>
    <n v="83.846857142857147"/>
    <s v="January"/>
    <s v="Q1"/>
    <s v="Large"/>
  </r>
  <r>
    <s v="Gunar Cockshoot"/>
    <s v="Australia"/>
    <s v="After Nines"/>
    <x v="175"/>
    <n v="3249.23"/>
    <n v="78"/>
    <n v="41.656794871794872"/>
    <s v="March"/>
    <s v="Q1"/>
    <s v="Large"/>
  </r>
  <r>
    <s v="Jehu Rudeforth"/>
    <s v="New Zealand"/>
    <s v="50% Dark Bites"/>
    <x v="176"/>
    <n v="4526.24"/>
    <n v="64"/>
    <n v="70.722499999999997"/>
    <s v="April"/>
    <s v="Q2"/>
    <s v="Large"/>
  </r>
  <r>
    <s v="Brien Boise"/>
    <s v="Australia"/>
    <s v="99% Dark &amp; Pure"/>
    <x v="177"/>
    <n v="3166.56"/>
    <n v="98"/>
    <n v="32.311836734693877"/>
    <s v="July"/>
    <s v="Q3"/>
    <s v="Large"/>
  </r>
  <r>
    <s v="Rafaelita Blaksland"/>
    <s v="UK"/>
    <s v="Smooth Sliky Salty"/>
    <x v="178"/>
    <n v="4866.3900000000003"/>
    <n v="65"/>
    <n v="74.867538461538473"/>
    <s v="January"/>
    <s v="Q1"/>
    <s v="Large"/>
  </r>
  <r>
    <s v="Barr Faughny"/>
    <s v="USA"/>
    <s v="Orange Choco"/>
    <x v="179"/>
    <n v="4254.37"/>
    <n v="12"/>
    <n v="354.53083333333331"/>
    <s v="March"/>
    <s v="Q1"/>
    <s v="Large"/>
  </r>
  <r>
    <s v="Mallorie Waber"/>
    <s v="Canada"/>
    <s v="Eclairs"/>
    <x v="178"/>
    <n v="1652.61"/>
    <n v="277"/>
    <n v="5.9661010830324903"/>
    <s v="January"/>
    <s v="Q1"/>
    <s v="Large"/>
  </r>
  <r>
    <s v="Karlen McCaffrey"/>
    <s v="New Zealand"/>
    <s v="Drinking Coco"/>
    <x v="180"/>
    <n v="171.49"/>
    <n v="163"/>
    <n v="1.0520858895705523"/>
    <s v="July"/>
    <s v="Q3"/>
    <s v="Small"/>
  </r>
  <r>
    <s v="Marney O'Breen"/>
    <s v="New Zealand"/>
    <s v="Peanut Butter Cubes"/>
    <x v="181"/>
    <n v="8549.84"/>
    <n v="169"/>
    <n v="50.590769230769233"/>
    <s v="August"/>
    <s v="Q3"/>
    <s v="Large"/>
  </r>
  <r>
    <s v="Beverie Moffet"/>
    <s v="Australia"/>
    <s v="Organic Choco Syrup"/>
    <x v="182"/>
    <n v="7807.74"/>
    <n v="355"/>
    <n v="21.993633802816902"/>
    <s v="January"/>
    <s v="Q1"/>
    <s v="Large"/>
  </r>
  <r>
    <s v="Van Tuxwell"/>
    <s v="Canada"/>
    <s v="Organic Choco Syrup"/>
    <x v="183"/>
    <n v="4561.43"/>
    <n v="44"/>
    <n v="103.66886363636364"/>
    <s v="February"/>
    <s v="Q1"/>
    <s v="Large"/>
  </r>
  <r>
    <s v="Roddy Speechley"/>
    <s v="USA"/>
    <s v="Smooth Sliky Salty"/>
    <x v="184"/>
    <n v="3041.12"/>
    <n v="148"/>
    <n v="20.548108108108107"/>
    <s v="April"/>
    <s v="Q2"/>
    <s v="Large"/>
  </r>
  <r>
    <s v="Beverie Moffet"/>
    <s v="Canada"/>
    <s v="Milk Bars"/>
    <x v="185"/>
    <n v="9786.09"/>
    <n v="248"/>
    <n v="39.460040322580646"/>
    <s v="February"/>
    <s v="Q1"/>
    <s v="Large"/>
  </r>
  <r>
    <s v="Curtice Advani"/>
    <s v="UK"/>
    <s v="85% Dark Bars"/>
    <x v="186"/>
    <n v="1131.25"/>
    <n v="175"/>
    <n v="6.4642857142857144"/>
    <s v="June"/>
    <s v="Q2"/>
    <s v="Large"/>
  </r>
  <r>
    <s v="Brien Boise"/>
    <s v="Australia"/>
    <s v="Eclairs"/>
    <x v="187"/>
    <n v="7484.07"/>
    <n v="94"/>
    <n v="79.617765957446807"/>
    <s v="June"/>
    <s v="Q2"/>
    <s v="Large"/>
  </r>
  <r>
    <s v="Gunar Cockshoot"/>
    <s v="USA"/>
    <s v="Spicy Special Slims"/>
    <x v="188"/>
    <n v="1339.61"/>
    <n v="166"/>
    <n v="8.0699397590361439"/>
    <s v="February"/>
    <s v="Q1"/>
    <s v="Large"/>
  </r>
  <r>
    <s v="Marney O'Breen"/>
    <s v="USA"/>
    <s v="After Nines"/>
    <x v="189"/>
    <n v="5481.18"/>
    <n v="159"/>
    <n v="34.472830188679247"/>
    <s v="May"/>
    <s v="Q2"/>
    <s v="Large"/>
  </r>
  <r>
    <s v="Husein Augar"/>
    <s v="UK"/>
    <s v="Drinking Coco"/>
    <x v="190"/>
    <n v="3275.4"/>
    <n v="120"/>
    <n v="27.295000000000002"/>
    <s v="March"/>
    <s v="Q1"/>
    <s v="Large"/>
  </r>
  <r>
    <s v="Kaine Padly"/>
    <s v="Australia"/>
    <s v="Eclairs"/>
    <x v="191"/>
    <n v="7677.78"/>
    <n v="118"/>
    <n v="65.065932203389835"/>
    <s v="February"/>
    <s v="Q1"/>
    <s v="Large"/>
  </r>
  <r>
    <s v="Karlen McCaffrey"/>
    <s v="India"/>
    <s v="Fruit &amp; Nut Bars"/>
    <x v="182"/>
    <n v="189.37"/>
    <n v="315"/>
    <n v="0.60117460317460314"/>
    <s v="January"/>
    <s v="Q1"/>
    <s v="Small"/>
  </r>
  <r>
    <s v="Roddy Speechley"/>
    <s v="Canada"/>
    <s v="Spicy Special Slims"/>
    <x v="192"/>
    <n v="1658.79"/>
    <n v="193"/>
    <n v="8.5947668393782379"/>
    <s v="February"/>
    <s v="Q1"/>
    <s v="Large"/>
  </r>
  <r>
    <s v="Husein Augar"/>
    <s v="USA"/>
    <s v="Eclairs"/>
    <x v="170"/>
    <n v="4168.93"/>
    <n v="122"/>
    <n v="34.171557377049183"/>
    <s v="July"/>
    <s v="Q3"/>
    <s v="Large"/>
  </r>
  <r>
    <s v="Dennison Crosswaite"/>
    <s v="New Zealand"/>
    <s v="White Choc"/>
    <x v="193"/>
    <n v="10604.89"/>
    <n v="165"/>
    <n v="64.272060606060606"/>
    <s v="July"/>
    <s v="Q3"/>
    <s v="Large"/>
  </r>
  <r>
    <s v="Dennison Crosswaite"/>
    <s v="New Zealand"/>
    <s v="Manuka Honey Choco"/>
    <x v="194"/>
    <n v="5773.51"/>
    <n v="325"/>
    <n v="17.764646153846154"/>
    <s v="June"/>
    <s v="Q2"/>
    <s v="Large"/>
  </r>
  <r>
    <s v="Van Tuxwell"/>
    <s v="New Zealand"/>
    <s v="85% Dark Bars"/>
    <x v="195"/>
    <n v="1838.78"/>
    <n v="121"/>
    <n v="15.196528925619834"/>
    <s v="May"/>
    <s v="Q2"/>
    <s v="Large"/>
  </r>
  <r>
    <s v="Rafaelita Blaksland"/>
    <s v="UK"/>
    <s v="99% Dark &amp; Pure"/>
    <x v="196"/>
    <n v="12643.1"/>
    <n v="150"/>
    <n v="84.287333333333336"/>
    <s v="June"/>
    <s v="Q2"/>
    <s v="Large"/>
  </r>
  <r>
    <s v="Wilone O'Kielt"/>
    <s v="Australia"/>
    <s v="Manuka Honey Choco"/>
    <x v="197"/>
    <n v="4439.5200000000004"/>
    <n v="95"/>
    <n v="46.731789473684216"/>
    <s v="May"/>
    <s v="Q2"/>
    <s v="Large"/>
  </r>
  <r>
    <s v="Karlen McCaffrey"/>
    <s v="UK"/>
    <s v="Almond Choco"/>
    <x v="198"/>
    <n v="7698.6"/>
    <n v="126"/>
    <n v="61.1"/>
    <s v="June"/>
    <s v="Q2"/>
    <s v="Large"/>
  </r>
  <r>
    <s v="Andria Kimpton"/>
    <s v="Canada"/>
    <s v="After Nines"/>
    <x v="197"/>
    <n v="2222.3000000000002"/>
    <n v="77"/>
    <n v="28.861038961038965"/>
    <s v="May"/>
    <s v="Q2"/>
    <s v="Large"/>
  </r>
  <r>
    <s v="Roddy Speechley"/>
    <s v="USA"/>
    <s v="Manuka Honey Choco"/>
    <x v="199"/>
    <n v="10959.02"/>
    <n v="302"/>
    <n v="36.288145695364243"/>
    <s v="July"/>
    <s v="Q3"/>
    <s v="Large"/>
  </r>
  <r>
    <s v="Andria Kimpton"/>
    <s v="UK"/>
    <s v="50% Dark Bites"/>
    <x v="200"/>
    <n v="2854.85"/>
    <n v="337"/>
    <n v="8.4713649851632038"/>
    <s v="August"/>
    <s v="Q3"/>
    <s v="Large"/>
  </r>
  <r>
    <s v="Kelci Walkden"/>
    <s v="New Zealand"/>
    <s v="After Nines"/>
    <x v="170"/>
    <n v="147.82"/>
    <n v="74"/>
    <n v="1.9975675675675675"/>
    <s v="July"/>
    <s v="Q3"/>
    <s v="Small"/>
  </r>
  <r>
    <s v="Camilla Castle"/>
    <s v="Australia"/>
    <s v="85% Dark Bars"/>
    <x v="201"/>
    <n v="3790.51"/>
    <n v="14"/>
    <n v="270.75071428571431"/>
    <s v="May"/>
    <s v="Q2"/>
    <s v="Large"/>
  </r>
  <r>
    <s v="Karlen McCaffrey"/>
    <s v="India"/>
    <s v="Manuka Honey Choco"/>
    <x v="177"/>
    <n v="2487.19"/>
    <n v="583"/>
    <n v="4.2661921097770152"/>
    <s v="July"/>
    <s v="Q3"/>
    <s v="Large"/>
  </r>
  <r>
    <s v="Kelci Walkden"/>
    <s v="USA"/>
    <s v="After Nines"/>
    <x v="202"/>
    <n v="1021.27"/>
    <n v="17"/>
    <n v="60.074705882352937"/>
    <s v="June"/>
    <s v="Q2"/>
    <s v="Large"/>
  </r>
  <r>
    <s v="Karlen McCaffrey"/>
    <s v="USA"/>
    <s v="Raspberry Choco"/>
    <x v="203"/>
    <n v="15370.06"/>
    <n v="353"/>
    <n v="43.54124645892351"/>
    <s v="April"/>
    <s v="Q2"/>
    <s v="Large"/>
  </r>
  <r>
    <s v="Mallorie Waber"/>
    <s v="Canada"/>
    <s v="Choco Coated Almonds"/>
    <x v="204"/>
    <n v="5345.58"/>
    <n v="250"/>
    <n v="21.38232"/>
    <s v="July"/>
    <s v="Q3"/>
    <s v="Large"/>
  </r>
  <r>
    <s v="Andria Kimpton"/>
    <s v="India"/>
    <s v="Spicy Special Slims"/>
    <x v="205"/>
    <n v="6559.44"/>
    <n v="154"/>
    <n v="42.593766233766232"/>
    <s v="February"/>
    <s v="Q1"/>
    <s v="Large"/>
  </r>
  <r>
    <s v="Madelene Upcott"/>
    <s v="Canada"/>
    <s v="Almond Choco"/>
    <x v="206"/>
    <n v="8282.93"/>
    <n v="107"/>
    <n v="77.410560747663553"/>
    <s v="August"/>
    <s v="Q3"/>
    <s v="Large"/>
  </r>
  <r>
    <s v="Kaine Padly"/>
    <s v="USA"/>
    <s v="Peanut Butter Cubes"/>
    <x v="185"/>
    <n v="6981.4"/>
    <n v="189"/>
    <n v="36.938624338624336"/>
    <s v="February"/>
    <s v="Q1"/>
    <s v="Large"/>
  </r>
  <r>
    <s v="Van Tuxwell"/>
    <s v="USA"/>
    <s v="50% Dark Bites"/>
    <x v="178"/>
    <n v="10280.17"/>
    <n v="155"/>
    <n v="66.323677419354837"/>
    <s v="January"/>
    <s v="Q1"/>
    <s v="Large"/>
  </r>
  <r>
    <s v="Curtice Advani"/>
    <s v="Australia"/>
    <s v="Milk Bars"/>
    <x v="183"/>
    <n v="7703.62"/>
    <n v="20"/>
    <n v="385.18099999999998"/>
    <s v="February"/>
    <s v="Q1"/>
    <s v="Large"/>
  </r>
  <r>
    <s v="Roddy Speechley"/>
    <s v="India"/>
    <s v="Eclairs"/>
    <x v="207"/>
    <n v="4489.8100000000004"/>
    <n v="310"/>
    <n v="14.48325806451613"/>
    <s v="June"/>
    <s v="Q2"/>
    <s v="Large"/>
  </r>
  <r>
    <s v="Curtice Advani"/>
    <s v="India"/>
    <s v="Fruit &amp; Nut Bars"/>
    <x v="170"/>
    <n v="5806.11"/>
    <n v="190"/>
    <n v="30.558473684210526"/>
    <s v="July"/>
    <s v="Q3"/>
    <s v="Large"/>
  </r>
  <r>
    <s v="Curtice Advani"/>
    <s v="Canada"/>
    <s v="Almond Choco"/>
    <x v="175"/>
    <n v="5148.7"/>
    <n v="76"/>
    <n v="67.746052631578948"/>
    <s v="March"/>
    <s v="Q1"/>
    <s v="Large"/>
  </r>
  <r>
    <s v="Brien Boise"/>
    <s v="Australia"/>
    <s v="Fruit &amp; Nut Bars"/>
    <x v="173"/>
    <n v="8558.59"/>
    <n v="24"/>
    <n v="356.60791666666665"/>
    <s v="June"/>
    <s v="Q2"/>
    <s v="Large"/>
  </r>
  <r>
    <s v="Dotty Strutley"/>
    <s v="Australia"/>
    <s v="Drinking Coco"/>
    <x v="208"/>
    <n v="94.19"/>
    <n v="145"/>
    <n v="0.64958620689655167"/>
    <s v="July"/>
    <s v="Q3"/>
    <s v="Small"/>
  </r>
  <r>
    <s v="Beverie Moffet"/>
    <s v="USA"/>
    <s v="Raspberry Choco"/>
    <x v="209"/>
    <n v="16223.83"/>
    <n v="87"/>
    <n v="186.48080459770114"/>
    <s v="April"/>
    <s v="Q2"/>
    <s v="Large"/>
  </r>
  <r>
    <s v="Marney O'Breen"/>
    <s v="India"/>
    <s v="85% Dark Bars"/>
    <x v="208"/>
    <n v="2439.06"/>
    <n v="175"/>
    <n v="13.937485714285714"/>
    <s v="July"/>
    <s v="Q3"/>
    <s v="Large"/>
  </r>
  <r>
    <s v="Jehu Rudeforth"/>
    <s v="Canada"/>
    <s v="Drinking Coco"/>
    <x v="210"/>
    <n v="466.65"/>
    <n v="23"/>
    <n v="20.289130434782606"/>
    <s v="July"/>
    <s v="Q3"/>
    <s v="Small"/>
  </r>
  <r>
    <s v="Ches Bonnell"/>
    <s v="New Zealand"/>
    <s v="Spicy Special Slims"/>
    <x v="183"/>
    <n v="4044.24"/>
    <n v="18"/>
    <n v="224.67999999999998"/>
    <s v="February"/>
    <s v="Q1"/>
    <s v="Large"/>
  </r>
  <r>
    <s v="Brien Boise"/>
    <s v="Canada"/>
    <s v="99% Dark &amp; Pure"/>
    <x v="211"/>
    <n v="17675.28"/>
    <n v="446"/>
    <n v="39.630672645739907"/>
    <s v="May"/>
    <s v="Q2"/>
    <s v="Large"/>
  </r>
  <r>
    <s v="Barr Faughny"/>
    <s v="Australia"/>
    <s v="Fruit &amp; Nut Bars"/>
    <x v="198"/>
    <n v="17280.98"/>
    <n v="58"/>
    <n v="297.94793103448274"/>
    <s v="June"/>
    <s v="Q2"/>
    <s v="Large"/>
  </r>
  <r>
    <s v="Andria Kimpton"/>
    <s v="Australia"/>
    <s v="50% Dark Bites"/>
    <x v="202"/>
    <n v="5091.78"/>
    <n v="219"/>
    <n v="23.250136986301367"/>
    <s v="June"/>
    <s v="Q2"/>
    <s v="Large"/>
  </r>
  <r>
    <s v="Andria Kimpton"/>
    <s v="Australia"/>
    <s v="Drinking Coco"/>
    <x v="212"/>
    <n v="1657.2"/>
    <n v="49"/>
    <n v="33.820408163265306"/>
    <s v="June"/>
    <s v="Q2"/>
    <s v="Large"/>
  </r>
  <r>
    <s v="Marney O'Breen"/>
    <s v="Australia"/>
    <s v="Organic Choco Syrup"/>
    <x v="213"/>
    <n v="305.79000000000002"/>
    <n v="189"/>
    <n v="1.617936507936508"/>
    <s v="May"/>
    <s v="Q2"/>
    <s v="Small"/>
  </r>
  <r>
    <s v="Kelci Walkden"/>
    <s v="Canada"/>
    <s v="Baker's Choco Chips"/>
    <x v="214"/>
    <n v="3377.41"/>
    <n v="325"/>
    <n v="10.392030769230768"/>
    <s v="May"/>
    <s v="Q2"/>
    <s v="Large"/>
  </r>
  <r>
    <s v="Karlen McCaffrey"/>
    <s v="India"/>
    <s v="Almond Choco"/>
    <x v="215"/>
    <n v="6188.62"/>
    <n v="157"/>
    <n v="39.417961783439488"/>
    <s v="July"/>
    <s v="Q3"/>
    <s v="Large"/>
  </r>
  <r>
    <s v="Oby Sorrel"/>
    <s v="India"/>
    <s v="99% Dark &amp; Pure"/>
    <x v="216"/>
    <n v="10914.36"/>
    <n v="11"/>
    <n v="992.21454545454549"/>
    <s v="May"/>
    <s v="Q2"/>
    <s v="Large"/>
  </r>
  <r>
    <s v="Wilone O'Kielt"/>
    <s v="Australia"/>
    <s v="Caramel Stuffed Bars"/>
    <x v="217"/>
    <n v="2342.0700000000002"/>
    <n v="12"/>
    <n v="195.17250000000001"/>
    <s v="April"/>
    <s v="Q2"/>
    <s v="Large"/>
  </r>
  <r>
    <s v="Van Tuxwell"/>
    <s v="Australia"/>
    <s v="Organic Choco Syrup"/>
    <x v="218"/>
    <n v="21762.799999999999"/>
    <n v="15"/>
    <n v="1450.8533333333332"/>
    <s v="August"/>
    <s v="Q3"/>
    <s v="Large"/>
  </r>
  <r>
    <s v="Camilla Castle"/>
    <s v="India"/>
    <s v="50% Dark Bites"/>
    <x v="177"/>
    <n v="10539.54"/>
    <n v="398"/>
    <n v="26.481256281407038"/>
    <s v="July"/>
    <s v="Q3"/>
    <s v="Large"/>
  </r>
  <r>
    <s v="Oby Sorrel"/>
    <s v="India"/>
    <s v="Organic Choco Syrup"/>
    <x v="219"/>
    <n v="6665.87"/>
    <n v="60"/>
    <n v="111.09783333333333"/>
    <s v="July"/>
    <s v="Q3"/>
    <s v="Large"/>
  </r>
  <r>
    <s v="Jan Morforth"/>
    <s v="USA"/>
    <s v="Peanut Butter Cubes"/>
    <x v="199"/>
    <n v="9605.11"/>
    <n v="98"/>
    <n v="98.011326530612251"/>
    <s v="July"/>
    <s v="Q3"/>
    <s v="Large"/>
  </r>
  <r>
    <s v="Gigi Bohling"/>
    <s v="USA"/>
    <s v="Choco Coated Almonds"/>
    <x v="220"/>
    <n v="13018"/>
    <n v="103"/>
    <n v="126.3883495145631"/>
    <s v="March"/>
    <s v="Q1"/>
    <s v="Large"/>
  </r>
  <r>
    <s v="Gigi Bohling"/>
    <s v="UK"/>
    <s v="Almond Choco"/>
    <x v="221"/>
    <n v="6046.4"/>
    <n v="10"/>
    <n v="604.64"/>
    <s v="January"/>
    <s v="Q1"/>
    <s v="Large"/>
  </r>
  <r>
    <s v="Jehu Rudeforth"/>
    <s v="New Zealand"/>
    <s v="White Choc"/>
    <x v="222"/>
    <n v="3078.33"/>
    <n v="231"/>
    <n v="13.326103896103897"/>
    <s v="March"/>
    <s v="Q1"/>
    <s v="Large"/>
  </r>
  <r>
    <s v="Andria Kimpton"/>
    <s v="New Zealand"/>
    <s v="Peanut Butter Cubes"/>
    <x v="223"/>
    <n v="970.96"/>
    <n v="291"/>
    <n v="3.3366323024054982"/>
    <s v="June"/>
    <s v="Q2"/>
    <s v="Large"/>
  </r>
  <r>
    <s v="Van Tuxwell"/>
    <s v="UK"/>
    <s v="Organic Choco Syrup"/>
    <x v="224"/>
    <n v="2064.71"/>
    <n v="208"/>
    <n v="9.9264903846153842"/>
    <s v="August"/>
    <s v="Q3"/>
    <s v="Large"/>
  </r>
  <r>
    <s v="Roddy Speechley"/>
    <s v="Canada"/>
    <s v="Milk Bars"/>
    <x v="225"/>
    <n v="679.94"/>
    <n v="34"/>
    <n v="19.998235294117649"/>
    <s v="July"/>
    <s v="Q3"/>
    <s v="Large"/>
  </r>
  <r>
    <s v="Camilla Castle"/>
    <s v="USA"/>
    <s v="Spicy Special Slims"/>
    <x v="226"/>
    <n v="1311.25"/>
    <n v="251"/>
    <n v="5.2241035856573701"/>
    <s v="February"/>
    <s v="Q1"/>
    <s v="Large"/>
  </r>
  <r>
    <s v="Marney O'Breen"/>
    <s v="USA"/>
    <s v="Orange Choco"/>
    <x v="227"/>
    <n v="8692.64"/>
    <n v="184"/>
    <n v="47.242608695652173"/>
    <s v="January"/>
    <s v="Q1"/>
    <s v="Large"/>
  </r>
  <r>
    <s v="Van Tuxwell"/>
    <s v="UK"/>
    <s v="99% Dark &amp; Pure"/>
    <x v="228"/>
    <n v="4993.21"/>
    <n v="145"/>
    <n v="34.435931034482756"/>
    <s v="January"/>
    <s v="Q1"/>
    <s v="Large"/>
  </r>
  <r>
    <s v="Camilla Castle"/>
    <s v="USA"/>
    <s v="White Choc"/>
    <x v="229"/>
    <n v="10898.19"/>
    <n v="24"/>
    <n v="454.09125"/>
    <s v="August"/>
    <s v="Q3"/>
    <s v="Large"/>
  </r>
  <r>
    <s v="Andria Kimpton"/>
    <s v="USA"/>
    <s v="Raspberry Choco"/>
    <x v="198"/>
    <n v="15565.91"/>
    <n v="21"/>
    <n v="741.23380952380955"/>
    <s v="June"/>
    <s v="Q2"/>
    <s v="Large"/>
  </r>
  <r>
    <s v="Dotty Strutley"/>
    <s v="Australia"/>
    <s v="Fruit &amp; Nut Bars"/>
    <x v="230"/>
    <n v="280.58999999999997"/>
    <n v="328"/>
    <n v="0.85545731707317063"/>
    <s v="August"/>
    <s v="Q3"/>
    <s v="Small"/>
  </r>
  <r>
    <s v="Brien Boise"/>
    <s v="New Zealand"/>
    <s v="Mint Chip Choco"/>
    <x v="169"/>
    <n v="66.349999999999994"/>
    <n v="197"/>
    <n v="0.33680203045685275"/>
    <s v="August"/>
    <s v="Q3"/>
    <s v="Small"/>
  </r>
  <r>
    <s v="Roddy Speechley"/>
    <s v="New Zealand"/>
    <s v="After Nines"/>
    <x v="231"/>
    <n v="8766.4500000000007"/>
    <n v="10"/>
    <n v="876.6450000000001"/>
    <s v="May"/>
    <s v="Q2"/>
    <s v="Large"/>
  </r>
  <r>
    <s v="Roddy Speechley"/>
    <s v="Canada"/>
    <s v="Organic Choco Syrup"/>
    <x v="221"/>
    <n v="4265.4799999999996"/>
    <n v="85"/>
    <n v="50.182117647058817"/>
    <s v="January"/>
    <s v="Q1"/>
    <s v="Large"/>
  </r>
  <r>
    <s v="Dennison Crosswaite"/>
    <s v="Australia"/>
    <s v="70% Dark Bites"/>
    <x v="232"/>
    <n v="6087.53"/>
    <n v="113"/>
    <n v="53.871946902654862"/>
    <s v="February"/>
    <s v="Q1"/>
    <s v="Large"/>
  </r>
  <r>
    <s v="Karlen McCaffrey"/>
    <s v="USA"/>
    <s v="Orange Choco"/>
    <x v="233"/>
    <n v="11694.48"/>
    <n v="425"/>
    <n v="27.516423529411764"/>
    <s v="May"/>
    <s v="Q2"/>
    <s v="Large"/>
  </r>
  <r>
    <s v="Madelene Upcott"/>
    <s v="Australia"/>
    <s v="Spicy Special Slims"/>
    <x v="234"/>
    <n v="7616.38"/>
    <n v="392"/>
    <n v="19.429540816326529"/>
    <s v="March"/>
    <s v="Q1"/>
    <s v="Large"/>
  </r>
  <r>
    <s v="Dennison Crosswaite"/>
    <s v="Australia"/>
    <s v="85% Dark Bars"/>
    <x v="184"/>
    <n v="7807.02"/>
    <n v="419"/>
    <n v="18.632505966587114"/>
    <s v="April"/>
    <s v="Q2"/>
    <s v="Large"/>
  </r>
  <r>
    <s v="Andria Kimpton"/>
    <s v="Canada"/>
    <s v="Caramel Stuffed Bars"/>
    <x v="235"/>
    <n v="7990.91"/>
    <n v="343"/>
    <n v="23.297113702623907"/>
    <s v="January"/>
    <s v="Q1"/>
    <s v="Large"/>
  </r>
  <r>
    <s v="Dennison Crosswaite"/>
    <s v="UK"/>
    <s v="Eclairs"/>
    <x v="175"/>
    <n v="6757.17"/>
    <n v="276"/>
    <n v="24.482500000000002"/>
    <s v="March"/>
    <s v="Q1"/>
    <s v="Large"/>
  </r>
  <r>
    <s v="Madelene Upcott"/>
    <s v="India"/>
    <s v="Raspberry Choco"/>
    <x v="170"/>
    <n v="4409.21"/>
    <n v="10"/>
    <n v="440.92099999999999"/>
    <s v="July"/>
    <s v="Q3"/>
    <s v="Large"/>
  </r>
  <r>
    <s v="Van Tuxwell"/>
    <s v="USA"/>
    <s v="After Nines"/>
    <x v="236"/>
    <n v="722.25"/>
    <n v="255"/>
    <n v="2.8323529411764707"/>
    <s v="July"/>
    <s v="Q3"/>
    <s v="Large"/>
  </r>
  <r>
    <s v="Wilone O'Kielt"/>
    <s v="Australia"/>
    <s v="Organic Choco Syrup"/>
    <x v="170"/>
    <n v="1896.24"/>
    <n v="115"/>
    <n v="16.489043478260868"/>
    <s v="July"/>
    <s v="Q3"/>
    <s v="Large"/>
  </r>
  <r>
    <s v="Karlen McCaffrey"/>
    <s v="Canada"/>
    <s v="50% Dark Bites"/>
    <x v="210"/>
    <n v="2966.83"/>
    <n v="65"/>
    <n v="45.643538461538462"/>
    <s v="July"/>
    <s v="Q3"/>
    <s v="Large"/>
  </r>
  <r>
    <s v="Roddy Speechley"/>
    <s v="New Zealand"/>
    <s v="Orange Choco"/>
    <x v="237"/>
    <n v="51.29"/>
    <n v="100"/>
    <n v="0.51290000000000002"/>
    <s v="April"/>
    <s v="Q2"/>
    <s v="Small"/>
  </r>
  <r>
    <s v="Beverie Moffet"/>
    <s v="Australia"/>
    <s v="Eclairs"/>
    <x v="223"/>
    <n v="1835.42"/>
    <n v="6"/>
    <n v="305.90333333333336"/>
    <s v="June"/>
    <s v="Q2"/>
    <s v="Large"/>
  </r>
  <r>
    <s v="Kelci Walkden"/>
    <s v="UK"/>
    <s v="Fruit &amp; Nut Bars"/>
    <x v="196"/>
    <n v="14592.11"/>
    <n v="509"/>
    <n v="28.668192534381141"/>
    <s v="June"/>
    <s v="Q2"/>
    <s v="Large"/>
  </r>
  <r>
    <s v="Marney O'Breen"/>
    <s v="USA"/>
    <s v="50% Dark Bites"/>
    <x v="194"/>
    <n v="1114.1300000000001"/>
    <n v="106"/>
    <n v="10.510660377358491"/>
    <s v="June"/>
    <s v="Q2"/>
    <s v="Large"/>
  </r>
  <r>
    <s v="Husein Augar"/>
    <s v="USA"/>
    <s v="After Nines"/>
    <x v="238"/>
    <n v="13051.75"/>
    <n v="193"/>
    <n v="67.625647668393782"/>
    <s v="April"/>
    <s v="Q2"/>
    <s v="Large"/>
  </r>
  <r>
    <s v="Dennison Crosswaite"/>
    <s v="Australia"/>
    <s v="Raspberry Choco"/>
    <x v="190"/>
    <n v="5997.71"/>
    <n v="31"/>
    <n v="193.47451612903225"/>
    <s v="March"/>
    <s v="Q1"/>
    <s v="Large"/>
  </r>
  <r>
    <s v="Andria Kimpton"/>
    <s v="USA"/>
    <s v="Fruit &amp; Nut Bars"/>
    <x v="210"/>
    <n v="1588.28"/>
    <n v="352"/>
    <n v="4.5121590909090905"/>
    <s v="July"/>
    <s v="Q3"/>
    <s v="Large"/>
  </r>
  <r>
    <s v="Kelci Walkden"/>
    <s v="India"/>
    <s v="Eclairs"/>
    <x v="209"/>
    <n v="5344.21"/>
    <n v="80"/>
    <n v="66.802625000000006"/>
    <s v="April"/>
    <s v="Q2"/>
    <s v="Large"/>
  </r>
  <r>
    <s v="Marney O'Breen"/>
    <s v="USA"/>
    <s v="99% Dark &amp; Pure"/>
    <x v="239"/>
    <n v="4646.91"/>
    <n v="317"/>
    <n v="14.659022082018927"/>
    <s v="March"/>
    <s v="Q1"/>
    <s v="Large"/>
  </r>
  <r>
    <s v="Brien Boise"/>
    <s v="Canada"/>
    <s v="Spicy Special Slims"/>
    <x v="240"/>
    <n v="8929.8799999999992"/>
    <n v="100"/>
    <n v="89.298799999999986"/>
    <s v="March"/>
    <s v="Q1"/>
    <s v="Large"/>
  </r>
  <r>
    <s v="Karlen McCaffrey"/>
    <s v="New Zealand"/>
    <s v="70% Dark Bites"/>
    <x v="241"/>
    <n v="141.22999999999999"/>
    <n v="38"/>
    <n v="3.7165789473684208"/>
    <s v="August"/>
    <s v="Q3"/>
    <s v="Small"/>
  </r>
  <r>
    <s v="Husein Augar"/>
    <s v="UK"/>
    <s v="Spicy Special Slims"/>
    <x v="242"/>
    <n v="5068.99"/>
    <n v="45"/>
    <n v="112.64422222222221"/>
    <s v="August"/>
    <s v="Q3"/>
    <s v="Large"/>
  </r>
  <r>
    <s v="Marney O'Breen"/>
    <s v="USA"/>
    <s v="Almond Choco"/>
    <x v="243"/>
    <n v="8012.72"/>
    <n v="163"/>
    <n v="49.157791411042943"/>
    <s v="February"/>
    <s v="Q1"/>
    <s v="Large"/>
  </r>
  <r>
    <s v="Kelci Walkden"/>
    <s v="India"/>
    <s v="Orange Choco"/>
    <x v="244"/>
    <n v="10587.71"/>
    <n v="134"/>
    <n v="79.012761194029849"/>
    <s v="June"/>
    <s v="Q2"/>
    <s v="Large"/>
  </r>
  <r>
    <s v="Jan Morforth"/>
    <s v="India"/>
    <s v="Spicy Special Slims"/>
    <x v="245"/>
    <n v="2155.62"/>
    <n v="495"/>
    <n v="4.3547878787878789"/>
    <s v="April"/>
    <s v="Q2"/>
    <s v="Large"/>
  </r>
  <r>
    <s v="Ches Bonnell"/>
    <s v="India"/>
    <s v="Spicy Special Slims"/>
    <x v="215"/>
    <n v="11010.43"/>
    <n v="103"/>
    <n v="106.89737864077671"/>
    <s v="July"/>
    <s v="Q3"/>
    <s v="Large"/>
  </r>
  <r>
    <s v="Kelci Walkden"/>
    <s v="UK"/>
    <s v="Smooth Sliky Salty"/>
    <x v="246"/>
    <n v="6787.72"/>
    <n v="192"/>
    <n v="35.352708333333332"/>
    <s v="January"/>
    <s v="Q1"/>
    <s v="Large"/>
  </r>
  <r>
    <s v="Madelene Upcott"/>
    <s v="Australia"/>
    <s v="Fruit &amp; Nut Bars"/>
    <x v="247"/>
    <n v="5715.07"/>
    <n v="90"/>
    <n v="63.500777777777778"/>
    <s v="January"/>
    <s v="Q1"/>
    <s v="Large"/>
  </r>
  <r>
    <s v="Madelene Upcott"/>
    <s v="Canada"/>
    <s v="70% Dark Bites"/>
    <x v="248"/>
    <n v="12100.65"/>
    <n v="142"/>
    <n v="85.215845070422532"/>
    <s v="January"/>
    <s v="Q1"/>
    <s v="Large"/>
  </r>
  <r>
    <s v="Wilone O'Kielt"/>
    <s v="Australia"/>
    <s v="Drinking Coco"/>
    <x v="249"/>
    <n v="623.75"/>
    <n v="285"/>
    <n v="2.1885964912280702"/>
    <s v="April"/>
    <s v="Q2"/>
    <s v="Large"/>
  </r>
  <r>
    <s v="Gunar Cockshoot"/>
    <s v="Australia"/>
    <s v="Fruit &amp; Nut Bars"/>
    <x v="194"/>
    <n v="6528.42"/>
    <n v="22"/>
    <n v="296.74636363636364"/>
    <s v="June"/>
    <s v="Q2"/>
    <s v="Large"/>
  </r>
  <r>
    <s v="Gigi Bohling"/>
    <s v="Canada"/>
    <s v="Baker's Choco Chips"/>
    <x v="250"/>
    <n v="1540.55"/>
    <n v="47"/>
    <n v="32.777659574468082"/>
    <s v="January"/>
    <s v="Q1"/>
    <s v="Large"/>
  </r>
  <r>
    <s v="Kelci Walkden"/>
    <s v="India"/>
    <s v="Caramel Stuffed Bars"/>
    <x v="251"/>
    <n v="487.06"/>
    <n v="123"/>
    <n v="3.9598373983739839"/>
    <s v="March"/>
    <s v="Q1"/>
    <s v="Small"/>
  </r>
  <r>
    <s v="Rafaelita Blaksland"/>
    <s v="Australia"/>
    <s v="Drinking Coco"/>
    <x v="252"/>
    <n v="11630.38"/>
    <n v="431"/>
    <n v="26.984640371229698"/>
    <s v="February"/>
    <s v="Q1"/>
    <s v="Large"/>
  </r>
  <r>
    <s v="Kelci Walkden"/>
    <s v="USA"/>
    <s v="Manuka Honey Choco"/>
    <x v="185"/>
    <n v="17297.66"/>
    <n v="96"/>
    <n v="180.18395833333332"/>
    <s v="February"/>
    <s v="Q1"/>
    <s v="Large"/>
  </r>
  <r>
    <s v="Jehu Rudeforth"/>
    <s v="Canada"/>
    <s v="Spicy Special Slims"/>
    <x v="178"/>
    <n v="2043.55"/>
    <n v="28"/>
    <n v="72.983928571428564"/>
    <s v="January"/>
    <s v="Q1"/>
    <s v="Large"/>
  </r>
  <r>
    <s v="Kelci Walkden"/>
    <s v="Australia"/>
    <s v="Eclairs"/>
    <x v="253"/>
    <n v="8168.86"/>
    <n v="570"/>
    <n v="14.331333333333333"/>
    <s v="March"/>
    <s v="Q1"/>
    <s v="Large"/>
  </r>
  <r>
    <s v="Curtice Advani"/>
    <s v="Canada"/>
    <s v="Spicy Special Slims"/>
    <x v="254"/>
    <n v="933.45"/>
    <n v="122"/>
    <n v="7.6512295081967219"/>
    <s v="June"/>
    <s v="Q2"/>
    <s v="Large"/>
  </r>
  <r>
    <s v="Oby Sorrel"/>
    <s v="India"/>
    <s v="Raspberry Choco"/>
    <x v="217"/>
    <n v="6826.32"/>
    <n v="44"/>
    <n v="155.14363636363635"/>
    <s v="April"/>
    <s v="Q2"/>
    <s v="Large"/>
  </r>
  <r>
    <s v="Kelci Walkden"/>
    <s v="UK"/>
    <s v="Eclairs"/>
    <x v="174"/>
    <n v="5029.3500000000004"/>
    <n v="61"/>
    <n v="82.448360655737716"/>
    <s v="January"/>
    <s v="Q1"/>
    <s v="Large"/>
  </r>
  <r>
    <s v="Jan Morforth"/>
    <s v="India"/>
    <s v="Almond Choco"/>
    <x v="222"/>
    <n v="5143.49"/>
    <n v="21"/>
    <n v="244.92809523809524"/>
    <s v="March"/>
    <s v="Q1"/>
    <s v="Large"/>
  </r>
  <r>
    <s v="Dotty Strutley"/>
    <s v="UK"/>
    <s v="Almond Choco"/>
    <x v="180"/>
    <n v="16707.88"/>
    <n v="102"/>
    <n v="163.80274509803922"/>
    <s v="July"/>
    <s v="Q3"/>
    <s v="Large"/>
  </r>
  <r>
    <s v="Marney O'Breen"/>
    <s v="New Zealand"/>
    <s v="After Nines"/>
    <x v="255"/>
    <n v="1558.87"/>
    <n v="46"/>
    <n v="33.888478260869562"/>
    <s v="March"/>
    <s v="Q1"/>
    <s v="Large"/>
  </r>
  <r>
    <s v="Husein Augar"/>
    <s v="Australia"/>
    <s v="Orange Choco"/>
    <x v="212"/>
    <n v="9332.76"/>
    <n v="196"/>
    <n v="47.616122448979596"/>
    <s v="June"/>
    <s v="Q2"/>
    <s v="Large"/>
  </r>
  <r>
    <s v="Marney O'Breen"/>
    <s v="Australia"/>
    <s v="Milk Bars"/>
    <x v="180"/>
    <n v="2673.47"/>
    <n v="375"/>
    <n v="7.1292533333333328"/>
    <s v="July"/>
    <s v="Q3"/>
    <s v="Large"/>
  </r>
  <r>
    <s v="Kelci Walkden"/>
    <s v="Canada"/>
    <s v="99% Dark &amp; Pure"/>
    <x v="256"/>
    <n v="4950.21"/>
    <n v="54"/>
    <n v="91.670555555555552"/>
    <s v="August"/>
    <s v="Q3"/>
    <s v="Large"/>
  </r>
  <r>
    <s v="Kaine Padly"/>
    <s v="Australia"/>
    <s v="Manuka Honey Choco"/>
    <x v="257"/>
    <n v="2919.11"/>
    <n v="271"/>
    <n v="10.771623616236162"/>
    <s v="January"/>
    <s v="Q1"/>
    <s v="Large"/>
  </r>
  <r>
    <s v="Beverie Moffet"/>
    <s v="New Zealand"/>
    <s v="White Choc"/>
    <x v="175"/>
    <n v="8003.23"/>
    <n v="7"/>
    <n v="1143.3185714285714"/>
    <s v="March"/>
    <s v="Q1"/>
    <s v="Large"/>
  </r>
  <r>
    <s v="Van Tuxwell"/>
    <s v="UK"/>
    <s v="Milk Bars"/>
    <x v="258"/>
    <n v="4902.78"/>
    <n v="91"/>
    <n v="53.87670329670329"/>
    <s v="July"/>
    <s v="Q3"/>
    <s v="Large"/>
  </r>
  <r>
    <s v="Oby Sorrel"/>
    <s v="Canada"/>
    <s v="99% Dark &amp; Pure"/>
    <x v="169"/>
    <n v="4033.53"/>
    <n v="430"/>
    <n v="9.3803023255813951"/>
    <s v="August"/>
    <s v="Q3"/>
    <s v="Large"/>
  </r>
  <r>
    <s v="Van Tuxwell"/>
    <s v="India"/>
    <s v="Organic Choco Syrup"/>
    <x v="213"/>
    <n v="22751.18"/>
    <n v="182"/>
    <n v="125.00648351648351"/>
    <s v="May"/>
    <s v="Q2"/>
    <s v="Large"/>
  </r>
  <r>
    <s v="Roddy Speechley"/>
    <s v="India"/>
    <s v="Smooth Sliky Salty"/>
    <x v="218"/>
    <n v="5118.1099999999997"/>
    <n v="137"/>
    <n v="37.358467153284671"/>
    <s v="August"/>
    <s v="Q3"/>
    <s v="Large"/>
  </r>
  <r>
    <s v="Jan Morforth"/>
    <s v="India"/>
    <s v="Eclairs"/>
    <x v="247"/>
    <n v="2835.9"/>
    <n v="26"/>
    <n v="109.07307692307693"/>
    <s v="January"/>
    <s v="Q1"/>
    <s v="Large"/>
  </r>
  <r>
    <s v="Ches Bonnell"/>
    <s v="UK"/>
    <s v="Smooth Sliky Salty"/>
    <x v="204"/>
    <n v="5828.22"/>
    <n v="121"/>
    <n v="48.167107438016529"/>
    <s v="July"/>
    <s v="Q3"/>
    <s v="Large"/>
  </r>
  <r>
    <s v="Wilone O'Kielt"/>
    <s v="USA"/>
    <s v="After Nines"/>
    <x v="259"/>
    <n v="396.19"/>
    <n v="32"/>
    <n v="12.3809375"/>
    <s v="April"/>
    <s v="Q2"/>
    <s v="Small"/>
  </r>
  <r>
    <s v="Gigi Bohling"/>
    <s v="New Zealand"/>
    <s v="Fruit &amp; Nut Bars"/>
    <x v="260"/>
    <n v="11226.5"/>
    <n v="118"/>
    <n v="95.139830508474574"/>
    <s v="April"/>
    <s v="Q2"/>
    <s v="Large"/>
  </r>
  <r>
    <s v="Barr Faughny"/>
    <s v="USA"/>
    <s v="Raspberry Choco"/>
    <x v="245"/>
    <n v="10102.86"/>
    <n v="107"/>
    <n v="94.419252336448608"/>
    <s v="April"/>
    <s v="Q2"/>
    <s v="Large"/>
  </r>
  <r>
    <s v="Wilone O'Kielt"/>
    <s v="New Zealand"/>
    <s v="85% Dark Bars"/>
    <x v="241"/>
    <n v="2084.86"/>
    <n v="119"/>
    <n v="17.519831932773112"/>
    <s v="August"/>
    <s v="Q3"/>
    <s v="Large"/>
  </r>
  <r>
    <s v="Gigi Bohling"/>
    <s v="New Zealand"/>
    <s v="Manuka Honey Choco"/>
    <x v="212"/>
    <n v="8495.7900000000009"/>
    <n v="268"/>
    <n v="31.700708955223885"/>
    <s v="June"/>
    <s v="Q2"/>
    <s v="Large"/>
  </r>
  <r>
    <s v="Ches Bonnell"/>
    <s v="Australia"/>
    <s v="Eclairs"/>
    <x v="193"/>
    <n v="4248.34"/>
    <n v="130"/>
    <n v="32.679538461538463"/>
    <s v="July"/>
    <s v="Q3"/>
    <s v="Large"/>
  </r>
  <r>
    <s v="Rafaelita Blaksland"/>
    <s v="New Zealand"/>
    <s v="Choco Coated Almonds"/>
    <x v="244"/>
    <n v="2236.11"/>
    <n v="46"/>
    <n v="48.611086956521739"/>
    <s v="June"/>
    <s v="Q2"/>
    <s v="Large"/>
  </r>
  <r>
    <s v="Brien Boise"/>
    <s v="New Zealand"/>
    <s v="Smooth Sliky Salty"/>
    <x v="261"/>
    <n v="1124.27"/>
    <n v="26"/>
    <n v="43.241153846153843"/>
    <s v="January"/>
    <s v="Q1"/>
    <s v="Large"/>
  </r>
  <r>
    <s v="Brien Boise"/>
    <s v="Australia"/>
    <s v="Baker's Choco Chips"/>
    <x v="168"/>
    <n v="12870.47"/>
    <n v="227"/>
    <n v="56.698105726872242"/>
    <s v="January"/>
    <s v="Q1"/>
    <s v="Large"/>
  </r>
  <r>
    <s v="Dennison Crosswaite"/>
    <s v="Australia"/>
    <s v="99% Dark &amp; Pure"/>
    <x v="228"/>
    <n v="3017.66"/>
    <n v="19"/>
    <n v="158.8242105263158"/>
    <s v="January"/>
    <s v="Q1"/>
    <s v="Large"/>
  </r>
  <r>
    <s v="Kelci Walkden"/>
    <s v="India"/>
    <s v="Almond Choco"/>
    <x v="190"/>
    <n v="3574.12"/>
    <n v="149"/>
    <n v="23.987382550335571"/>
    <s v="March"/>
    <s v="Q1"/>
    <s v="Large"/>
  </r>
  <r>
    <s v="Camilla Castle"/>
    <s v="Australia"/>
    <s v="70% Dark Bites"/>
    <x v="262"/>
    <n v="6249.31"/>
    <n v="509"/>
    <n v="12.277622789783891"/>
    <s v="April"/>
    <s v="Q2"/>
    <s v="Large"/>
  </r>
  <r>
    <s v="Oby Sorrel"/>
    <s v="India"/>
    <s v="Smooth Sliky Salty"/>
    <x v="232"/>
    <n v="10759.61"/>
    <n v="107"/>
    <n v="100.55710280373832"/>
    <s v="February"/>
    <s v="Q1"/>
    <s v="Large"/>
  </r>
  <r>
    <s v="Kaine Padly"/>
    <s v="UK"/>
    <s v="Organic Choco Syrup"/>
    <x v="263"/>
    <n v="2508.0300000000002"/>
    <n v="175"/>
    <n v="14.331600000000002"/>
    <s v="March"/>
    <s v="Q1"/>
    <s v="Large"/>
  </r>
  <r>
    <s v="Marney O'Breen"/>
    <s v="India"/>
    <s v="Caramel Stuffed Bars"/>
    <x v="251"/>
    <n v="4997.82"/>
    <n v="83"/>
    <n v="60.214698795180716"/>
    <s v="March"/>
    <s v="Q1"/>
    <s v="Large"/>
  </r>
  <r>
    <s v="Karlen McCaffrey"/>
    <s v="UK"/>
    <s v="Eclairs"/>
    <x v="174"/>
    <n v="7901.09"/>
    <n v="200"/>
    <n v="39.505450000000003"/>
    <s v="January"/>
    <s v="Q1"/>
    <s v="Large"/>
  </r>
  <r>
    <s v="Van Tuxwell"/>
    <s v="India"/>
    <s v="Baker's Choco Chips"/>
    <x v="223"/>
    <n v="3133.42"/>
    <n v="479"/>
    <n v="6.5415866388308981"/>
    <s v="June"/>
    <s v="Q2"/>
    <s v="Large"/>
  </r>
  <r>
    <s v="Gigi Bohling"/>
    <s v="UK"/>
    <s v="After Nines"/>
    <x v="264"/>
    <n v="8320.2900000000009"/>
    <n v="171"/>
    <n v="48.656666666666673"/>
    <s v="March"/>
    <s v="Q1"/>
    <s v="Large"/>
  </r>
  <r>
    <s v="Curtice Advani"/>
    <s v="Australia"/>
    <s v="Orange Choco"/>
    <x v="265"/>
    <n v="909.93"/>
    <n v="132"/>
    <n v="6.8934090909090902"/>
    <s v="July"/>
    <s v="Q3"/>
    <s v="Large"/>
  </r>
  <r>
    <s v="Jehu Rudeforth"/>
    <s v="Canada"/>
    <s v="Smooth Sliky Salty"/>
    <x v="204"/>
    <n v="5631.26"/>
    <n v="142"/>
    <n v="39.656760563380281"/>
    <s v="July"/>
    <s v="Q3"/>
    <s v="Large"/>
  </r>
  <r>
    <s v="Karlen McCaffrey"/>
    <s v="Canada"/>
    <s v="Smooth Sliky Salty"/>
    <x v="246"/>
    <n v="3283.44"/>
    <n v="186"/>
    <n v="17.652903225806451"/>
    <s v="January"/>
    <s v="Q1"/>
    <s v="Large"/>
  </r>
  <r>
    <s v="Andria Kimpton"/>
    <s v="USA"/>
    <s v="85% Dark Bars"/>
    <x v="184"/>
    <n v="9458.0300000000007"/>
    <n v="87"/>
    <n v="108.71298850574713"/>
    <s v="April"/>
    <s v="Q2"/>
    <s v="Large"/>
  </r>
  <r>
    <s v="Jehu Rudeforth"/>
    <s v="Canada"/>
    <s v="Milk Bars"/>
    <x v="252"/>
    <n v="7726.25"/>
    <n v="12"/>
    <n v="643.85416666666663"/>
    <s v="February"/>
    <s v="Q1"/>
    <s v="Large"/>
  </r>
  <r>
    <s v="Rafaelita Blaksland"/>
    <s v="New Zealand"/>
    <s v="Caramel Stuffed Bars"/>
    <x v="266"/>
    <n v="14369.4"/>
    <n v="15"/>
    <n v="957.95999999999992"/>
    <s v="May"/>
    <s v="Q2"/>
    <s v="Large"/>
  </r>
  <r>
    <s v="Mallorie Waber"/>
    <s v="Australia"/>
    <s v="Milk Bars"/>
    <x v="267"/>
    <n v="2829.57"/>
    <n v="106"/>
    <n v="26.694056603773586"/>
    <s v="July"/>
    <s v="Q3"/>
    <s v="Large"/>
  </r>
  <r>
    <s v="Barr Faughny"/>
    <s v="USA"/>
    <s v="Fruit &amp; Nut Bars"/>
    <x v="250"/>
    <n v="9370.61"/>
    <n v="45"/>
    <n v="208.2357777777778"/>
    <s v="January"/>
    <s v="Q1"/>
    <s v="Large"/>
  </r>
  <r>
    <s v="Marney O'Breen"/>
    <s v="UK"/>
    <s v="Caramel Stuffed Bars"/>
    <x v="208"/>
    <n v="3651.49"/>
    <n v="112"/>
    <n v="32.602589285714281"/>
    <s v="July"/>
    <s v="Q3"/>
    <s v="Large"/>
  </r>
  <r>
    <s v="Mallorie Waber"/>
    <s v="New Zealand"/>
    <s v="Manuka Honey Choco"/>
    <x v="268"/>
    <n v="10229.99"/>
    <n v="12"/>
    <n v="852.49916666666661"/>
    <s v="April"/>
    <s v="Q2"/>
    <s v="Large"/>
  </r>
  <r>
    <s v="Roddy Speechley"/>
    <s v="India"/>
    <s v="Peanut Butter Cubes"/>
    <x v="226"/>
    <n v="11596.89"/>
    <n v="22"/>
    <n v="527.13136363636363"/>
    <s v="February"/>
    <s v="Q1"/>
    <s v="Large"/>
  </r>
  <r>
    <s v="Roddy Speechley"/>
    <s v="New Zealand"/>
    <s v="Milk Bars"/>
    <x v="220"/>
    <n v="5857.9"/>
    <n v="111"/>
    <n v="52.773873873873868"/>
    <s v="March"/>
    <s v="Q1"/>
    <s v="Large"/>
  </r>
  <r>
    <s v="Ches Bonnell"/>
    <s v="Australia"/>
    <s v="White Choc"/>
    <x v="220"/>
    <n v="1177.6400000000001"/>
    <n v="206"/>
    <n v="5.7166990291262136"/>
    <s v="March"/>
    <s v="Q1"/>
    <s v="Large"/>
  </r>
  <r>
    <s v="Van Tuxwell"/>
    <s v="USA"/>
    <s v="99% Dark &amp; Pure"/>
    <x v="180"/>
    <n v="12930.11"/>
    <n v="6"/>
    <n v="2155.0183333333334"/>
    <s v="July"/>
    <s v="Q3"/>
    <s v="Large"/>
  </r>
  <r>
    <s v="Kelci Walkden"/>
    <s v="India"/>
    <s v="After Nines"/>
    <x v="269"/>
    <n v="1732.04"/>
    <n v="531"/>
    <n v="3.2618455743879471"/>
    <s v="January"/>
    <s v="Q1"/>
    <s v="Large"/>
  </r>
  <r>
    <s v="Brien Boise"/>
    <s v="UK"/>
    <s v="White Choc"/>
    <x v="245"/>
    <n v="5837.17"/>
    <n v="173"/>
    <n v="33.74086705202312"/>
    <s v="April"/>
    <s v="Q2"/>
    <s v="Large"/>
  </r>
  <r>
    <s v="Van Tuxwell"/>
    <s v="Canada"/>
    <s v="Almond Choco"/>
    <x v="187"/>
    <n v="3424.66"/>
    <n v="70"/>
    <n v="48.923714285714283"/>
    <s v="June"/>
    <s v="Q2"/>
    <s v="Large"/>
  </r>
  <r>
    <s v="Jehu Rudeforth"/>
    <s v="Australia"/>
    <s v="50% Dark Bites"/>
    <x v="270"/>
    <n v="5700.28"/>
    <n v="422"/>
    <n v="13.507772511848341"/>
    <s v="January"/>
    <s v="Q1"/>
    <s v="Large"/>
  </r>
  <r>
    <s v="Karlen McCaffrey"/>
    <s v="UK"/>
    <s v="Baker's Choco Chips"/>
    <x v="232"/>
    <n v="5094.4799999999996"/>
    <n v="373"/>
    <n v="13.658123324396781"/>
    <s v="February"/>
    <s v="Q1"/>
    <s v="Large"/>
  </r>
  <r>
    <s v="Jehu Rudeforth"/>
    <s v="Australia"/>
    <s v="Orange Choco"/>
    <x v="253"/>
    <n v="14529.2"/>
    <n v="26"/>
    <n v="558.81538461538469"/>
    <s v="March"/>
    <s v="Q1"/>
    <s v="Large"/>
  </r>
  <r>
    <s v="Marney O'Breen"/>
    <s v="India"/>
    <s v="Peanut Butter Cubes"/>
    <x v="221"/>
    <n v="6761.28"/>
    <n v="145"/>
    <n v="46.629517241379311"/>
    <s v="January"/>
    <s v="Q1"/>
    <s v="Large"/>
  </r>
  <r>
    <s v="Oby Sorrel"/>
    <s v="UK"/>
    <s v="Choco Coated Almonds"/>
    <x v="271"/>
    <n v="10370.44"/>
    <n v="44"/>
    <n v="235.69181818181821"/>
    <s v="March"/>
    <s v="Q1"/>
    <s v="Large"/>
  </r>
  <r>
    <s v="Gigi Bohling"/>
    <s v="USA"/>
    <s v="Spicy Special Slims"/>
    <x v="272"/>
    <n v="12450.24"/>
    <n v="57"/>
    <n v="218.42526315789473"/>
    <s v="January"/>
    <s v="Q1"/>
    <s v="Large"/>
  </r>
  <r>
    <s v="Barr Faughny"/>
    <s v="Australia"/>
    <s v="White Choc"/>
    <x v="177"/>
    <n v="8927.6299999999992"/>
    <n v="386"/>
    <n v="23.128575129533676"/>
    <s v="July"/>
    <s v="Q3"/>
    <s v="Large"/>
  </r>
  <r>
    <s v="Kaine Padly"/>
    <s v="Canada"/>
    <s v="Peanut Butter Cubes"/>
    <x v="177"/>
    <n v="3438.7"/>
    <n v="191"/>
    <n v="18.003664921465969"/>
    <s v="July"/>
    <s v="Q3"/>
    <s v="Large"/>
  </r>
  <r>
    <s v="Dotty Strutley"/>
    <s v="USA"/>
    <s v="Manuka Honey Choco"/>
    <x v="218"/>
    <n v="299.70999999999998"/>
    <n v="207"/>
    <n v="1.4478743961352656"/>
    <s v="August"/>
    <s v="Q3"/>
    <s v="Small"/>
  </r>
  <r>
    <s v="Dennison Crosswaite"/>
    <s v="Australia"/>
    <s v="50% Dark Bites"/>
    <x v="237"/>
    <n v="7374.26"/>
    <n v="12"/>
    <n v="614.52166666666665"/>
    <s v="April"/>
    <s v="Q2"/>
    <s v="Large"/>
  </r>
  <r>
    <s v="Gigi Bohling"/>
    <s v="India"/>
    <s v="Raspberry Choco"/>
    <x v="273"/>
    <n v="2775.87"/>
    <n v="174"/>
    <n v="15.953275862068965"/>
    <s v="February"/>
    <s v="Q1"/>
    <s v="Large"/>
  </r>
  <r>
    <s v="Camilla Castle"/>
    <s v="UK"/>
    <s v="White Choc"/>
    <x v="235"/>
    <n v="9957.66"/>
    <n v="194"/>
    <n v="51.328144329896908"/>
    <s v="January"/>
    <s v="Q1"/>
    <s v="Large"/>
  </r>
  <r>
    <s v="Karlen McCaffrey"/>
    <s v="India"/>
    <s v="Drinking Coco"/>
    <x v="274"/>
    <n v="5064.88"/>
    <n v="251"/>
    <n v="20.178804780876494"/>
    <s v="May"/>
    <s v="Q2"/>
    <s v="Large"/>
  </r>
  <r>
    <s v="Dotty Strutley"/>
    <s v="UK"/>
    <s v="99% Dark &amp; Pure"/>
    <x v="235"/>
    <n v="9865.0499999999993"/>
    <n v="273"/>
    <n v="36.135714285714286"/>
    <s v="January"/>
    <s v="Q1"/>
    <s v="Large"/>
  </r>
  <r>
    <s v="Husein Augar"/>
    <s v="New Zealand"/>
    <s v="Caramel Stuffed Bars"/>
    <x v="227"/>
    <n v="571.52"/>
    <n v="489"/>
    <n v="1.1687525562372187"/>
    <s v="January"/>
    <s v="Q1"/>
    <s v="Large"/>
  </r>
  <r>
    <s v="Barr Faughny"/>
    <s v="UK"/>
    <s v="50% Dark Bites"/>
    <x v="250"/>
    <n v="656.44"/>
    <n v="67"/>
    <n v="9.7976119402985091"/>
    <s v="January"/>
    <s v="Q1"/>
    <s v="Large"/>
  </r>
  <r>
    <s v="Curtice Advani"/>
    <s v="Australia"/>
    <s v="Organic Choco Syrup"/>
    <x v="212"/>
    <n v="4008.93"/>
    <n v="301"/>
    <n v="13.318704318936877"/>
    <s v="June"/>
    <s v="Q2"/>
    <s v="Large"/>
  </r>
  <r>
    <s v="Husein Augar"/>
    <s v="UK"/>
    <s v="Choco Coated Almonds"/>
    <x v="220"/>
    <n v="4679.0600000000004"/>
    <n v="43"/>
    <n v="108.81534883720931"/>
    <s v="March"/>
    <s v="Q1"/>
    <s v="Large"/>
  </r>
  <r>
    <s v="Wilone O'Kielt"/>
    <s v="Australia"/>
    <s v="After Nines"/>
    <x v="216"/>
    <n v="3446.84"/>
    <n v="28"/>
    <n v="123.10142857142857"/>
    <s v="May"/>
    <s v="Q2"/>
    <s v="Large"/>
  </r>
  <r>
    <s v="Dennison Crosswaite"/>
    <s v="USA"/>
    <s v="Almond Choco"/>
    <x v="198"/>
    <n v="11884.52"/>
    <n v="82"/>
    <n v="144.93317073170732"/>
    <s v="June"/>
    <s v="Q2"/>
    <s v="Large"/>
  </r>
  <r>
    <s v="Barr Faughny"/>
    <s v="Canada"/>
    <s v="Peanut Butter Cubes"/>
    <x v="244"/>
    <n v="2167.19"/>
    <n v="85"/>
    <n v="25.496352941176472"/>
    <s v="June"/>
    <s v="Q2"/>
    <s v="Large"/>
  </r>
  <r>
    <s v="Kaine Padly"/>
    <s v="USA"/>
    <s v="70% Dark Bites"/>
    <x v="233"/>
    <n v="4199.84"/>
    <n v="107"/>
    <n v="39.250841121495327"/>
    <s v="May"/>
    <s v="Q2"/>
    <s v="Large"/>
  </r>
  <r>
    <s v="Barr Faughny"/>
    <s v="New Zealand"/>
    <s v="Raspberry Choco"/>
    <x v="267"/>
    <n v="7358.7"/>
    <n v="68"/>
    <n v="108.21617647058824"/>
    <s v="July"/>
    <s v="Q3"/>
    <s v="Large"/>
  </r>
  <r>
    <s v="Dennison Crosswaite"/>
    <s v="UK"/>
    <s v="White Choc"/>
    <x v="181"/>
    <n v="7870.09"/>
    <n v="274"/>
    <n v="28.722956204379564"/>
    <s v="August"/>
    <s v="Q3"/>
    <s v="Large"/>
  </r>
  <r>
    <s v="Barr Faughny"/>
    <s v="India"/>
    <s v="Baker's Choco Chips"/>
    <x v="229"/>
    <n v="7454.25"/>
    <n v="148"/>
    <n v="50.366554054054056"/>
    <s v="August"/>
    <s v="Q3"/>
    <s v="Large"/>
  </r>
  <r>
    <s v="Van Tuxwell"/>
    <s v="New Zealand"/>
    <s v="Smooth Sliky Salty"/>
    <x v="275"/>
    <n v="3112.3"/>
    <n v="41"/>
    <n v="75.909756097560987"/>
    <s v="June"/>
    <s v="Q2"/>
    <s v="Large"/>
  </r>
  <r>
    <s v="Beverie Moffet"/>
    <s v="UK"/>
    <s v="White Choc"/>
    <x v="198"/>
    <n v="6901.22"/>
    <n v="80"/>
    <n v="86.265250000000009"/>
    <s v="June"/>
    <s v="Q2"/>
    <s v="Large"/>
  </r>
  <r>
    <s v="Camilla Castle"/>
    <s v="New Zealand"/>
    <s v="Mint Chip Choco"/>
    <x v="276"/>
    <n v="1178"/>
    <n v="199"/>
    <n v="5.9195979899497484"/>
    <s v="June"/>
    <s v="Q2"/>
    <s v="Large"/>
  </r>
  <r>
    <s v="Ches Bonnell"/>
    <s v="UK"/>
    <s v="Orange Choco"/>
    <x v="171"/>
    <n v="14953.83"/>
    <n v="53"/>
    <n v="282.14773584905663"/>
    <s v="April"/>
    <s v="Q2"/>
    <s v="Large"/>
  </r>
  <r>
    <s v="Jan Morforth"/>
    <s v="Australia"/>
    <s v="White Choc"/>
    <x v="277"/>
    <n v="3958.57"/>
    <n v="33"/>
    <n v="119.95666666666668"/>
    <s v="July"/>
    <s v="Q3"/>
    <s v="Large"/>
  </r>
  <r>
    <s v="Mallorie Waber"/>
    <s v="Canada"/>
    <s v="85% Dark Bars"/>
    <x v="176"/>
    <n v="1639.01"/>
    <n v="430"/>
    <n v="3.8116511627906977"/>
    <s v="April"/>
    <s v="Q2"/>
    <s v="Large"/>
  </r>
  <r>
    <s v="Rafaelita Blaksland"/>
    <s v="India"/>
    <s v="Spicy Special Slims"/>
    <x v="168"/>
    <n v="8586.0400000000009"/>
    <n v="144"/>
    <n v="59.625277777777782"/>
    <s v="January"/>
    <s v="Q1"/>
    <s v="Large"/>
  </r>
  <r>
    <s v="Ches Bonnell"/>
    <s v="Australia"/>
    <s v="Mint Chip Choco"/>
    <x v="252"/>
    <n v="10000.219999999999"/>
    <n v="98"/>
    <n v="102.04306122448979"/>
    <s v="February"/>
    <s v="Q1"/>
    <s v="Large"/>
  </r>
  <r>
    <s v="Karlen McCaffrey"/>
    <s v="Australia"/>
    <s v="White Choc"/>
    <x v="247"/>
    <n v="8448.39"/>
    <n v="52"/>
    <n v="162.46903846153845"/>
    <s v="January"/>
    <s v="Q1"/>
    <s v="Large"/>
  </r>
  <r>
    <s v="Beverie Moffet"/>
    <s v="India"/>
    <s v="Drinking Coco"/>
    <x v="210"/>
    <n v="6984.74"/>
    <n v="51"/>
    <n v="136.95568627450979"/>
    <s v="July"/>
    <s v="Q3"/>
    <s v="Large"/>
  </r>
  <r>
    <s v="Brien Boise"/>
    <s v="Australia"/>
    <s v="Choco Coated Almonds"/>
    <x v="231"/>
    <n v="5641.54"/>
    <n v="61"/>
    <n v="92.484262295081962"/>
    <s v="May"/>
    <s v="Q2"/>
    <s v="Large"/>
  </r>
  <r>
    <s v="Karlen McCaffrey"/>
    <s v="Canada"/>
    <s v="Eclairs"/>
    <x v="176"/>
    <n v="3850.87"/>
    <n v="372"/>
    <n v="10.351801075268817"/>
    <s v="April"/>
    <s v="Q2"/>
    <s v="Large"/>
  </r>
  <r>
    <s v="Gigi Bohling"/>
    <s v="USA"/>
    <s v="99% Dark &amp; Pure"/>
    <x v="202"/>
    <n v="885.68"/>
    <n v="240"/>
    <n v="3.6903333333333332"/>
    <s v="June"/>
    <s v="Q2"/>
    <s v="Large"/>
  </r>
  <r>
    <s v="Marney O'Breen"/>
    <s v="UK"/>
    <s v="Smooth Sliky Salty"/>
    <x v="278"/>
    <n v="21251.67"/>
    <n v="91"/>
    <n v="233.53483516483516"/>
    <s v="May"/>
    <s v="Q2"/>
    <s v="Large"/>
  </r>
  <r>
    <s v="Beverie Moffet"/>
    <s v="New Zealand"/>
    <s v="Baker's Choco Chips"/>
    <x v="181"/>
    <n v="1452.61"/>
    <n v="142"/>
    <n v="10.229647887323942"/>
    <s v="August"/>
    <s v="Q3"/>
    <s v="Large"/>
  </r>
  <r>
    <s v="Beverie Moffet"/>
    <s v="Australia"/>
    <s v="Milk Bars"/>
    <x v="231"/>
    <n v="793.17"/>
    <n v="400"/>
    <n v="1.9829249999999998"/>
    <s v="May"/>
    <s v="Q2"/>
    <s v="Large"/>
  </r>
  <r>
    <s v="Van Tuxwell"/>
    <s v="UK"/>
    <s v="Raspberry Choco"/>
    <x v="251"/>
    <n v="7152.22"/>
    <n v="83"/>
    <n v="86.171325301204817"/>
    <s v="March"/>
    <s v="Q1"/>
    <s v="Large"/>
  </r>
  <r>
    <s v="Jan Morforth"/>
    <s v="Australia"/>
    <s v="Orange Choco"/>
    <x v="177"/>
    <n v="3364.44"/>
    <n v="126"/>
    <n v="26.701904761904764"/>
    <s v="July"/>
    <s v="Q3"/>
    <s v="Large"/>
  </r>
  <r>
    <s v="Jehu Rudeforth"/>
    <s v="India"/>
    <s v="50% Dark Bites"/>
    <x v="193"/>
    <n v="3470.6"/>
    <n v="129"/>
    <n v="26.903875968992246"/>
    <s v="July"/>
    <s v="Q3"/>
    <s v="Large"/>
  </r>
  <r>
    <s v="Madelene Upcott"/>
    <s v="USA"/>
    <s v="After Nines"/>
    <x v="279"/>
    <n v="4676.32"/>
    <n v="440"/>
    <n v="10.628"/>
    <s v="March"/>
    <s v="Q1"/>
    <s v="Large"/>
  </r>
  <r>
    <s v="Barr Faughny"/>
    <s v="UK"/>
    <s v="Raspberry Choco"/>
    <x v="206"/>
    <n v="6323.45"/>
    <n v="70"/>
    <n v="90.334999999999994"/>
    <s v="August"/>
    <s v="Q3"/>
    <s v="Large"/>
  </r>
  <r>
    <s v="Ches Bonnell"/>
    <s v="Australia"/>
    <s v="70% Dark Bites"/>
    <x v="257"/>
    <n v="3252.7"/>
    <n v="119"/>
    <n v="27.333613445378148"/>
    <s v="January"/>
    <s v="Q1"/>
    <s v="Large"/>
  </r>
  <r>
    <s v="Marney O'Breen"/>
    <s v="UK"/>
    <s v="Baker's Choco Chips"/>
    <x v="207"/>
    <n v="254.16"/>
    <n v="161"/>
    <n v="1.5786335403726708"/>
    <s v="June"/>
    <s v="Q2"/>
    <s v="Small"/>
  </r>
  <r>
    <s v="Kaine Padly"/>
    <s v="Australia"/>
    <s v="Peanut Butter Cubes"/>
    <x v="280"/>
    <n v="6127.37"/>
    <n v="299"/>
    <n v="20.492876254180601"/>
    <s v="March"/>
    <s v="Q1"/>
    <s v="Large"/>
  </r>
  <r>
    <s v="Rafaelita Blaksland"/>
    <s v="India"/>
    <s v="Almond Choco"/>
    <x v="277"/>
    <n v="3791.66"/>
    <n v="100"/>
    <n v="37.916599999999995"/>
    <s v="July"/>
    <s v="Q3"/>
    <s v="Large"/>
  </r>
  <r>
    <s v="Husein Augar"/>
    <s v="UK"/>
    <s v="Caramel Stuffed Bars"/>
    <x v="203"/>
    <n v="17059.689999999999"/>
    <n v="456"/>
    <n v="37.411600877192981"/>
    <s v="April"/>
    <s v="Q2"/>
    <s v="Large"/>
  </r>
  <r>
    <s v="Roddy Speechley"/>
    <s v="India"/>
    <s v="Orange Choco"/>
    <x v="187"/>
    <n v="4154.4399999999996"/>
    <n v="18"/>
    <n v="230.80222222222221"/>
    <s v="June"/>
    <s v="Q2"/>
    <s v="Large"/>
  </r>
  <r>
    <s v="Jehu Rudeforth"/>
    <s v="UK"/>
    <s v="70% Dark Bites"/>
    <x v="217"/>
    <n v="6168.51"/>
    <n v="280"/>
    <n v="22.030392857142857"/>
    <s v="April"/>
    <s v="Q2"/>
    <s v="Large"/>
  </r>
  <r>
    <s v="Husein Augar"/>
    <s v="Australia"/>
    <s v="Manuka Honey Choco"/>
    <x v="279"/>
    <n v="7984.45"/>
    <n v="95"/>
    <n v="84.046842105263153"/>
    <s v="March"/>
    <s v="Q1"/>
    <s v="Large"/>
  </r>
  <r>
    <s v="Madelene Upcott"/>
    <s v="USA"/>
    <s v="Eclairs"/>
    <x v="281"/>
    <n v="9108.33"/>
    <n v="213"/>
    <n v="42.76211267605634"/>
    <s v="March"/>
    <s v="Q1"/>
    <s v="Large"/>
  </r>
  <r>
    <s v="Brien Boise"/>
    <s v="India"/>
    <s v="Eclairs"/>
    <x v="262"/>
    <n v="1511.51"/>
    <n v="58"/>
    <n v="26.060517241379308"/>
    <s v="April"/>
    <s v="Q2"/>
    <s v="Large"/>
  </r>
  <r>
    <s v="Mallorie Waber"/>
    <s v="New Zealand"/>
    <s v="White Choc"/>
    <x v="243"/>
    <n v="3364.28"/>
    <n v="265"/>
    <n v="12.695396226415095"/>
    <s v="February"/>
    <s v="Q1"/>
    <s v="Large"/>
  </r>
  <r>
    <s v="Husein Augar"/>
    <s v="USA"/>
    <s v="Milk Bars"/>
    <x v="220"/>
    <n v="934.49"/>
    <n v="54"/>
    <n v="17.305370370370369"/>
    <s v="March"/>
    <s v="Q1"/>
    <s v="Large"/>
  </r>
  <r>
    <s v="Van Tuxwell"/>
    <s v="Australia"/>
    <s v="Milk Bars"/>
    <x v="223"/>
    <n v="8895.7000000000007"/>
    <n v="91"/>
    <n v="97.754945054945068"/>
    <s v="June"/>
    <s v="Q2"/>
    <s v="Large"/>
  </r>
  <r>
    <s v="Beverie Moffet"/>
    <s v="Canada"/>
    <s v="White Choc"/>
    <x v="210"/>
    <n v="9957.2000000000007"/>
    <n v="185"/>
    <n v="53.822702702702706"/>
    <s v="July"/>
    <s v="Q3"/>
    <s v="Large"/>
  </r>
  <r>
    <s v="Dotty Strutley"/>
    <s v="Australia"/>
    <s v="50% Dark Bites"/>
    <x v="233"/>
    <n v="3359.18"/>
    <n v="256"/>
    <n v="13.121796874999999"/>
    <s v="May"/>
    <s v="Q2"/>
    <s v="Large"/>
  </r>
  <r>
    <s v="Mallorie Waber"/>
    <s v="New Zealand"/>
    <s v="Organic Choco Syrup"/>
    <x v="282"/>
    <n v="5098.29"/>
    <n v="276"/>
    <n v="18.472065217391304"/>
    <s v="July"/>
    <s v="Q3"/>
    <s v="Large"/>
  </r>
  <r>
    <s v="Husein Augar"/>
    <s v="USA"/>
    <s v="85% Dark Bars"/>
    <x v="283"/>
    <n v="398.28"/>
    <n v="52"/>
    <n v="7.6592307692307688"/>
    <s v="August"/>
    <s v="Q3"/>
    <s v="Small"/>
  </r>
  <r>
    <s v="Madelene Upcott"/>
    <s v="Australia"/>
    <s v="50% Dark Bites"/>
    <x v="258"/>
    <n v="7473.14"/>
    <n v="6"/>
    <n v="1245.5233333333333"/>
    <s v="July"/>
    <s v="Q3"/>
    <s v="Large"/>
  </r>
  <r>
    <s v="Wilone O'Kielt"/>
    <s v="UK"/>
    <s v="Drinking Coco"/>
    <x v="211"/>
    <n v="3638.66"/>
    <n v="59"/>
    <n v="61.672203389830507"/>
    <s v="May"/>
    <s v="Q2"/>
    <s v="Large"/>
  </r>
  <r>
    <s v="Camilla Castle"/>
    <s v="India"/>
    <s v="Peanut Butter Cubes"/>
    <x v="210"/>
    <n v="12507.08"/>
    <n v="284"/>
    <n v="44.039014084507045"/>
    <s v="July"/>
    <s v="Q3"/>
    <s v="Large"/>
  </r>
  <r>
    <s v="Curtice Advani"/>
    <s v="India"/>
    <s v="70% Dark Bites"/>
    <x v="193"/>
    <n v="2393.79"/>
    <n v="48"/>
    <n v="49.870624999999997"/>
    <s v="July"/>
    <s v="Q3"/>
    <s v="Large"/>
  </r>
  <r>
    <s v="Mallorie Waber"/>
    <s v="USA"/>
    <s v="Manuka Honey Choco"/>
    <x v="177"/>
    <n v="6136.99"/>
    <n v="94"/>
    <n v="65.287127659574466"/>
    <s v="July"/>
    <s v="Q3"/>
    <s v="Large"/>
  </r>
  <r>
    <s v="Dotty Strutley"/>
    <s v="UK"/>
    <s v="70% Dark Bites"/>
    <x v="223"/>
    <n v="1264.43"/>
    <n v="232"/>
    <n v="5.4501293103448276"/>
    <s v="June"/>
    <s v="Q2"/>
    <s v="Large"/>
  </r>
  <r>
    <s v="Gunar Cockshoot"/>
    <s v="Australia"/>
    <s v="Almond Choco"/>
    <x v="174"/>
    <n v="4101.26"/>
    <n v="425"/>
    <n v="9.6500235294117651"/>
    <s v="January"/>
    <s v="Q1"/>
    <s v="Large"/>
  </r>
  <r>
    <s v="Kaine Padly"/>
    <s v="New Zealand"/>
    <s v="Spicy Special Slims"/>
    <x v="282"/>
    <n v="8106.88"/>
    <n v="40"/>
    <n v="202.672"/>
    <s v="July"/>
    <s v="Q3"/>
    <s v="Large"/>
  </r>
  <r>
    <s v="Gigi Bohling"/>
    <s v="USA"/>
    <s v="50% Dark Bites"/>
    <x v="268"/>
    <n v="2456.1"/>
    <n v="58"/>
    <n v="42.346551724137932"/>
    <s v="April"/>
    <s v="Q2"/>
    <s v="Large"/>
  </r>
  <r>
    <s v="Beverie Moffet"/>
    <s v="UK"/>
    <s v="Smooth Sliky Salty"/>
    <x v="284"/>
    <n v="4726.6000000000004"/>
    <n v="75"/>
    <n v="63.021333333333338"/>
    <s v="May"/>
    <s v="Q2"/>
    <s v="Large"/>
  </r>
  <r>
    <s v="Beverie Moffet"/>
    <s v="Australia"/>
    <s v="Baker's Choco Chips"/>
    <x v="285"/>
    <n v="3482.73"/>
    <n v="108"/>
    <n v="32.247500000000002"/>
    <s v="August"/>
    <s v="Q3"/>
    <s v="Large"/>
  </r>
  <r>
    <s v="Beverie Moffet"/>
    <s v="India"/>
    <s v="70% Dark Bites"/>
    <x v="286"/>
    <n v="467.19"/>
    <n v="159"/>
    <n v="2.9383018867924529"/>
    <s v="June"/>
    <s v="Q2"/>
    <s v="Small"/>
  </r>
  <r>
    <s v="Jehu Rudeforth"/>
    <s v="UK"/>
    <s v="Choco Coated Almonds"/>
    <x v="287"/>
    <n v="4875.38"/>
    <n v="185"/>
    <n v="26.353405405405407"/>
    <s v="April"/>
    <s v="Q2"/>
    <s v="Large"/>
  </r>
  <r>
    <s v="Kaine Padly"/>
    <s v="USA"/>
    <s v="50% Dark Bites"/>
    <x v="181"/>
    <n v="70.599999999999994"/>
    <n v="27"/>
    <n v="2.6148148148148147"/>
    <s v="August"/>
    <s v="Q3"/>
    <s v="Small"/>
  </r>
  <r>
    <s v="Ches Bonnell"/>
    <s v="USA"/>
    <s v="Orange Choco"/>
    <x v="207"/>
    <n v="1835.22"/>
    <n v="73"/>
    <n v="25.14"/>
    <s v="June"/>
    <s v="Q2"/>
    <s v="Large"/>
  </r>
  <r>
    <s v="Gunar Cockshoot"/>
    <s v="UK"/>
    <s v="Manuka Honey Choco"/>
    <x v="187"/>
    <n v="7304.74"/>
    <n v="49"/>
    <n v="149.07632653061225"/>
    <s v="June"/>
    <s v="Q2"/>
    <s v="Large"/>
  </r>
  <r>
    <s v="Marney O'Breen"/>
    <s v="Australia"/>
    <s v="Smooth Sliky Salty"/>
    <x v="235"/>
    <n v="3967.85"/>
    <n v="163"/>
    <n v="24.342638036809817"/>
    <s v="January"/>
    <s v="Q1"/>
    <s v="Large"/>
  </r>
  <r>
    <s v="Marney O'Breen"/>
    <s v="India"/>
    <s v="After Nines"/>
    <x v="204"/>
    <n v="2800.67"/>
    <n v="190"/>
    <n v="14.740368421052631"/>
    <s v="July"/>
    <s v="Q3"/>
    <s v="Large"/>
  </r>
  <r>
    <s v="Ches Bonnell"/>
    <s v="New Zealand"/>
    <s v="Milk Bars"/>
    <x v="288"/>
    <n v="4474.5200000000004"/>
    <n v="120"/>
    <n v="37.287666666666674"/>
    <s v="August"/>
    <s v="Q3"/>
    <s v="Large"/>
  </r>
  <r>
    <s v="Rafaelita Blaksland"/>
    <s v="USA"/>
    <s v="Fruit &amp; Nut Bars"/>
    <x v="261"/>
    <n v="2737.03"/>
    <n v="63"/>
    <n v="43.444920634920635"/>
    <s v="January"/>
    <s v="Q1"/>
    <s v="Large"/>
  </r>
  <r>
    <s v="Ches Bonnell"/>
    <s v="India"/>
    <s v="Organic Choco Syrup"/>
    <x v="289"/>
    <n v="16717.259999999998"/>
    <n v="102"/>
    <n v="163.89470588235292"/>
    <s v="March"/>
    <s v="Q1"/>
    <s v="Large"/>
  </r>
  <r>
    <s v="Mallorie Waber"/>
    <s v="Australia"/>
    <s v="Orange Choco"/>
    <x v="234"/>
    <n v="16112.73"/>
    <n v="282"/>
    <n v="57.13734042553191"/>
    <s v="March"/>
    <s v="Q1"/>
    <s v="Large"/>
  </r>
  <r>
    <s v="Husein Augar"/>
    <s v="India"/>
    <s v="70% Dark Bites"/>
    <x v="290"/>
    <n v="6898"/>
    <n v="163"/>
    <n v="42.319018404907979"/>
    <s v="May"/>
    <s v="Q2"/>
    <s v="Large"/>
  </r>
  <r>
    <s v="Barr Faughny"/>
    <s v="New Zealand"/>
    <s v="85% Dark Bars"/>
    <x v="291"/>
    <n v="2151.04"/>
    <n v="170"/>
    <n v="12.653176470588235"/>
    <s v="May"/>
    <s v="Q2"/>
    <s v="Large"/>
  </r>
  <r>
    <s v="Madelene Upcott"/>
    <s v="UK"/>
    <s v="Caramel Stuffed Bars"/>
    <x v="203"/>
    <n v="172.51"/>
    <n v="152"/>
    <n v="1.1349342105263158"/>
    <s v="April"/>
    <s v="Q2"/>
    <s v="Small"/>
  </r>
  <r>
    <s v="Gigi Bohling"/>
    <s v="Australia"/>
    <s v="Drinking Coco"/>
    <x v="277"/>
    <n v="2949.02"/>
    <n v="153"/>
    <n v="19.274640522875817"/>
    <s v="July"/>
    <s v="Q3"/>
    <s v="Large"/>
  </r>
  <r>
    <s v="Marney O'Breen"/>
    <s v="Canada"/>
    <s v="Choco Coated Almonds"/>
    <x v="206"/>
    <n v="2790.72"/>
    <n v="435"/>
    <n v="6.4154482758620688"/>
    <s v="August"/>
    <s v="Q3"/>
    <s v="Large"/>
  </r>
  <r>
    <s v="Ches Bonnell"/>
    <s v="USA"/>
    <s v="70% Dark Bites"/>
    <x v="197"/>
    <n v="5054.42"/>
    <n v="127"/>
    <n v="39.798582677165356"/>
    <s v="May"/>
    <s v="Q2"/>
    <s v="Large"/>
  </r>
  <r>
    <s v="Madelene Upcott"/>
    <s v="India"/>
    <s v="Organic Choco Syrup"/>
    <x v="182"/>
    <n v="5418.75"/>
    <n v="37"/>
    <n v="146.45270270270271"/>
    <s v="January"/>
    <s v="Q1"/>
    <s v="Large"/>
  </r>
  <r>
    <s v="Barr Faughny"/>
    <s v="USA"/>
    <s v="50% Dark Bites"/>
    <x v="217"/>
    <n v="14604.67"/>
    <n v="128"/>
    <n v="114.098984375"/>
    <s v="April"/>
    <s v="Q2"/>
    <s v="Large"/>
  </r>
  <r>
    <s v="Dennison Crosswaite"/>
    <s v="New Zealand"/>
    <s v="Mint Chip Choco"/>
    <x v="184"/>
    <n v="6668.93"/>
    <n v="419"/>
    <n v="15.916300715990454"/>
    <s v="April"/>
    <s v="Q2"/>
    <s v="Large"/>
  </r>
  <r>
    <s v="Marney O'Breen"/>
    <s v="New Zealand"/>
    <s v="Smooth Sliky Salty"/>
    <x v="275"/>
    <n v="9689.7000000000007"/>
    <n v="58"/>
    <n v="167.06379310344829"/>
    <s v="June"/>
    <s v="Q2"/>
    <s v="Large"/>
  </r>
  <r>
    <s v="Brien Boise"/>
    <s v="Canada"/>
    <s v="Almond Choco"/>
    <x v="268"/>
    <n v="5026.8100000000004"/>
    <n v="123"/>
    <n v="40.868373983739843"/>
    <s v="April"/>
    <s v="Q2"/>
    <s v="Large"/>
  </r>
  <r>
    <s v="Beverie Moffet"/>
    <s v="Australia"/>
    <s v="White Choc"/>
    <x v="187"/>
    <n v="2379.0100000000002"/>
    <n v="178"/>
    <n v="13.365224719101125"/>
    <s v="June"/>
    <s v="Q2"/>
    <s v="Large"/>
  </r>
  <r>
    <s v="Dotty Strutley"/>
    <s v="Australia"/>
    <s v="Eclairs"/>
    <x v="182"/>
    <n v="7770.55"/>
    <n v="3"/>
    <n v="2590.1833333333334"/>
    <s v="January"/>
    <s v="Q1"/>
    <s v="Large"/>
  </r>
  <r>
    <s v="Barr Faughny"/>
    <s v="UK"/>
    <s v="White Choc"/>
    <x v="193"/>
    <n v="1837.47"/>
    <n v="77"/>
    <n v="23.863246753246752"/>
    <s v="July"/>
    <s v="Q3"/>
    <s v="Large"/>
  </r>
  <r>
    <s v="Beverie Moffet"/>
    <s v="Canada"/>
    <s v="Baker's Choco Chips"/>
    <x v="292"/>
    <n v="14625.75"/>
    <n v="90"/>
    <n v="162.50833333333333"/>
    <s v="January"/>
    <s v="Q1"/>
    <s v="Large"/>
  </r>
  <r>
    <s v="Kelci Walkden"/>
    <s v="USA"/>
    <s v="White Choc"/>
    <x v="234"/>
    <n v="10305.4"/>
    <n v="22"/>
    <n v="468.42727272727274"/>
    <s v="March"/>
    <s v="Q1"/>
    <s v="Large"/>
  </r>
  <r>
    <s v="Kaine Padly"/>
    <s v="Canada"/>
    <s v="50% Dark Bites"/>
    <x v="240"/>
    <n v="8798.99"/>
    <n v="99"/>
    <n v="88.87868686868687"/>
    <s v="March"/>
    <s v="Q1"/>
    <s v="Large"/>
  </r>
  <r>
    <s v="Karlen McCaffrey"/>
    <s v="Canada"/>
    <s v="Organic Choco Syrup"/>
    <x v="210"/>
    <n v="2466.59"/>
    <n v="309"/>
    <n v="7.9824919093851134"/>
    <s v="July"/>
    <s v="Q3"/>
    <s v="Large"/>
  </r>
  <r>
    <s v="Kaine Padly"/>
    <s v="UK"/>
    <s v="Peanut Butter Cubes"/>
    <x v="197"/>
    <n v="6564.2"/>
    <n v="92"/>
    <n v="71.349999999999994"/>
    <s v="May"/>
    <s v="Q2"/>
    <s v="Large"/>
  </r>
  <r>
    <s v="Karlen McCaffrey"/>
    <s v="USA"/>
    <s v="Milk Bars"/>
    <x v="227"/>
    <n v="4764.5600000000004"/>
    <n v="7"/>
    <n v="680.6514285714286"/>
    <s v="January"/>
    <s v="Q1"/>
    <s v="Large"/>
  </r>
  <r>
    <s v="Karlen McCaffrey"/>
    <s v="India"/>
    <s v="Orange Choco"/>
    <x v="187"/>
    <n v="3172.08"/>
    <n v="153"/>
    <n v="20.732549019607841"/>
    <s v="June"/>
    <s v="Q2"/>
    <s v="Large"/>
  </r>
  <r>
    <s v="Ches Bonnell"/>
    <s v="India"/>
    <s v="Smooth Sliky Salty"/>
    <x v="181"/>
    <n v="8062"/>
    <n v="20"/>
    <n v="403.1"/>
    <s v="August"/>
    <s v="Q3"/>
    <s v="Large"/>
  </r>
  <r>
    <s v="Wilone O'Kielt"/>
    <s v="New Zealand"/>
    <s v="Mint Chip Choco"/>
    <x v="293"/>
    <n v="12382.41"/>
    <n v="245"/>
    <n v="50.540448979591837"/>
    <s v="August"/>
    <s v="Q3"/>
    <s v="Large"/>
  </r>
  <r>
    <s v="Wilone O'Kielt"/>
    <s v="Australia"/>
    <s v="Fruit &amp; Nut Bars"/>
    <x v="194"/>
    <n v="413.6"/>
    <n v="111"/>
    <n v="3.7261261261261263"/>
    <s v="June"/>
    <s v="Q2"/>
    <s v="Small"/>
  </r>
  <r>
    <s v="Dennison Crosswaite"/>
    <s v="UK"/>
    <s v="Peanut Butter Cubes"/>
    <x v="232"/>
    <n v="10186.18"/>
    <n v="154"/>
    <n v="66.144025974025979"/>
    <s v="February"/>
    <s v="Q1"/>
    <s v="Large"/>
  </r>
  <r>
    <s v="Karlen McCaffrey"/>
    <s v="Australia"/>
    <s v="Almond Choco"/>
    <x v="219"/>
    <n v="7936.84"/>
    <n v="138"/>
    <n v="57.513333333333335"/>
    <s v="July"/>
    <s v="Q3"/>
    <s v="Large"/>
  </r>
  <r>
    <s v="Dennison Crosswaite"/>
    <s v="India"/>
    <s v="Milk Bars"/>
    <x v="294"/>
    <n v="1712.72"/>
    <n v="93"/>
    <n v="18.416344086021507"/>
    <s v="April"/>
    <s v="Q2"/>
    <s v="Large"/>
  </r>
  <r>
    <s v="Ches Bonnell"/>
    <s v="UK"/>
    <s v="Mint Chip Choco"/>
    <x v="238"/>
    <n v="3088.98"/>
    <n v="226"/>
    <n v="13.668053097345133"/>
    <s v="April"/>
    <s v="Q2"/>
    <s v="Large"/>
  </r>
  <r>
    <s v="Husein Augar"/>
    <s v="Australia"/>
    <s v="50% Dark Bites"/>
    <x v="293"/>
    <n v="14953.43"/>
    <n v="51"/>
    <n v="293.20450980392155"/>
    <s v="August"/>
    <s v="Q3"/>
    <s v="Large"/>
  </r>
  <r>
    <s v="Jan Morforth"/>
    <s v="India"/>
    <s v="Fruit &amp; Nut Bars"/>
    <x v="284"/>
    <n v="3219.13"/>
    <n v="54"/>
    <n v="59.613518518518518"/>
    <s v="May"/>
    <s v="Q2"/>
    <s v="Large"/>
  </r>
  <r>
    <s v="Mallorie Waber"/>
    <s v="USA"/>
    <s v="85% Dark Bars"/>
    <x v="197"/>
    <n v="2700.61"/>
    <n v="112"/>
    <n v="24.112589285714286"/>
    <s v="May"/>
    <s v="Q2"/>
    <s v="Large"/>
  </r>
  <r>
    <s v="Mallorie Waber"/>
    <s v="USA"/>
    <s v="Eclairs"/>
    <x v="295"/>
    <n v="7219.96"/>
    <n v="53"/>
    <n v="136.22566037735848"/>
    <s v="March"/>
    <s v="Q1"/>
    <s v="Large"/>
  </r>
  <r>
    <s v="Dennison Crosswaite"/>
    <s v="Canada"/>
    <s v="Spicy Special Slims"/>
    <x v="218"/>
    <n v="2634.13"/>
    <n v="234"/>
    <n v="11.256965811965813"/>
    <s v="August"/>
    <s v="Q3"/>
    <s v="Large"/>
  </r>
  <r>
    <s v="Dennison Crosswaite"/>
    <s v="USA"/>
    <s v="Fruit &amp; Nut Bars"/>
    <x v="284"/>
    <n v="1630.95"/>
    <n v="321"/>
    <n v="5.0808411214953271"/>
    <s v="May"/>
    <s v="Q2"/>
    <s v="Large"/>
  </r>
  <r>
    <s v="Kelci Walkden"/>
    <s v="USA"/>
    <s v="99% Dark &amp; Pure"/>
    <x v="229"/>
    <n v="8250.66"/>
    <n v="258"/>
    <n v="31.979302325581394"/>
    <s v="August"/>
    <s v="Q3"/>
    <s v="Large"/>
  </r>
  <r>
    <s v="Dotty Strutley"/>
    <s v="Canada"/>
    <s v="Raspberry Choco"/>
    <x v="181"/>
    <n v="4849.3"/>
    <n v="248"/>
    <n v="19.553629032258065"/>
    <s v="August"/>
    <s v="Q3"/>
    <s v="Large"/>
  </r>
  <r>
    <s v="Marney O'Breen"/>
    <s v="New Zealand"/>
    <s v="Milk Bars"/>
    <x v="270"/>
    <n v="7940.49"/>
    <n v="328"/>
    <n v="24.208810975609754"/>
    <s v="January"/>
    <s v="Q1"/>
    <s v="Large"/>
  </r>
  <r>
    <s v="Madelene Upcott"/>
    <s v="Australia"/>
    <s v="Choco Coated Almonds"/>
    <x v="238"/>
    <n v="2106.9299999999998"/>
    <n v="69"/>
    <n v="30.535217391304347"/>
    <s v="April"/>
    <s v="Q2"/>
    <s v="Large"/>
  </r>
  <r>
    <s v="Kelci Walkden"/>
    <s v="UK"/>
    <s v="Orange Choco"/>
    <x v="169"/>
    <n v="3911.85"/>
    <n v="3"/>
    <n v="1303.95"/>
    <s v="August"/>
    <s v="Q3"/>
    <s v="Large"/>
  </r>
  <r>
    <s v="Dennison Crosswaite"/>
    <s v="Canada"/>
    <s v="Eclairs"/>
    <x v="279"/>
    <n v="483.04"/>
    <n v="45"/>
    <n v="10.734222222222222"/>
    <s v="March"/>
    <s v="Q1"/>
    <s v="Small"/>
  </r>
  <r>
    <s v="Karlen McCaffrey"/>
    <s v="India"/>
    <s v="Mint Chip Choco"/>
    <x v="210"/>
    <n v="11380.7"/>
    <n v="192"/>
    <n v="59.274479166666673"/>
    <s v="July"/>
    <s v="Q3"/>
    <s v="Large"/>
  </r>
  <r>
    <s v="Barr Faughny"/>
    <s v="New Zealand"/>
    <s v="Almond Choco"/>
    <x v="178"/>
    <n v="6372.68"/>
    <n v="131"/>
    <n v="48.646412213740462"/>
    <s v="January"/>
    <s v="Q1"/>
    <s v="Large"/>
  </r>
  <r>
    <s v="Mallorie Waber"/>
    <s v="Australia"/>
    <s v="85% Dark Bars"/>
    <x v="224"/>
    <n v="2714.76"/>
    <n v="52"/>
    <n v="52.206923076923083"/>
    <s v="August"/>
    <s v="Q3"/>
    <s v="Large"/>
  </r>
  <r>
    <s v="Ches Bonnell"/>
    <s v="Canada"/>
    <s v="Eclairs"/>
    <x v="221"/>
    <n v="2106.17"/>
    <n v="172"/>
    <n v="12.245174418604652"/>
    <s v="January"/>
    <s v="Q1"/>
    <s v="Large"/>
  </r>
  <r>
    <s v="Gigi Bohling"/>
    <s v="Australia"/>
    <s v="White Choc"/>
    <x v="197"/>
    <n v="5805.24"/>
    <n v="83"/>
    <n v="69.942650602409643"/>
    <s v="May"/>
    <s v="Q2"/>
    <s v="Large"/>
  </r>
  <r>
    <s v="Beverie Moffet"/>
    <s v="New Zealand"/>
    <s v="85% Dark Bars"/>
    <x v="296"/>
    <n v="12205.52"/>
    <n v="23"/>
    <n v="530.67478260869564"/>
    <s v="August"/>
    <s v="Q3"/>
    <s v="Large"/>
  </r>
  <r>
    <s v="Kaine Padly"/>
    <s v="USA"/>
    <s v="Caramel Stuffed Bars"/>
    <x v="297"/>
    <n v="6318.7"/>
    <n v="124"/>
    <n v="50.957258064516125"/>
    <s v="July"/>
    <s v="Q3"/>
    <s v="Large"/>
  </r>
  <r>
    <s v="Mallorie Waber"/>
    <s v="Australia"/>
    <s v="Almond Choco"/>
    <x v="169"/>
    <n v="8522.7999999999993"/>
    <n v="137"/>
    <n v="62.210218978102183"/>
    <s v="August"/>
    <s v="Q3"/>
    <s v="Large"/>
  </r>
  <r>
    <s v="Brien Boise"/>
    <s v="Canada"/>
    <s v="85% Dark Bars"/>
    <x v="188"/>
    <n v="10315.879999999999"/>
    <n v="268"/>
    <n v="38.492089552238802"/>
    <s v="February"/>
    <s v="Q1"/>
    <s v="Large"/>
  </r>
  <r>
    <s v="Brien Boise"/>
    <s v="Australia"/>
    <s v="Drinking Coco"/>
    <x v="277"/>
    <n v="7262.12"/>
    <n v="158"/>
    <n v="45.962784810126578"/>
    <s v="July"/>
    <s v="Q3"/>
    <s v="Large"/>
  </r>
  <r>
    <s v="Dotty Strutley"/>
    <s v="USA"/>
    <s v="Orange Choco"/>
    <x v="205"/>
    <n v="1414.84"/>
    <n v="112"/>
    <n v="12.632499999999999"/>
    <s v="February"/>
    <s v="Q1"/>
    <s v="Large"/>
  </r>
  <r>
    <s v="Rafaelita Blaksland"/>
    <s v="Australia"/>
    <s v="50% Dark Bites"/>
    <x v="295"/>
    <n v="3067.9"/>
    <n v="42"/>
    <n v="73.045238095238091"/>
    <s v="March"/>
    <s v="Q1"/>
    <s v="Large"/>
  </r>
  <r>
    <s v="Dennison Crosswaite"/>
    <s v="India"/>
    <s v="99% Dark &amp; Pure"/>
    <x v="298"/>
    <n v="7369.69"/>
    <n v="325"/>
    <n v="22.67596923076923"/>
    <s v="June"/>
    <s v="Q2"/>
    <s v="Large"/>
  </r>
  <r>
    <s v="Curtice Advani"/>
    <s v="UK"/>
    <s v="White Choc"/>
    <x v="299"/>
    <n v="1775.18"/>
    <n v="73"/>
    <n v="24.317534246575342"/>
    <s v="February"/>
    <s v="Q1"/>
    <s v="Large"/>
  </r>
  <r>
    <s v="Kelci Walkden"/>
    <s v="Australia"/>
    <s v="After Nines"/>
    <x v="220"/>
    <n v="7683.78"/>
    <n v="279"/>
    <n v="27.54043010752688"/>
    <s v="March"/>
    <s v="Q1"/>
    <s v="Large"/>
  </r>
  <r>
    <s v="Gigi Bohling"/>
    <s v="UK"/>
    <s v="Fruit &amp; Nut Bars"/>
    <x v="249"/>
    <n v="1412.22"/>
    <n v="90"/>
    <n v="15.691333333333334"/>
    <s v="April"/>
    <s v="Q2"/>
    <s v="Large"/>
  </r>
  <r>
    <s v="Gunar Cockshoot"/>
    <s v="Australia"/>
    <s v="Raspberry Choco"/>
    <x v="271"/>
    <n v="607.08000000000004"/>
    <n v="76"/>
    <n v="7.9878947368421054"/>
    <s v="March"/>
    <s v="Q1"/>
    <s v="Large"/>
  </r>
  <r>
    <s v="Curtice Advani"/>
    <s v="UK"/>
    <s v="Fruit &amp; Nut Bars"/>
    <x v="300"/>
    <n v="11688.75"/>
    <n v="136"/>
    <n v="85.946691176470594"/>
    <s v="June"/>
    <s v="Q2"/>
    <s v="Large"/>
  </r>
  <r>
    <s v="Barr Faughny"/>
    <s v="Canada"/>
    <s v="50% Dark Bites"/>
    <x v="208"/>
    <n v="10275.549999999999"/>
    <n v="301"/>
    <n v="34.138039867109633"/>
    <s v="July"/>
    <s v="Q3"/>
    <s v="Large"/>
  </r>
  <r>
    <s v="Curtice Advani"/>
    <s v="USA"/>
    <s v="Spicy Special Slims"/>
    <x v="204"/>
    <n v="1788.1"/>
    <n v="271"/>
    <n v="6.5981549815498148"/>
    <s v="July"/>
    <s v="Q3"/>
    <s v="Large"/>
  </r>
  <r>
    <s v="Brien Boise"/>
    <s v="India"/>
    <s v="Almond Choco"/>
    <x v="178"/>
    <n v="2378.08"/>
    <n v="222"/>
    <n v="10.712072072072072"/>
    <s v="January"/>
    <s v="Q1"/>
    <s v="Large"/>
  </r>
  <r>
    <s v="Oby Sorrel"/>
    <s v="New Zealand"/>
    <s v="Smooth Sliky Salty"/>
    <x v="170"/>
    <n v="9545.0300000000007"/>
    <n v="64"/>
    <n v="149.14109375000001"/>
    <s v="July"/>
    <s v="Q3"/>
    <s v="Large"/>
  </r>
  <r>
    <s v="Jan Morforth"/>
    <s v="India"/>
    <s v="85% Dark Bars"/>
    <x v="231"/>
    <n v="4999.5200000000004"/>
    <n v="446"/>
    <n v="11.209686098654709"/>
    <s v="May"/>
    <s v="Q2"/>
    <s v="Large"/>
  </r>
  <r>
    <s v="Marney O'Breen"/>
    <s v="India"/>
    <s v="Fruit &amp; Nut Bars"/>
    <x v="268"/>
    <n v="5312.5"/>
    <n v="160"/>
    <n v="33.203125"/>
    <s v="April"/>
    <s v="Q2"/>
    <s v="Large"/>
  </r>
  <r>
    <s v="Andria Kimpton"/>
    <s v="New Zealand"/>
    <s v="50% Dark Bites"/>
    <x v="220"/>
    <n v="3750.88"/>
    <n v="208"/>
    <n v="18.033076923076923"/>
    <s v="March"/>
    <s v="Q1"/>
    <s v="Large"/>
  </r>
  <r>
    <s v="Gunar Cockshoot"/>
    <s v="Canada"/>
    <s v="Raspberry Choco"/>
    <x v="298"/>
    <n v="2375.7399999999998"/>
    <n v="129"/>
    <n v="18.416589147286821"/>
    <s v="June"/>
    <s v="Q2"/>
    <s v="Large"/>
  </r>
  <r>
    <s v="Kelci Walkden"/>
    <s v="USA"/>
    <s v="Drinking Coco"/>
    <x v="236"/>
    <n v="7013.61"/>
    <n v="170"/>
    <n v="41.256529411764703"/>
    <s v="July"/>
    <s v="Q3"/>
    <s v="Large"/>
  </r>
  <r>
    <s v="Van Tuxwell"/>
    <s v="Canada"/>
    <s v="White Choc"/>
    <x v="295"/>
    <n v="481.52"/>
    <n v="3"/>
    <n v="160.50666666666666"/>
    <s v="March"/>
    <s v="Q1"/>
    <s v="Small"/>
  </r>
  <r>
    <s v="Rafaelita Blaksland"/>
    <s v="USA"/>
    <s v="Baker's Choco Chips"/>
    <x v="301"/>
    <n v="3136.92"/>
    <n v="64"/>
    <n v="49.014375000000001"/>
    <s v="June"/>
    <s v="Q2"/>
    <s v="Large"/>
  </r>
  <r>
    <s v="Van Tuxwell"/>
    <s v="Australia"/>
    <s v="Caramel Stuffed Bars"/>
    <x v="302"/>
    <n v="6584.26"/>
    <n v="62"/>
    <n v="106.19774193548388"/>
    <s v="May"/>
    <s v="Q2"/>
    <s v="Large"/>
  </r>
  <r>
    <s v="Ches Bonnell"/>
    <s v="New Zealand"/>
    <s v="Peanut Butter Cubes"/>
    <x v="240"/>
    <n v="1024.77"/>
    <n v="260"/>
    <n v="3.9414230769230767"/>
    <s v="March"/>
    <s v="Q1"/>
    <s v="Large"/>
  </r>
  <r>
    <s v="Kelci Walkden"/>
    <s v="Canada"/>
    <s v="Milk Bars"/>
    <x v="170"/>
    <n v="17680.189999999999"/>
    <n v="27"/>
    <n v="654.82185185185176"/>
    <s v="July"/>
    <s v="Q3"/>
    <s v="Large"/>
  </r>
  <r>
    <s v="Dennison Crosswaite"/>
    <s v="Canada"/>
    <s v="Choco Coated Almonds"/>
    <x v="178"/>
    <n v="10707.82"/>
    <n v="124"/>
    <n v="86.353387096774185"/>
    <s v="January"/>
    <s v="Q1"/>
    <s v="Large"/>
  </r>
  <r>
    <s v="Curtice Advani"/>
    <s v="Australia"/>
    <s v="Almond Choco"/>
    <x v="225"/>
    <n v="3019.09"/>
    <n v="78"/>
    <n v="38.706282051282052"/>
    <s v="July"/>
    <s v="Q3"/>
    <s v="Large"/>
  </r>
  <r>
    <s v="Madelene Upcott"/>
    <s v="Australia"/>
    <s v="85% Dark Bars"/>
    <x v="254"/>
    <n v="1758.62"/>
    <n v="329"/>
    <n v="5.3453495440729482"/>
    <s v="June"/>
    <s v="Q2"/>
    <s v="Large"/>
  </r>
  <r>
    <s v="Gigi Bohling"/>
    <s v="UK"/>
    <s v="50% Dark Bites"/>
    <x v="303"/>
    <n v="8385.3799999999992"/>
    <n v="73"/>
    <n v="114.86821917808219"/>
    <s v="July"/>
    <s v="Q3"/>
    <s v="Large"/>
  </r>
  <r>
    <s v="Ches Bonnell"/>
    <s v="UK"/>
    <s v="Manuka Honey Choco"/>
    <x v="189"/>
    <n v="4854.12"/>
    <n v="411"/>
    <n v="11.81051094890511"/>
    <s v="May"/>
    <s v="Q2"/>
    <s v="Large"/>
  </r>
  <r>
    <s v="Gigi Bohling"/>
    <s v="UK"/>
    <s v="70% Dark Bites"/>
    <x v="304"/>
    <n v="949.18"/>
    <n v="83"/>
    <n v="11.43590361445783"/>
    <s v="June"/>
    <s v="Q2"/>
    <s v="Large"/>
  </r>
  <r>
    <s v="Jehu Rudeforth"/>
    <s v="Australia"/>
    <s v="Peanut Butter Cubes"/>
    <x v="300"/>
    <n v="6047.05"/>
    <n v="40"/>
    <n v="151.17625000000001"/>
    <s v="June"/>
    <s v="Q2"/>
    <s v="Large"/>
  </r>
  <r>
    <s v="Marney O'Breen"/>
    <s v="India"/>
    <s v="Eclairs"/>
    <x v="178"/>
    <n v="3883.32"/>
    <n v="94"/>
    <n v="41.311914893617022"/>
    <s v="January"/>
    <s v="Q1"/>
    <s v="Large"/>
  </r>
  <r>
    <s v="Curtice Advani"/>
    <s v="Canada"/>
    <s v="Fruit &amp; Nut Bars"/>
    <x v="260"/>
    <n v="4382.07"/>
    <n v="210"/>
    <n v="20.866999999999997"/>
    <s v="April"/>
    <s v="Q2"/>
    <s v="Large"/>
  </r>
  <r>
    <s v="Kaine Padly"/>
    <s v="UK"/>
    <s v="Smooth Sliky Salty"/>
    <x v="186"/>
    <n v="9928.1"/>
    <n v="599"/>
    <n v="16.574457429048415"/>
    <s v="June"/>
    <s v="Q2"/>
    <s v="Large"/>
  </r>
  <r>
    <s v="Karlen McCaffrey"/>
    <s v="Canada"/>
    <s v="Spicy Special Slims"/>
    <x v="241"/>
    <n v="6315.53"/>
    <n v="51"/>
    <n v="123.83392156862745"/>
    <s v="August"/>
    <s v="Q3"/>
    <s v="Large"/>
  </r>
  <r>
    <s v="Kelci Walkden"/>
    <s v="USA"/>
    <s v="Organic Choco Syrup"/>
    <x v="297"/>
    <n v="10630.08"/>
    <n v="155"/>
    <n v="68.581161290322584"/>
    <s v="July"/>
    <s v="Q3"/>
    <s v="Large"/>
  </r>
  <r>
    <s v="Curtice Advani"/>
    <s v="India"/>
    <s v="Spicy Special Slims"/>
    <x v="223"/>
    <n v="167.33"/>
    <n v="143"/>
    <n v="1.1701398601398603"/>
    <s v="June"/>
    <s v="Q2"/>
    <s v="Small"/>
  </r>
  <r>
    <s v="Roddy Speechley"/>
    <s v="India"/>
    <s v="After Nines"/>
    <x v="305"/>
    <n v="2690.14"/>
    <n v="117"/>
    <n v="22.992649572649572"/>
    <s v="June"/>
    <s v="Q2"/>
    <s v="Large"/>
  </r>
  <r>
    <s v="Camilla Castle"/>
    <s v="Australia"/>
    <s v="Caramel Stuffed Bars"/>
    <x v="306"/>
    <n v="3242.04"/>
    <n v="15"/>
    <n v="216.136"/>
    <s v="May"/>
    <s v="Q2"/>
    <s v="Large"/>
  </r>
  <r>
    <s v="Curtice Advani"/>
    <s v="Australia"/>
    <s v="99% Dark &amp; Pure"/>
    <x v="269"/>
    <n v="5363.69"/>
    <n v="87"/>
    <n v="61.651609195402294"/>
    <s v="January"/>
    <s v="Q1"/>
    <s v="Large"/>
  </r>
  <r>
    <s v="Mallorie Waber"/>
    <s v="UK"/>
    <s v="50% Dark Bites"/>
    <x v="252"/>
    <n v="6160.89"/>
    <n v="95"/>
    <n v="64.851473684210532"/>
    <s v="February"/>
    <s v="Q1"/>
    <s v="Large"/>
  </r>
  <r>
    <s v="Ches Bonnell"/>
    <s v="Canada"/>
    <s v="Baker's Choco Chips"/>
    <x v="307"/>
    <n v="7968.23"/>
    <n v="373"/>
    <n v="21.362546916890079"/>
    <s v="March"/>
    <s v="Q1"/>
    <s v="Large"/>
  </r>
  <r>
    <s v="Van Tuxwell"/>
    <s v="UK"/>
    <s v="Drinking Coco"/>
    <x v="260"/>
    <n v="6388.95"/>
    <n v="131"/>
    <n v="48.770610687022902"/>
    <s v="April"/>
    <s v="Q2"/>
    <s v="Large"/>
  </r>
  <r>
    <s v="Gunar Cockshoot"/>
    <s v="Canada"/>
    <s v="Fruit &amp; Nut Bars"/>
    <x v="175"/>
    <n v="15840.74"/>
    <n v="216"/>
    <n v="73.336759259259253"/>
    <s v="March"/>
    <s v="Q1"/>
    <s v="Large"/>
  </r>
  <r>
    <s v="Gunar Cockshoot"/>
    <s v="New Zealand"/>
    <s v="Spicy Special Slims"/>
    <x v="212"/>
    <n v="7265.05"/>
    <n v="194"/>
    <n v="37.448711340206188"/>
    <s v="June"/>
    <s v="Q2"/>
    <s v="Large"/>
  </r>
  <r>
    <s v="Gunar Cockshoot"/>
    <s v="Australia"/>
    <s v="Drinking Coco"/>
    <x v="270"/>
    <n v="2342.4899999999998"/>
    <n v="192"/>
    <n v="12.200468749999999"/>
    <s v="January"/>
    <s v="Q1"/>
    <s v="Large"/>
  </r>
  <r>
    <s v="Karlen McCaffrey"/>
    <s v="New Zealand"/>
    <s v="Fruit &amp; Nut Bars"/>
    <x v="232"/>
    <n v="1365.88"/>
    <n v="147"/>
    <n v="9.2917006802721094"/>
    <s v="February"/>
    <s v="Q1"/>
    <s v="Large"/>
  </r>
  <r>
    <s v="Dennison Crosswaite"/>
    <s v="New Zealand"/>
    <s v="Drinking Coco"/>
    <x v="292"/>
    <n v="4437.46"/>
    <n v="196"/>
    <n v="22.640102040816327"/>
    <s v="January"/>
    <s v="Q1"/>
    <s v="Large"/>
  </r>
  <r>
    <s v="Jehu Rudeforth"/>
    <s v="India"/>
    <s v="99% Dark &amp; Pure"/>
    <x v="243"/>
    <n v="2072.2399999999998"/>
    <n v="232"/>
    <n v="8.9320689655172405"/>
    <s v="February"/>
    <s v="Q1"/>
    <s v="Large"/>
  </r>
  <r>
    <s v="Dotty Strutley"/>
    <s v="Australia"/>
    <s v="Mint Chip Choco"/>
    <x v="169"/>
    <n v="7091.81"/>
    <n v="27"/>
    <n v="262.65962962962965"/>
    <s v="August"/>
    <s v="Q3"/>
    <s v="Large"/>
  </r>
  <r>
    <s v="Roddy Speechley"/>
    <s v="Australia"/>
    <s v="Mint Chip Choco"/>
    <x v="308"/>
    <n v="7213.16"/>
    <n v="277"/>
    <n v="26.040288808664258"/>
    <s v="May"/>
    <s v="Q2"/>
    <s v="Large"/>
  </r>
  <r>
    <s v="Madelene Upcott"/>
    <s v="New Zealand"/>
    <s v="Raspberry Choco"/>
    <x v="211"/>
    <n v="9672.76"/>
    <n v="411"/>
    <n v="23.534695863746958"/>
    <s v="May"/>
    <s v="Q2"/>
    <s v="Large"/>
  </r>
  <r>
    <s v="Dotty Strutley"/>
    <s v="New Zealand"/>
    <s v="Choco Coated Almonds"/>
    <x v="168"/>
    <n v="5750.05"/>
    <n v="350"/>
    <n v="16.428714285714285"/>
    <s v="January"/>
    <s v="Q1"/>
    <s v="Large"/>
  </r>
  <r>
    <s v="Roddy Speechley"/>
    <s v="New Zealand"/>
    <s v="50% Dark Bites"/>
    <x v="290"/>
    <n v="4641.29"/>
    <n v="220"/>
    <n v="21.096772727272729"/>
    <s v="May"/>
    <s v="Q2"/>
    <s v="Large"/>
  </r>
  <r>
    <s v="Rafaelita Blaksland"/>
    <s v="India"/>
    <s v="Smooth Sliky Salty"/>
    <x v="309"/>
    <n v="1871.33"/>
    <n v="88"/>
    <n v="21.265113636363637"/>
    <s v="May"/>
    <s v="Q2"/>
    <s v="Large"/>
  </r>
  <r>
    <s v="Husein Augar"/>
    <s v="UK"/>
    <s v="White Choc"/>
    <x v="178"/>
    <n v="10843.46"/>
    <n v="142"/>
    <n v="76.362394366197179"/>
    <s v="January"/>
    <s v="Q1"/>
    <s v="Large"/>
  </r>
  <r>
    <s v="Roddy Speechley"/>
    <s v="Australia"/>
    <s v="Almond Choco"/>
    <x v="300"/>
    <n v="5032.45"/>
    <n v="79"/>
    <n v="63.701898734177213"/>
    <s v="June"/>
    <s v="Q2"/>
    <s v="Large"/>
  </r>
  <r>
    <s v="Van Tuxwell"/>
    <s v="USA"/>
    <s v="Caramel Stuffed Bars"/>
    <x v="183"/>
    <n v="1106.3800000000001"/>
    <n v="21"/>
    <n v="52.684761904761913"/>
    <s v="February"/>
    <s v="Q1"/>
    <s v="Large"/>
  </r>
  <r>
    <s v="Camilla Castle"/>
    <s v="Australia"/>
    <s v="99% Dark &amp; Pure"/>
    <x v="261"/>
    <n v="4977.55"/>
    <n v="97"/>
    <n v="51.314948453608253"/>
    <s v="January"/>
    <s v="Q1"/>
    <s v="Large"/>
  </r>
  <r>
    <s v="Kaine Padly"/>
    <s v="India"/>
    <s v="Milk Bars"/>
    <x v="306"/>
    <n v="3210.14"/>
    <n v="92"/>
    <n v="34.892826086956518"/>
    <s v="May"/>
    <s v="Q2"/>
    <s v="Large"/>
  </r>
  <r>
    <s v="Ches Bonnell"/>
    <s v="Australia"/>
    <s v="Smooth Sliky Salty"/>
    <x v="213"/>
    <n v="7794.8"/>
    <n v="54"/>
    <n v="144.34814814814814"/>
    <s v="May"/>
    <s v="Q2"/>
    <s v="Large"/>
  </r>
  <r>
    <s v="Mallorie Waber"/>
    <s v="USA"/>
    <s v="Almond Choco"/>
    <x v="250"/>
    <n v="7613.37"/>
    <n v="370"/>
    <n v="20.576675675675677"/>
    <s v="January"/>
    <s v="Q1"/>
    <s v="Large"/>
  </r>
  <r>
    <s v="Kaine Padly"/>
    <s v="Canada"/>
    <s v="99% Dark &amp; Pure"/>
    <x v="300"/>
    <n v="1332.76"/>
    <n v="409"/>
    <n v="3.2585819070904645"/>
    <s v="June"/>
    <s v="Q2"/>
    <s v="Large"/>
  </r>
  <r>
    <s v="Oby Sorrel"/>
    <s v="UK"/>
    <s v="After Nines"/>
    <x v="303"/>
    <n v="2587.7600000000002"/>
    <n v="108"/>
    <n v="23.960740740740743"/>
    <s v="July"/>
    <s v="Q3"/>
    <s v="Large"/>
  </r>
  <r>
    <s v="Gunar Cockshoot"/>
    <s v="UK"/>
    <s v="Eclairs"/>
    <x v="268"/>
    <n v="3826.22"/>
    <n v="169"/>
    <n v="22.640355029585798"/>
    <s v="April"/>
    <s v="Q2"/>
    <s v="Large"/>
  </r>
  <r>
    <s v="Dotty Strutley"/>
    <s v="USA"/>
    <s v="Caramel Stuffed Bars"/>
    <x v="203"/>
    <n v="18687.87"/>
    <n v="80"/>
    <n v="233.59837499999998"/>
    <s v="April"/>
    <s v="Q2"/>
    <s v="Large"/>
  </r>
  <r>
    <s v="Jan Morforth"/>
    <s v="India"/>
    <s v="Peanut Butter Cubes"/>
    <x v="168"/>
    <n v="8859.6299999999992"/>
    <n v="184"/>
    <n v="48.150163043478258"/>
    <s v="January"/>
    <s v="Q1"/>
    <s v="Large"/>
  </r>
  <r>
    <s v="Husein Augar"/>
    <s v="Australia"/>
    <s v="Eclairs"/>
    <x v="177"/>
    <n v="7299.4"/>
    <n v="34"/>
    <n v="214.68823529411765"/>
    <s v="July"/>
    <s v="Q3"/>
    <s v="Large"/>
  </r>
  <r>
    <s v="Beverie Moffet"/>
    <s v="USA"/>
    <s v="Smooth Sliky Salty"/>
    <x v="175"/>
    <n v="2556.2600000000002"/>
    <n v="354"/>
    <n v="7.2210734463276847"/>
    <s v="March"/>
    <s v="Q1"/>
    <s v="Large"/>
  </r>
  <r>
    <s v="Camilla Castle"/>
    <s v="Australia"/>
    <s v="Manuka Honey Choco"/>
    <x v="271"/>
    <n v="703.4"/>
    <n v="181"/>
    <n v="3.8861878453038674"/>
    <s v="March"/>
    <s v="Q1"/>
    <s v="Large"/>
  </r>
  <r>
    <s v="Oby Sorrel"/>
    <s v="Australia"/>
    <s v="Almond Choco"/>
    <x v="310"/>
    <n v="6421.18"/>
    <n v="242"/>
    <n v="26.533801652892564"/>
    <s v="February"/>
    <s v="Q1"/>
    <s v="Large"/>
  </r>
  <r>
    <s v="Jan Morforth"/>
    <s v="USA"/>
    <s v="Orange Choco"/>
    <x v="196"/>
    <n v="1048.26"/>
    <n v="149"/>
    <n v="7.035302013422819"/>
    <s v="June"/>
    <s v="Q2"/>
    <s v="Large"/>
  </r>
  <r>
    <s v="Gigi Bohling"/>
    <s v="USA"/>
    <s v="Fruit &amp; Nut Bars"/>
    <x v="195"/>
    <n v="3099.14"/>
    <n v="115"/>
    <n v="26.949043478260869"/>
    <s v="May"/>
    <s v="Q2"/>
    <s v="Large"/>
  </r>
  <r>
    <s v="Mallorie Waber"/>
    <s v="UK"/>
    <s v="Milk Bars"/>
    <x v="221"/>
    <n v="3737.68"/>
    <n v="282"/>
    <n v="13.254184397163121"/>
    <s v="January"/>
    <s v="Q1"/>
    <s v="Large"/>
  </r>
  <r>
    <s v="Curtice Advani"/>
    <s v="USA"/>
    <s v="Raspberry Choco"/>
    <x v="279"/>
    <n v="3086.89"/>
    <n v="153"/>
    <n v="20.175751633986927"/>
    <s v="March"/>
    <s v="Q1"/>
    <s v="Large"/>
  </r>
  <r>
    <s v="Marney O'Breen"/>
    <s v="Canada"/>
    <s v="Milk Bars"/>
    <x v="311"/>
    <n v="2618.15"/>
    <n v="312"/>
    <n v="8.3915064102564099"/>
    <s v="February"/>
    <s v="Q1"/>
    <s v="Large"/>
  </r>
  <r>
    <s v="Brien Boise"/>
    <s v="India"/>
    <s v="Caramel Stuffed Bars"/>
    <x v="243"/>
    <n v="1643.45"/>
    <n v="110"/>
    <n v="14.940454545454546"/>
    <s v="February"/>
    <s v="Q1"/>
    <s v="Large"/>
  </r>
  <r>
    <s v="Gunar Cockshoot"/>
    <s v="USA"/>
    <s v="Eclairs"/>
    <x v="312"/>
    <n v="7368.94"/>
    <n v="45"/>
    <n v="163.75422222222221"/>
    <s v="May"/>
    <s v="Q2"/>
    <s v="Large"/>
  </r>
  <r>
    <s v="Roddy Speechley"/>
    <s v="USA"/>
    <s v="Fruit &amp; Nut Bars"/>
    <x v="275"/>
    <n v="6082.19"/>
    <n v="23"/>
    <n v="264.44304347826085"/>
    <s v="June"/>
    <s v="Q2"/>
    <s v="Large"/>
  </r>
  <r>
    <s v="Gunar Cockshoot"/>
    <s v="India"/>
    <s v="50% Dark Bites"/>
    <x v="313"/>
    <n v="14456.14"/>
    <n v="79"/>
    <n v="182.98911392405063"/>
    <s v="August"/>
    <s v="Q3"/>
    <s v="Large"/>
  </r>
  <r>
    <s v="Wilone O'Kielt"/>
    <s v="New Zealand"/>
    <s v="Manuka Honey Choco"/>
    <x v="204"/>
    <n v="4173.3999999999996"/>
    <n v="254"/>
    <n v="16.43070866141732"/>
    <s v="July"/>
    <s v="Q3"/>
    <s v="Large"/>
  </r>
  <r>
    <s v="Kaine Padly"/>
    <s v="UK"/>
    <s v="Manuka Honey Choco"/>
    <x v="270"/>
    <n v="7189.18"/>
    <n v="113"/>
    <n v="63.621061946902657"/>
    <s v="January"/>
    <s v="Q1"/>
    <s v="Large"/>
  </r>
  <r>
    <s v="Van Tuxwell"/>
    <s v="Canada"/>
    <s v="Manuka Honey Choco"/>
    <x v="172"/>
    <n v="8962.9599999999991"/>
    <n v="48"/>
    <n v="186.72833333333332"/>
    <s v="February"/>
    <s v="Q1"/>
    <s v="Large"/>
  </r>
  <r>
    <s v="Wilone O'Kielt"/>
    <s v="New Zealand"/>
    <s v="Almond Choco"/>
    <x v="279"/>
    <n v="10085.02"/>
    <n v="146"/>
    <n v="69.075479452054793"/>
    <s v="March"/>
    <s v="Q1"/>
    <s v="Large"/>
  </r>
  <r>
    <s v="Oby Sorrel"/>
    <s v="New Zealand"/>
    <s v="Baker's Choco Chips"/>
    <x v="259"/>
    <n v="12073.18"/>
    <n v="51"/>
    <n v="236.72901960784316"/>
    <s v="April"/>
    <s v="Q2"/>
    <s v="Large"/>
  </r>
  <r>
    <s v="Dennison Crosswaite"/>
    <s v="Australia"/>
    <s v="Organic Choco Syrup"/>
    <x v="314"/>
    <n v="6655.62"/>
    <n v="39"/>
    <n v="170.65692307692308"/>
    <s v="May"/>
    <s v="Q2"/>
    <s v="Large"/>
  </r>
  <r>
    <s v="Marney O'Breen"/>
    <s v="Australia"/>
    <s v="Spicy Special Slims"/>
    <x v="298"/>
    <n v="14193.67"/>
    <n v="302"/>
    <n v="46.998907284768215"/>
    <s v="June"/>
    <s v="Q2"/>
    <s v="Large"/>
  </r>
  <r>
    <s v="Beverie Moffet"/>
    <s v="Canada"/>
    <s v="Smooth Sliky Salty"/>
    <x v="191"/>
    <n v="15507.29"/>
    <n v="352"/>
    <n v="44.054801136363636"/>
    <s v="February"/>
    <s v="Q1"/>
    <s v="Large"/>
  </r>
  <r>
    <s v="Brien Boise"/>
    <s v="USA"/>
    <s v="Organic Choco Syrup"/>
    <x v="231"/>
    <n v="17383.080000000002"/>
    <n v="145"/>
    <n v="119.88331034482759"/>
    <s v="May"/>
    <s v="Q2"/>
    <s v="Large"/>
  </r>
  <r>
    <s v="Roddy Speechley"/>
    <s v="New Zealand"/>
    <s v="Baker's Choco Chips"/>
    <x v="273"/>
    <n v="5912.59"/>
    <n v="232"/>
    <n v="25.485301724137933"/>
    <s v="February"/>
    <s v="Q1"/>
    <s v="Large"/>
  </r>
  <r>
    <s v="Van Tuxwell"/>
    <s v="UK"/>
    <s v="85% Dark Bars"/>
    <x v="204"/>
    <n v="4029.28"/>
    <n v="128"/>
    <n v="31.478750000000002"/>
    <s v="July"/>
    <s v="Q3"/>
    <s v="Large"/>
  </r>
  <r>
    <s v="Marney O'Breen"/>
    <s v="Canada"/>
    <s v="Spicy Special Slims"/>
    <x v="235"/>
    <n v="3563.09"/>
    <n v="344"/>
    <n v="10.35781976744186"/>
    <s v="January"/>
    <s v="Q1"/>
    <s v="Large"/>
  </r>
  <r>
    <s v="Rafaelita Blaksland"/>
    <s v="New Zealand"/>
    <s v="70% Dark Bites"/>
    <x v="200"/>
    <n v="773.73"/>
    <n v="280"/>
    <n v="2.7633214285714285"/>
    <s v="August"/>
    <s v="Q3"/>
    <s v="Large"/>
  </r>
  <r>
    <s v="Beverie Moffet"/>
    <s v="USA"/>
    <s v="50% Dark Bites"/>
    <x v="180"/>
    <n v="2620.19"/>
    <n v="340"/>
    <n v="7.7064411764705882"/>
    <s v="July"/>
    <s v="Q3"/>
    <s v="Large"/>
  </r>
  <r>
    <s v="Brien Boise"/>
    <s v="USA"/>
    <s v="Mint Chip Choco"/>
    <x v="231"/>
    <n v="11426.56"/>
    <n v="151"/>
    <n v="75.672582781456953"/>
    <s v="May"/>
    <s v="Q2"/>
    <s v="Large"/>
  </r>
  <r>
    <s v="Karlen McCaffrey"/>
    <s v="New Zealand"/>
    <s v="Eclairs"/>
    <x v="309"/>
    <n v="2935.8"/>
    <n v="171"/>
    <n v="17.168421052631579"/>
    <s v="May"/>
    <s v="Q2"/>
    <s v="Large"/>
  </r>
  <r>
    <s v="Barr Faughny"/>
    <s v="India"/>
    <s v="Drinking Coco"/>
    <x v="250"/>
    <n v="2431.5300000000002"/>
    <n v="148"/>
    <n v="16.429256756756757"/>
    <s v="January"/>
    <s v="Q1"/>
    <s v="Large"/>
  </r>
  <r>
    <s v="Marney O'Breen"/>
    <s v="UK"/>
    <s v="Orange Choco"/>
    <x v="173"/>
    <n v="11882.82"/>
    <n v="13"/>
    <n v="914.06307692307689"/>
    <s v="June"/>
    <s v="Q2"/>
    <s v="Large"/>
  </r>
  <r>
    <s v="Brien Boise"/>
    <s v="New Zealand"/>
    <s v="Baker's Choco Chips"/>
    <x v="265"/>
    <n v="6297.06"/>
    <n v="26"/>
    <n v="242.19461538461539"/>
    <s v="July"/>
    <s v="Q3"/>
    <s v="Large"/>
  </r>
  <r>
    <s v="Ches Bonnell"/>
    <s v="Canada"/>
    <s v="Spicy Special Slims"/>
    <x v="315"/>
    <n v="5859.21"/>
    <n v="193"/>
    <n v="30.35860103626943"/>
    <s v="August"/>
    <s v="Q3"/>
    <s v="Large"/>
  </r>
  <r>
    <s v="Brien Boise"/>
    <s v="USA"/>
    <s v="Orange Choco"/>
    <x v="250"/>
    <n v="6276.91"/>
    <n v="157"/>
    <n v="39.980318471337576"/>
    <s v="January"/>
    <s v="Q1"/>
    <s v="Large"/>
  </r>
  <r>
    <s v="Kaine Padly"/>
    <s v="India"/>
    <s v="Spicy Special Slims"/>
    <x v="316"/>
    <n v="5674.7"/>
    <n v="147"/>
    <n v="38.603401360544218"/>
    <s v="August"/>
    <s v="Q3"/>
    <s v="Large"/>
  </r>
  <r>
    <s v="Mallorie Waber"/>
    <s v="USA"/>
    <s v="50% Dark Bites"/>
    <x v="209"/>
    <n v="1960.1"/>
    <n v="14"/>
    <n v="140.00714285714284"/>
    <s v="April"/>
    <s v="Q2"/>
    <s v="Large"/>
  </r>
  <r>
    <s v="Mallorie Waber"/>
    <s v="UK"/>
    <s v="Mint Chip Choco"/>
    <x v="196"/>
    <n v="6540.3"/>
    <n v="2"/>
    <n v="3270.15"/>
    <s v="June"/>
    <s v="Q2"/>
    <s v="Large"/>
  </r>
  <r>
    <s v="Beverie Moffet"/>
    <s v="India"/>
    <s v="Choco Coated Almonds"/>
    <x v="172"/>
    <n v="3818.21"/>
    <n v="287"/>
    <n v="13.303867595818815"/>
    <s v="February"/>
    <s v="Q1"/>
    <s v="Large"/>
  </r>
  <r>
    <s v="Madelene Upcott"/>
    <s v="UK"/>
    <s v="Smooth Sliky Salty"/>
    <x v="240"/>
    <n v="14769.97"/>
    <n v="87"/>
    <n v="169.76977011494253"/>
    <s v="March"/>
    <s v="Q1"/>
    <s v="Large"/>
  </r>
  <r>
    <s v="Gigi Bohling"/>
    <s v="India"/>
    <s v="Eclairs"/>
    <x v="304"/>
    <n v="3687.44"/>
    <n v="73"/>
    <n v="50.512876712328769"/>
    <s v="June"/>
    <s v="Q2"/>
    <s v="Large"/>
  </r>
  <r>
    <s v="Rafaelita Blaksland"/>
    <s v="Australia"/>
    <s v="Organic Choco Syrup"/>
    <x v="182"/>
    <n v="1123.58"/>
    <n v="114"/>
    <n v="9.8559649122807009"/>
    <s v="January"/>
    <s v="Q1"/>
    <s v="Large"/>
  </r>
  <r>
    <s v="Oby Sorrel"/>
    <s v="New Zealand"/>
    <s v="White Choc"/>
    <x v="207"/>
    <n v="4612.08"/>
    <n v="38"/>
    <n v="121.37052631578948"/>
    <s v="June"/>
    <s v="Q2"/>
    <s v="Large"/>
  </r>
  <r>
    <s v="Andria Kimpton"/>
    <s v="UK"/>
    <s v="Drinking Coco"/>
    <x v="291"/>
    <n v="1600.11"/>
    <n v="70"/>
    <n v="22.858714285714285"/>
    <s v="May"/>
    <s v="Q2"/>
    <s v="Large"/>
  </r>
  <r>
    <s v="Kelci Walkden"/>
    <s v="India"/>
    <s v="Milk Bars"/>
    <x v="203"/>
    <n v="975.67"/>
    <n v="105"/>
    <n v="9.2920952380952375"/>
    <s v="April"/>
    <s v="Q2"/>
    <s v="Large"/>
  </r>
  <r>
    <s v="Karlen McCaffrey"/>
    <s v="New Zealand"/>
    <s v="Caramel Stuffed Bars"/>
    <x v="228"/>
    <n v="5487.3"/>
    <n v="219"/>
    <n v="25.056164383561644"/>
    <s v="January"/>
    <s v="Q1"/>
    <s v="Large"/>
  </r>
  <r>
    <s v="Andria Kimpton"/>
    <s v="New Zealand"/>
    <s v="Organic Choco Syrup"/>
    <x v="240"/>
    <n v="4948.1499999999996"/>
    <n v="39"/>
    <n v="126.87564102564102"/>
    <s v="March"/>
    <s v="Q1"/>
    <s v="Large"/>
  </r>
  <r>
    <s v="Barr Faughny"/>
    <s v="New Zealand"/>
    <s v="After Nines"/>
    <x v="209"/>
    <n v="11460.08"/>
    <n v="81"/>
    <n v="141.48246913580246"/>
    <s v="April"/>
    <s v="Q2"/>
    <s v="Large"/>
  </r>
  <r>
    <s v="Beverie Moffet"/>
    <s v="UK"/>
    <s v="Almond Choco"/>
    <x v="213"/>
    <n v="2628.33"/>
    <n v="101"/>
    <n v="26.023069306930694"/>
    <s v="May"/>
    <s v="Q2"/>
    <s v="Large"/>
  </r>
  <r>
    <s v="Oby Sorrel"/>
    <s v="Australia"/>
    <s v="Raspberry Choco"/>
    <x v="188"/>
    <n v="1044.3499999999999"/>
    <n v="126"/>
    <n v="8.2884920634920629"/>
    <s v="February"/>
    <s v="Q1"/>
    <s v="Large"/>
  </r>
  <r>
    <s v="Dennison Crosswaite"/>
    <s v="USA"/>
    <s v="Raspberry Choco"/>
    <x v="261"/>
    <n v="7449.7"/>
    <n v="264"/>
    <n v="28.218560606060606"/>
    <s v="January"/>
    <s v="Q1"/>
    <s v="Large"/>
  </r>
  <r>
    <s v="Roddy Speechley"/>
    <s v="Canada"/>
    <s v="Orange Choco"/>
    <x v="192"/>
    <n v="9315.64"/>
    <n v="88"/>
    <n v="105.85954545454545"/>
    <s v="February"/>
    <s v="Q1"/>
    <s v="Large"/>
  </r>
  <r>
    <s v="Mallorie Waber"/>
    <s v="Canada"/>
    <s v="Orange Choco"/>
    <x v="253"/>
    <n v="3820.94"/>
    <n v="179"/>
    <n v="21.346033519553075"/>
    <s v="March"/>
    <s v="Q1"/>
    <s v="Large"/>
  </r>
  <r>
    <s v="Madelene Upcott"/>
    <s v="New Zealand"/>
    <s v="Caramel Stuffed Bars"/>
    <x v="299"/>
    <n v="3782.83"/>
    <n v="150"/>
    <n v="25.218866666666667"/>
    <s v="February"/>
    <s v="Q1"/>
    <s v="Large"/>
  </r>
  <r>
    <s v="Mallorie Waber"/>
    <s v="India"/>
    <s v="Drinking Coco"/>
    <x v="234"/>
    <n v="4525.72"/>
    <n v="146"/>
    <n v="30.998082191780824"/>
    <s v="March"/>
    <s v="Q1"/>
    <s v="Large"/>
  </r>
  <r>
    <s v="Ches Bonnell"/>
    <s v="UK"/>
    <s v="White Choc"/>
    <x v="235"/>
    <n v="3730.79"/>
    <n v="237"/>
    <n v="15.741729957805907"/>
    <s v="January"/>
    <s v="Q1"/>
    <s v="Large"/>
  </r>
  <r>
    <s v="Ches Bonnell"/>
    <s v="USA"/>
    <s v="White Choc"/>
    <x v="226"/>
    <n v="6068.19"/>
    <n v="349"/>
    <n v="17.387363896848136"/>
    <s v="February"/>
    <s v="Q1"/>
    <s v="Large"/>
  </r>
  <r>
    <s v="Dennison Crosswaite"/>
    <s v="New Zealand"/>
    <s v="Orange Choco"/>
    <x v="251"/>
    <n v="4944.46"/>
    <n v="144"/>
    <n v="34.336527777777775"/>
    <s v="March"/>
    <s v="Q1"/>
    <s v="Large"/>
  </r>
  <r>
    <s v="Dotty Strutley"/>
    <s v="India"/>
    <s v="White Choc"/>
    <x v="256"/>
    <n v="12331.35"/>
    <n v="337"/>
    <n v="36.591543026706233"/>
    <s v="August"/>
    <s v="Q3"/>
    <s v="Large"/>
  </r>
  <r>
    <s v="Gigi Bohling"/>
    <s v="India"/>
    <s v="Manuka Honey Choco"/>
    <x v="233"/>
    <n v="5290.76"/>
    <n v="76"/>
    <n v="69.615263157894745"/>
    <s v="May"/>
    <s v="Q2"/>
    <s v="Large"/>
  </r>
  <r>
    <s v="Van Tuxwell"/>
    <s v="India"/>
    <s v="Spicy Special Slims"/>
    <x v="317"/>
    <n v="6874.06"/>
    <n v="4"/>
    <n v="1718.5150000000001"/>
    <s v="April"/>
    <s v="Q2"/>
    <s v="Large"/>
  </r>
  <r>
    <s v="Jan Morforth"/>
    <s v="New Zealand"/>
    <s v="Mint Chip Choco"/>
    <x v="198"/>
    <n v="20402.169999999998"/>
    <n v="297"/>
    <n v="68.694175084175072"/>
    <s v="June"/>
    <s v="Q2"/>
    <s v="Large"/>
  </r>
  <r>
    <s v="Dotty Strutley"/>
    <s v="New Zealand"/>
    <s v="White Choc"/>
    <x v="194"/>
    <n v="7923.1"/>
    <n v="62"/>
    <n v="127.79193548387097"/>
    <s v="June"/>
    <s v="Q2"/>
    <s v="Large"/>
  </r>
  <r>
    <s v="Rafaelita Blaksland"/>
    <s v="Canada"/>
    <s v="Caramel Stuffed Bars"/>
    <x v="169"/>
    <n v="8145.99"/>
    <n v="100"/>
    <n v="81.459900000000005"/>
    <s v="August"/>
    <s v="Q3"/>
    <s v="Large"/>
  </r>
  <r>
    <s v="Kaine Padly"/>
    <s v="USA"/>
    <s v="Milk Bars"/>
    <x v="194"/>
    <n v="16253.25"/>
    <n v="58"/>
    <n v="280.22844827586209"/>
    <s v="June"/>
    <s v="Q2"/>
    <s v="Large"/>
  </r>
  <r>
    <s v="Brien Boise"/>
    <s v="India"/>
    <s v="After Nines"/>
    <x v="254"/>
    <n v="5744.07"/>
    <n v="49"/>
    <n v="117.22591836734694"/>
    <s v="June"/>
    <s v="Q2"/>
    <s v="Large"/>
  </r>
  <r>
    <s v="Oby Sorrel"/>
    <s v="New Zealand"/>
    <s v="Raspberry Choco"/>
    <x v="278"/>
    <n v="4908.71"/>
    <n v="288"/>
    <n v="17.044131944444445"/>
    <s v="May"/>
    <s v="Q2"/>
    <s v="Large"/>
  </r>
  <r>
    <s v="Dennison Crosswaite"/>
    <s v="USA"/>
    <s v="Drinking Coco"/>
    <x v="314"/>
    <n v="2369.87"/>
    <n v="139"/>
    <n v="17.049424460431656"/>
    <s v="May"/>
    <s v="Q2"/>
    <s v="Large"/>
  </r>
  <r>
    <s v="Oby Sorrel"/>
    <s v="India"/>
    <s v="Eclairs"/>
    <x v="242"/>
    <n v="5973.24"/>
    <n v="337"/>
    <n v="17.724747774480711"/>
    <s v="August"/>
    <s v="Q3"/>
    <s v="Large"/>
  </r>
  <r>
    <s v="Ches Bonnell"/>
    <s v="New Zealand"/>
    <s v="Organic Choco Syrup"/>
    <x v="210"/>
    <n v="8047.16"/>
    <n v="86"/>
    <n v="93.571627906976744"/>
    <s v="July"/>
    <s v="Q3"/>
    <s v="Large"/>
  </r>
  <r>
    <s v="Gigi Bohling"/>
    <s v="UK"/>
    <s v="Baker's Choco Chips"/>
    <x v="213"/>
    <n v="9656.56"/>
    <n v="400"/>
    <n v="24.141399999999997"/>
    <s v="May"/>
    <s v="Q2"/>
    <s v="Large"/>
  </r>
  <r>
    <s v="Jan Morforth"/>
    <s v="Australia"/>
    <s v="50% Dark Bites"/>
    <x v="275"/>
    <n v="3925.06"/>
    <n v="186"/>
    <n v="21.102473118279569"/>
    <s v="June"/>
    <s v="Q2"/>
    <s v="Large"/>
  </r>
  <r>
    <s v="Beverie Moffet"/>
    <s v="Australia"/>
    <s v="Smooth Sliky Salty"/>
    <x v="174"/>
    <n v="11682.62"/>
    <n v="506"/>
    <n v="23.08818181818182"/>
    <s v="January"/>
    <s v="Q1"/>
    <s v="Large"/>
  </r>
  <r>
    <s v="Ches Bonnell"/>
    <s v="USA"/>
    <s v="Organic Choco Syrup"/>
    <x v="180"/>
    <n v="7874.15"/>
    <n v="13"/>
    <n v="605.70384615384614"/>
    <s v="July"/>
    <s v="Q3"/>
    <s v="Large"/>
  </r>
  <r>
    <s v="Brien Boise"/>
    <s v="Canada"/>
    <s v="Mint Chip Choco"/>
    <x v="250"/>
    <n v="5061.37"/>
    <n v="179"/>
    <n v="28.275810055865922"/>
    <s v="January"/>
    <s v="Q1"/>
    <s v="Large"/>
  </r>
  <r>
    <s v="Kaine Padly"/>
    <s v="UK"/>
    <s v="Orange Choco"/>
    <x v="196"/>
    <n v="2099.2399999999998"/>
    <n v="186"/>
    <n v="11.286236559139784"/>
    <s v="June"/>
    <s v="Q2"/>
    <s v="Large"/>
  </r>
  <r>
    <s v="Karlen McCaffrey"/>
    <s v="Australia"/>
    <s v="70% Dark Bites"/>
    <x v="300"/>
    <n v="237.57"/>
    <n v="311"/>
    <n v="0.7638906752411575"/>
    <s v="June"/>
    <s v="Q2"/>
    <s v="Small"/>
  </r>
  <r>
    <s v="Gunar Cockshoot"/>
    <s v="Canada"/>
    <s v="Mint Chip Choco"/>
    <x v="282"/>
    <n v="8829.77"/>
    <n v="445"/>
    <n v="19.842179775280901"/>
    <s v="July"/>
    <s v="Q3"/>
    <s v="Large"/>
  </r>
  <r>
    <s v="Roddy Speechley"/>
    <s v="USA"/>
    <s v="Peanut Butter Cubes"/>
    <x v="243"/>
    <n v="1733.09"/>
    <n v="135"/>
    <n v="12.837703703703703"/>
    <s v="February"/>
    <s v="Q1"/>
    <s v="Large"/>
  </r>
  <r>
    <s v="Curtice Advani"/>
    <s v="Canada"/>
    <s v="Smooth Sliky Salty"/>
    <x v="169"/>
    <n v="3047.18"/>
    <n v="12"/>
    <n v="253.93166666666664"/>
    <s v="August"/>
    <s v="Q3"/>
    <s v="Large"/>
  </r>
  <r>
    <s v="Oby Sorrel"/>
    <s v="Australia"/>
    <s v="Milk Bars"/>
    <x v="304"/>
    <n v="8497.7199999999993"/>
    <n v="276"/>
    <n v="30.788840579710143"/>
    <s v="June"/>
    <s v="Q2"/>
    <s v="Large"/>
  </r>
  <r>
    <s v="Camilla Castle"/>
    <s v="New Zealand"/>
    <s v="Spicy Special Slims"/>
    <x v="174"/>
    <n v="12557.56"/>
    <n v="26"/>
    <n v="482.98307692307691"/>
    <s v="January"/>
    <s v="Q1"/>
    <s v="Large"/>
  </r>
  <r>
    <s v="Gigi Bohling"/>
    <s v="UK"/>
    <s v="Milk Bars"/>
    <x v="302"/>
    <n v="1406.91"/>
    <n v="231"/>
    <n v="6.0905194805194807"/>
    <s v="May"/>
    <s v="Q2"/>
    <s v="Large"/>
  </r>
  <r>
    <s v="Andria Kimpton"/>
    <s v="Australia"/>
    <s v="85% Dark Bars"/>
    <x v="230"/>
    <n v="4496.32"/>
    <n v="240"/>
    <n v="18.734666666666666"/>
    <s v="August"/>
    <s v="Q3"/>
    <s v="Large"/>
  </r>
  <r>
    <s v="Camilla Castle"/>
    <s v="Australia"/>
    <s v="Smooth Sliky Salty"/>
    <x v="318"/>
    <n v="8220.25"/>
    <n v="125"/>
    <n v="65.762"/>
    <s v="March"/>
    <s v="Q1"/>
    <s v="Large"/>
  </r>
  <r>
    <s v="Roddy Speechley"/>
    <s v="India"/>
    <s v="Caramel Stuffed Bars"/>
    <x v="189"/>
    <n v="9588.0300000000007"/>
    <n v="562"/>
    <n v="17.060551601423487"/>
    <s v="May"/>
    <s v="Q2"/>
    <s v="Large"/>
  </r>
  <r>
    <s v="Karlen McCaffrey"/>
    <s v="USA"/>
    <s v="Drinking Coco"/>
    <x v="196"/>
    <n v="114.82"/>
    <n v="231"/>
    <n v="0.49705627705627703"/>
    <s v="June"/>
    <s v="Q2"/>
    <s v="Small"/>
  </r>
  <r>
    <s v="Andria Kimpton"/>
    <s v="Canada"/>
    <s v="Organic Choco Syrup"/>
    <x v="168"/>
    <n v="8804.98"/>
    <n v="214"/>
    <n v="41.144766355140185"/>
    <s v="January"/>
    <s v="Q1"/>
    <s v="Large"/>
  </r>
  <r>
    <s v="Jehu Rudeforth"/>
    <s v="Australia"/>
    <s v="Drinking Coco"/>
    <x v="270"/>
    <n v="2900.61"/>
    <n v="68"/>
    <n v="42.656029411764706"/>
    <s v="January"/>
    <s v="Q1"/>
    <s v="Large"/>
  </r>
  <r>
    <s v="Karlen McCaffrey"/>
    <s v="USA"/>
    <s v="Mint Chip Choco"/>
    <x v="310"/>
    <n v="16773.080000000002"/>
    <n v="58"/>
    <n v="289.19103448275865"/>
    <s v="February"/>
    <s v="Q1"/>
    <s v="Large"/>
  </r>
  <r>
    <s v="Curtice Advani"/>
    <s v="New Zealand"/>
    <s v="Spicy Special Slims"/>
    <x v="221"/>
    <n v="4153.59"/>
    <n v="513"/>
    <n v="8.0966666666666676"/>
    <s v="January"/>
    <s v="Q1"/>
    <s v="Large"/>
  </r>
  <r>
    <s v="Madelene Upcott"/>
    <s v="USA"/>
    <s v="White Choc"/>
    <x v="284"/>
    <n v="12571.07"/>
    <n v="226"/>
    <n v="55.624203539823007"/>
    <s v="May"/>
    <s v="Q2"/>
    <s v="Large"/>
  </r>
  <r>
    <s v="Andria Kimpton"/>
    <s v="USA"/>
    <s v="Spicy Special Slims"/>
    <x v="291"/>
    <n v="2553.46"/>
    <n v="5"/>
    <n v="510.69200000000001"/>
    <s v="May"/>
    <s v="Q2"/>
    <s v="Large"/>
  </r>
  <r>
    <s v="Barr Faughny"/>
    <s v="New Zealand"/>
    <s v="Fruit &amp; Nut Bars"/>
    <x v="319"/>
    <n v="1888.94"/>
    <n v="159"/>
    <n v="11.880125786163523"/>
    <s v="April"/>
    <s v="Q2"/>
    <s v="Large"/>
  </r>
  <r>
    <s v="Oby Sorrel"/>
    <s v="Canada"/>
    <s v="Organic Choco Syrup"/>
    <x v="193"/>
    <n v="1310.04"/>
    <n v="71"/>
    <n v="18.451267605633802"/>
    <s v="July"/>
    <s v="Q3"/>
    <s v="Large"/>
  </r>
  <r>
    <s v="Madelene Upcott"/>
    <s v="UK"/>
    <s v="Organic Choco Syrup"/>
    <x v="297"/>
    <n v="7805.9"/>
    <n v="179"/>
    <n v="43.608379888268153"/>
    <s v="July"/>
    <s v="Q3"/>
    <s v="Large"/>
  </r>
  <r>
    <s v="Dotty Strutley"/>
    <s v="USA"/>
    <s v="Mint Chip Choco"/>
    <x v="252"/>
    <n v="6101.12"/>
    <n v="261"/>
    <n v="23.375938697318006"/>
    <s v="February"/>
    <s v="Q1"/>
    <s v="Large"/>
  </r>
  <r>
    <s v="Kelci Walkden"/>
    <s v="USA"/>
    <s v="Orange Choco"/>
    <x v="320"/>
    <n v="1425.81"/>
    <n v="133"/>
    <n v="10.720375939849623"/>
    <s v="February"/>
    <s v="Q1"/>
    <s v="Large"/>
  </r>
  <r>
    <s v="Gigi Bohling"/>
    <s v="Australia"/>
    <s v="Caramel Stuffed Bars"/>
    <x v="219"/>
    <n v="8724.4"/>
    <n v="147"/>
    <n v="59.349659863945575"/>
    <s v="July"/>
    <s v="Q3"/>
    <s v="Large"/>
  </r>
  <r>
    <s v="Mallorie Waber"/>
    <s v="India"/>
    <s v="50% Dark Bites"/>
    <x v="274"/>
    <n v="664.82"/>
    <n v="147"/>
    <n v="4.5225850340136056"/>
    <s v="May"/>
    <s v="Q2"/>
    <s v="Large"/>
  </r>
  <r>
    <s v="Van Tuxwell"/>
    <s v="New Zealand"/>
    <s v="Mint Chip Choco"/>
    <x v="187"/>
    <n v="4351.3100000000004"/>
    <n v="103"/>
    <n v="42.245728155339812"/>
    <s v="June"/>
    <s v="Q2"/>
    <s v="Large"/>
  </r>
  <r>
    <s v="Van Tuxwell"/>
    <s v="India"/>
    <s v="50% Dark Bites"/>
    <x v="278"/>
    <n v="5825.09"/>
    <n v="123"/>
    <n v="47.358455284552846"/>
    <s v="May"/>
    <s v="Q2"/>
    <s v="Large"/>
  </r>
  <r>
    <s v="Van Tuxwell"/>
    <s v="USA"/>
    <s v="Manuka Honey Choco"/>
    <x v="274"/>
    <n v="2418.9299999999998"/>
    <n v="110"/>
    <n v="21.990272727272725"/>
    <s v="May"/>
    <s v="Q2"/>
    <s v="Large"/>
  </r>
  <r>
    <s v="Wilone O'Kielt"/>
    <s v="USA"/>
    <s v="Orange Choco"/>
    <x v="191"/>
    <n v="7725.52"/>
    <n v="38"/>
    <n v="203.30315789473684"/>
    <s v="February"/>
    <s v="Q1"/>
    <s v="Large"/>
  </r>
  <r>
    <s v="Barr Faughny"/>
    <s v="New Zealand"/>
    <s v="Eclairs"/>
    <x v="239"/>
    <n v="7144.08"/>
    <n v="32"/>
    <n v="223.2525"/>
    <s v="March"/>
    <s v="Q1"/>
    <s v="Large"/>
  </r>
  <r>
    <s v="Gigi Bohling"/>
    <s v="USA"/>
    <s v="After Nines"/>
    <x v="270"/>
    <n v="2043.13"/>
    <n v="243"/>
    <n v="8.4079423868312766"/>
    <s v="January"/>
    <s v="Q1"/>
    <s v="Large"/>
  </r>
  <r>
    <s v="Barr Faughny"/>
    <s v="New Zealand"/>
    <s v="Mint Chip Choco"/>
    <x v="252"/>
    <n v="6526.01"/>
    <n v="147"/>
    <n v="44.394625850340141"/>
    <s v="February"/>
    <s v="Q1"/>
    <s v="Large"/>
  </r>
  <r>
    <s v="Dennison Crosswaite"/>
    <s v="Canada"/>
    <s v="85% Dark Bars"/>
    <x v="169"/>
    <n v="11334.77"/>
    <n v="89"/>
    <n v="127.35696629213484"/>
    <s v="August"/>
    <s v="Q3"/>
    <s v="Large"/>
  </r>
  <r>
    <s v="Beverie Moffet"/>
    <s v="New Zealand"/>
    <s v="Smooth Sliky Salty"/>
    <x v="201"/>
    <n v="2492.67"/>
    <n v="58"/>
    <n v="42.97706896551724"/>
    <s v="May"/>
    <s v="Q2"/>
    <s v="Large"/>
  </r>
  <r>
    <s v="Husein Augar"/>
    <s v="USA"/>
    <s v="White Choc"/>
    <x v="225"/>
    <n v="2066.48"/>
    <n v="59"/>
    <n v="35.025084745762712"/>
    <s v="July"/>
    <s v="Q3"/>
    <s v="Large"/>
  </r>
  <r>
    <s v="Andria Kimpton"/>
    <s v="Australia"/>
    <s v="Peanut Butter Cubes"/>
    <x v="176"/>
    <n v="7009.01"/>
    <n v="150"/>
    <n v="46.726733333333335"/>
    <s v="April"/>
    <s v="Q2"/>
    <s v="Large"/>
  </r>
  <r>
    <s v="Dennison Crosswaite"/>
    <s v="India"/>
    <s v="85% Dark Bars"/>
    <x v="198"/>
    <n v="4562.97"/>
    <n v="21"/>
    <n v="217.28428571428572"/>
    <s v="June"/>
    <s v="Q2"/>
    <s v="Large"/>
  </r>
  <r>
    <s v="Curtice Advani"/>
    <s v="UK"/>
    <s v="50% Dark Bites"/>
    <x v="289"/>
    <n v="3442.99"/>
    <n v="142"/>
    <n v="24.246408450704223"/>
    <s v="March"/>
    <s v="Q1"/>
    <s v="Large"/>
  </r>
  <r>
    <s v="Gunar Cockshoot"/>
    <s v="USA"/>
    <s v="Fruit &amp; Nut Bars"/>
    <x v="255"/>
    <n v="6669.6"/>
    <n v="99"/>
    <n v="67.369696969696975"/>
    <s v="March"/>
    <s v="Q1"/>
    <s v="Large"/>
  </r>
  <r>
    <s v="Oby Sorrel"/>
    <s v="Canada"/>
    <s v="Raspberry Choco"/>
    <x v="254"/>
    <n v="1902.47"/>
    <n v="217"/>
    <n v="8.7671428571428578"/>
    <s v="June"/>
    <s v="Q2"/>
    <s v="Large"/>
  </r>
  <r>
    <s v="Gigi Bohling"/>
    <s v="UK"/>
    <s v="Drinking Coco"/>
    <x v="198"/>
    <n v="6157.17"/>
    <n v="43"/>
    <n v="143.19"/>
    <s v="June"/>
    <s v="Q2"/>
    <s v="Large"/>
  </r>
  <r>
    <s v="Kelci Walkden"/>
    <s v="India"/>
    <s v="Mint Chip Choco"/>
    <x v="180"/>
    <n v="3012.68"/>
    <n v="129"/>
    <n v="23.354108527131782"/>
    <s v="July"/>
    <s v="Q3"/>
    <s v="Large"/>
  </r>
  <r>
    <s v="Karlen McCaffrey"/>
    <s v="Canada"/>
    <s v="Peanut Butter Cubes"/>
    <x v="321"/>
    <n v="3473.62"/>
    <n v="170"/>
    <n v="20.433058823529411"/>
    <s v="August"/>
    <s v="Q3"/>
    <s v="Large"/>
  </r>
  <r>
    <s v="Barr Faughny"/>
    <s v="UK"/>
    <s v="Mint Chip Choco"/>
    <x v="170"/>
    <n v="4129.9799999999996"/>
    <n v="332"/>
    <n v="12.439698795180721"/>
    <s v="July"/>
    <s v="Q3"/>
    <s v="Large"/>
  </r>
  <r>
    <s v="Barr Faughny"/>
    <s v="USA"/>
    <s v="85% Dark Bars"/>
    <x v="242"/>
    <n v="14566.22"/>
    <n v="45"/>
    <n v="323.69377777777777"/>
    <s v="August"/>
    <s v="Q3"/>
    <s v="Large"/>
  </r>
  <r>
    <s v="Husein Augar"/>
    <s v="Canada"/>
    <s v="Eclairs"/>
    <x v="322"/>
    <n v="4049.61"/>
    <n v="255"/>
    <n v="15.880823529411765"/>
    <s v="January"/>
    <s v="Q1"/>
    <s v="Large"/>
  </r>
  <r>
    <s v="Jan Morforth"/>
    <s v="Australia"/>
    <s v="70% Dark Bites"/>
    <x v="240"/>
    <n v="5924.44"/>
    <n v="396"/>
    <n v="14.96070707070707"/>
    <s v="March"/>
    <s v="Q1"/>
    <s v="Large"/>
  </r>
  <r>
    <s v="Marney O'Breen"/>
    <s v="New Zealand"/>
    <s v="Fruit &amp; Nut Bars"/>
    <x v="242"/>
    <n v="10100.950000000001"/>
    <n v="4"/>
    <n v="2525.2375000000002"/>
    <s v="August"/>
    <s v="Q3"/>
    <s v="Large"/>
  </r>
  <r>
    <s v="Ches Bonnell"/>
    <s v="UK"/>
    <s v="Peanut Butter Cubes"/>
    <x v="203"/>
    <n v="2362.0100000000002"/>
    <n v="272"/>
    <n v="8.6838602941176486"/>
    <s v="April"/>
    <s v="Q2"/>
    <s v="Large"/>
  </r>
  <r>
    <s v="Kaine Padly"/>
    <s v="USA"/>
    <s v="Organic Choco Syrup"/>
    <x v="222"/>
    <n v="2638.76"/>
    <n v="24"/>
    <n v="109.94833333333334"/>
    <s v="March"/>
    <s v="Q1"/>
    <s v="Large"/>
  </r>
  <r>
    <s v="Camilla Castle"/>
    <s v="USA"/>
    <s v="Raspberry Choco"/>
    <x v="266"/>
    <n v="3496.41"/>
    <n v="18"/>
    <n v="194.245"/>
    <s v="May"/>
    <s v="Q2"/>
    <s v="Large"/>
  </r>
  <r>
    <s v="Brien Boise"/>
    <s v="New Zealand"/>
    <s v="Manuka Honey Choco"/>
    <x v="275"/>
    <n v="17222.86"/>
    <n v="44"/>
    <n v="391.42863636363637"/>
    <s v="June"/>
    <s v="Q2"/>
    <s v="Large"/>
  </r>
  <r>
    <s v="Jehu Rudeforth"/>
    <s v="New Zealand"/>
    <s v="After Nines"/>
    <x v="217"/>
    <n v="1604.87"/>
    <n v="71"/>
    <n v="22.603802816901407"/>
    <s v="April"/>
    <s v="Q2"/>
    <s v="Large"/>
  </r>
  <r>
    <s v="Jehu Rudeforth"/>
    <s v="USA"/>
    <s v="Smooth Sliky Salty"/>
    <x v="170"/>
    <n v="7170.21"/>
    <n v="151"/>
    <n v="47.484834437086093"/>
    <s v="July"/>
    <s v="Q3"/>
    <s v="Large"/>
  </r>
  <r>
    <s v="Madelene Upcott"/>
    <s v="India"/>
    <s v="Mint Chip Choco"/>
    <x v="200"/>
    <n v="4090.16"/>
    <n v="75"/>
    <n v="54.535466666666665"/>
    <s v="August"/>
    <s v="Q3"/>
    <s v="Large"/>
  </r>
  <r>
    <s v="Jehu Rudeforth"/>
    <s v="India"/>
    <s v="Eclairs"/>
    <x v="172"/>
    <n v="9574.3799999999992"/>
    <n v="134"/>
    <n v="71.450597014925364"/>
    <s v="February"/>
    <s v="Q1"/>
    <s v="Large"/>
  </r>
  <r>
    <s v="Karlen McCaffrey"/>
    <s v="Canada"/>
    <s v="Raspberry Choco"/>
    <x v="290"/>
    <n v="717.9"/>
    <n v="213"/>
    <n v="3.3704225352112673"/>
    <s v="May"/>
    <s v="Q2"/>
    <s v="Large"/>
  </r>
  <r>
    <s v="Kaine Padly"/>
    <s v="Australia"/>
    <s v="70% Dark Bites"/>
    <x v="311"/>
    <n v="7734.54"/>
    <n v="227"/>
    <n v="34.072863436123349"/>
    <s v="February"/>
    <s v="Q1"/>
    <s v="Large"/>
  </r>
  <r>
    <s v="Roddy Speechley"/>
    <s v="UK"/>
    <s v="70% Dark Bites"/>
    <x v="175"/>
    <n v="1606.49"/>
    <n v="305"/>
    <n v="5.2671803278688527"/>
    <s v="March"/>
    <s v="Q1"/>
    <s v="Large"/>
  </r>
  <r>
    <s v="Rafaelita Blaksland"/>
    <s v="USA"/>
    <s v="Drinking Coco"/>
    <x v="223"/>
    <n v="9170.09"/>
    <n v="79"/>
    <n v="116.07708860759494"/>
    <s v="June"/>
    <s v="Q2"/>
    <s v="Large"/>
  </r>
  <r>
    <s v="Mallorie Waber"/>
    <s v="Canada"/>
    <s v="Manuka Honey Choco"/>
    <x v="234"/>
    <n v="1583.57"/>
    <n v="122"/>
    <n v="12.980081967213113"/>
    <s v="March"/>
    <s v="Q1"/>
    <s v="Large"/>
  </r>
  <r>
    <s v="Kaine Padly"/>
    <s v="Australia"/>
    <s v="Fruit &amp; Nut Bars"/>
    <x v="223"/>
    <n v="7684.52"/>
    <n v="83"/>
    <n v="92.584578313253019"/>
    <s v="June"/>
    <s v="Q2"/>
    <s v="Large"/>
  </r>
  <r>
    <s v="Oby Sorrel"/>
    <s v="New Zealand"/>
    <s v="Organic Choco Syrup"/>
    <x v="188"/>
    <n v="16765.07"/>
    <n v="261"/>
    <n v="64.233984674329506"/>
    <s v="February"/>
    <s v="Q1"/>
    <s v="Large"/>
  </r>
  <r>
    <s v="Madelene Upcott"/>
    <s v="UK"/>
    <s v="99% Dark &amp; Pure"/>
    <x v="182"/>
    <n v="11796.63"/>
    <n v="45"/>
    <n v="262.14733333333334"/>
    <s v="January"/>
    <s v="Q1"/>
    <s v="Large"/>
  </r>
  <r>
    <s v="Madelene Upcott"/>
    <s v="Australia"/>
    <s v="Mint Chip Choco"/>
    <x v="306"/>
    <n v="2766.65"/>
    <n v="148"/>
    <n v="18.693581081081081"/>
    <s v="May"/>
    <s v="Q2"/>
    <s v="Large"/>
  </r>
  <r>
    <s v="Curtice Advani"/>
    <s v="Canada"/>
    <s v="99% Dark &amp; Pure"/>
    <x v="170"/>
    <n v="13232.74"/>
    <n v="7"/>
    <n v="1890.3914285714286"/>
    <s v="July"/>
    <s v="Q3"/>
    <s v="Large"/>
  </r>
  <r>
    <s v="Rafaelita Blaksland"/>
    <s v="Australia"/>
    <s v="Baker's Choco Chips"/>
    <x v="206"/>
    <n v="2820.41"/>
    <n v="50"/>
    <n v="56.408199999999994"/>
    <s v="August"/>
    <s v="Q3"/>
    <s v="Large"/>
  </r>
  <r>
    <s v="Karlen McCaffrey"/>
    <s v="Australia"/>
    <s v="After Nines"/>
    <x v="323"/>
    <n v="2483.3200000000002"/>
    <n v="65"/>
    <n v="38.20492307692308"/>
    <s v="August"/>
    <s v="Q3"/>
    <s v="Large"/>
  </r>
  <r>
    <s v="Marney O'Breen"/>
    <s v="UK"/>
    <s v="99% Dark &amp; Pure"/>
    <x v="178"/>
    <n v="9124.16"/>
    <n v="209"/>
    <n v="43.656267942583732"/>
    <s v="January"/>
    <s v="Q1"/>
    <s v="Large"/>
  </r>
  <r>
    <s v="Gunar Cockshoot"/>
    <s v="Australia"/>
    <s v="50% Dark Bites"/>
    <x v="220"/>
    <n v="12728.16"/>
    <n v="111"/>
    <n v="114.6681081081081"/>
    <s v="March"/>
    <s v="Q1"/>
    <s v="Large"/>
  </r>
  <r>
    <s v="Marney O'Breen"/>
    <s v="Australia"/>
    <s v="Choco Coated Almonds"/>
    <x v="277"/>
    <n v="12624.64"/>
    <n v="41"/>
    <n v="307.91804878048777"/>
    <s v="July"/>
    <s v="Q3"/>
    <s v="Large"/>
  </r>
  <r>
    <s v="Kelci Walkden"/>
    <s v="New Zealand"/>
    <s v="Drinking Coco"/>
    <x v="179"/>
    <n v="17584.16"/>
    <n v="110"/>
    <n v="159.85599999999999"/>
    <s v="March"/>
    <s v="Q1"/>
    <s v="Large"/>
  </r>
  <r>
    <s v="Beverie Moffet"/>
    <s v="USA"/>
    <s v="85% Dark Bars"/>
    <x v="230"/>
    <n v="13156.49"/>
    <n v="360"/>
    <n v="36.545805555555553"/>
    <s v="August"/>
    <s v="Q3"/>
    <s v="Large"/>
  </r>
  <r>
    <s v="Roddy Speechley"/>
    <s v="USA"/>
    <s v="Eclairs"/>
    <x v="259"/>
    <n v="4164.1000000000004"/>
    <n v="167"/>
    <n v="24.934730538922157"/>
    <s v="April"/>
    <s v="Q2"/>
    <s v="Large"/>
  </r>
  <r>
    <s v="Dennison Crosswaite"/>
    <s v="UK"/>
    <s v="Milk Bars"/>
    <x v="234"/>
    <n v="11698.98"/>
    <n v="436"/>
    <n v="26.832522935779817"/>
    <s v="March"/>
    <s v="Q1"/>
    <s v="Large"/>
  </r>
  <r>
    <s v="Wilone O'Kielt"/>
    <s v="UK"/>
    <s v="Organic Choco Syrup"/>
    <x v="265"/>
    <n v="4964.25"/>
    <n v="56"/>
    <n v="88.647321428571431"/>
    <s v="July"/>
    <s v="Q3"/>
    <s v="Large"/>
  </r>
  <r>
    <s v="Madelene Upcott"/>
    <s v="USA"/>
    <s v="Orange Choco"/>
    <x v="213"/>
    <n v="8258.3700000000008"/>
    <n v="132"/>
    <n v="62.563409090909097"/>
    <s v="May"/>
    <s v="Q2"/>
    <s v="Large"/>
  </r>
  <r>
    <s v="Gunar Cockshoot"/>
    <s v="India"/>
    <s v="Smooth Sliky Salty"/>
    <x v="220"/>
    <n v="3938.2"/>
    <n v="70"/>
    <n v="56.26"/>
    <s v="March"/>
    <s v="Q1"/>
    <s v="Large"/>
  </r>
  <r>
    <s v="Marney O'Breen"/>
    <s v="New Zealand"/>
    <s v="85% Dark Bars"/>
    <x v="189"/>
    <n v="1368.27"/>
    <n v="163"/>
    <n v="8.3942944785276072"/>
    <s v="May"/>
    <s v="Q2"/>
    <s v="Large"/>
  </r>
  <r>
    <s v="Marney O'Breen"/>
    <s v="UK"/>
    <s v="Manuka Honey Choco"/>
    <x v="207"/>
    <n v="12449.46"/>
    <n v="177"/>
    <n v="70.335932203389831"/>
    <s v="June"/>
    <s v="Q2"/>
    <s v="Large"/>
  </r>
  <r>
    <s v="Brien Boise"/>
    <s v="USA"/>
    <s v="99% Dark &amp; Pure"/>
    <x v="258"/>
    <n v="7323.82"/>
    <n v="339"/>
    <n v="21.604188790560471"/>
    <s v="July"/>
    <s v="Q3"/>
    <s v="Large"/>
  </r>
  <r>
    <s v="Beverie Moffet"/>
    <s v="New Zealand"/>
    <s v="Mint Chip Choco"/>
    <x v="301"/>
    <n v="4560.8100000000004"/>
    <n v="102"/>
    <n v="44.713823529411769"/>
    <s v="June"/>
    <s v="Q2"/>
    <s v="Large"/>
  </r>
  <r>
    <s v="Dennison Crosswaite"/>
    <s v="USA"/>
    <s v="Milk Bars"/>
    <x v="233"/>
    <n v="777.46"/>
    <n v="58"/>
    <n v="13.40448275862069"/>
    <s v="May"/>
    <s v="Q2"/>
    <s v="Large"/>
  </r>
  <r>
    <s v="Gunar Cockshoot"/>
    <s v="USA"/>
    <s v="Drinking Coco"/>
    <x v="290"/>
    <n v="3857.27"/>
    <n v="5"/>
    <n v="771.45399999999995"/>
    <s v="May"/>
    <s v="Q2"/>
    <s v="Large"/>
  </r>
  <r>
    <s v="Brien Boise"/>
    <s v="Canada"/>
    <s v="Manuka Honey Choco"/>
    <x v="313"/>
    <n v="7442.69"/>
    <n v="179"/>
    <n v="41.579273743016756"/>
    <s v="August"/>
    <s v="Q3"/>
    <s v="Large"/>
  </r>
  <r>
    <s v="Van Tuxwell"/>
    <s v="India"/>
    <s v="Choco Coated Almonds"/>
    <x v="268"/>
    <n v="5799.3"/>
    <n v="125"/>
    <n v="46.394400000000005"/>
    <s v="April"/>
    <s v="Q2"/>
    <s v="Large"/>
  </r>
  <r>
    <s v="Andria Kimpton"/>
    <s v="USA"/>
    <s v="Caramel Stuffed Bars"/>
    <x v="306"/>
    <n v="8836.9"/>
    <n v="48"/>
    <n v="184.10208333333333"/>
    <s v="May"/>
    <s v="Q2"/>
    <s v="Large"/>
  </r>
  <r>
    <s v="Dotty Strutley"/>
    <s v="USA"/>
    <s v="99% Dark &amp; Pure"/>
    <x v="313"/>
    <n v="4185"/>
    <n v="315"/>
    <n v="13.285714285714286"/>
    <s v="August"/>
    <s v="Q3"/>
    <s v="Large"/>
  </r>
  <r>
    <s v="Camilla Castle"/>
    <s v="Australia"/>
    <s v="Raspberry Choco"/>
    <x v="230"/>
    <n v="6984.06"/>
    <n v="174"/>
    <n v="40.138275862068966"/>
    <s v="August"/>
    <s v="Q3"/>
    <s v="Large"/>
  </r>
  <r>
    <s v="Gunar Cockshoot"/>
    <s v="India"/>
    <s v="Spicy Special Slims"/>
    <x v="278"/>
    <n v="7362.7"/>
    <n v="179"/>
    <n v="41.132402234636871"/>
    <s v="May"/>
    <s v="Q2"/>
    <s v="Large"/>
  </r>
  <r>
    <s v="Karlen McCaffrey"/>
    <s v="USA"/>
    <s v="Manuka Honey Choco"/>
    <x v="299"/>
    <n v="10338.27"/>
    <n v="73"/>
    <n v="141.62013698630139"/>
    <s v="February"/>
    <s v="Q1"/>
    <s v="Large"/>
  </r>
  <r>
    <s v="Camilla Castle"/>
    <s v="USA"/>
    <s v="50% Dark Bites"/>
    <x v="298"/>
    <n v="6215.72"/>
    <n v="324"/>
    <n v="19.184320987654321"/>
    <s v="June"/>
    <s v="Q2"/>
    <s v="Large"/>
  </r>
  <r>
    <s v="Madelene Upcott"/>
    <s v="UK"/>
    <s v="Choco Coated Almonds"/>
    <x v="195"/>
    <n v="10400.66"/>
    <n v="144"/>
    <n v="72.226805555555558"/>
    <s v="May"/>
    <s v="Q2"/>
    <s v="Large"/>
  </r>
  <r>
    <s v="Jan Morforth"/>
    <s v="Canada"/>
    <s v="Mint Chip Choco"/>
    <x v="237"/>
    <n v="1062.6099999999999"/>
    <n v="217"/>
    <n v="4.8968202764976958"/>
    <s v="April"/>
    <s v="Q2"/>
    <s v="Large"/>
  </r>
  <r>
    <s v="Camilla Castle"/>
    <s v="Canada"/>
    <s v="70% Dark Bites"/>
    <x v="277"/>
    <n v="10095.709999999999"/>
    <n v="151"/>
    <n v="66.859006622516546"/>
    <s v="July"/>
    <s v="Q3"/>
    <s v="Large"/>
  </r>
  <r>
    <s v="Ches Bonnell"/>
    <s v="India"/>
    <s v="Peanut Butter Cubes"/>
    <x v="227"/>
    <n v="23251.68"/>
    <n v="210"/>
    <n v="110.72228571428572"/>
    <s v="January"/>
    <s v="Q1"/>
    <s v="Large"/>
  </r>
  <r>
    <s v="Jan Morforth"/>
    <s v="India"/>
    <s v="Choco Coated Almonds"/>
    <x v="321"/>
    <n v="2669.61"/>
    <n v="143"/>
    <n v="18.6686013986014"/>
    <s v="August"/>
    <s v="Q3"/>
    <s v="Large"/>
  </r>
  <r>
    <s v="Gigi Bohling"/>
    <s v="Canada"/>
    <s v="Almond Choco"/>
    <x v="299"/>
    <n v="10265.969999999999"/>
    <n v="49"/>
    <n v="209.50959183673467"/>
    <s v="February"/>
    <s v="Q1"/>
    <s v="Large"/>
  </r>
  <r>
    <s v="Rafaelita Blaksland"/>
    <s v="India"/>
    <s v="After Nines"/>
    <x v="220"/>
    <n v="5423.54"/>
    <n v="203"/>
    <n v="26.716945812807882"/>
    <s v="March"/>
    <s v="Q1"/>
    <s v="Large"/>
  </r>
  <r>
    <s v="Kelci Walkden"/>
    <s v="Australia"/>
    <s v="99% Dark &amp; Pure"/>
    <x v="198"/>
    <n v="3272.68"/>
    <n v="32"/>
    <n v="102.27124999999999"/>
    <s v="June"/>
    <s v="Q2"/>
    <s v="Large"/>
  </r>
  <r>
    <s v="Dotty Strutley"/>
    <s v="Australia"/>
    <s v="Spicy Special Slims"/>
    <x v="322"/>
    <n v="8840.59"/>
    <n v="92"/>
    <n v="96.093369565217387"/>
    <s v="January"/>
    <s v="Q1"/>
    <s v="Large"/>
  </r>
  <r>
    <s v="Brien Boise"/>
    <s v="USA"/>
    <s v="Milk Bars"/>
    <x v="170"/>
    <n v="14460.51"/>
    <n v="124"/>
    <n v="116.61701612903227"/>
    <s v="July"/>
    <s v="Q3"/>
    <s v="Large"/>
  </r>
  <r>
    <s v="Mallorie Waber"/>
    <s v="New Zealand"/>
    <s v="Mint Chip Choco"/>
    <x v="228"/>
    <n v="1461.99"/>
    <n v="109"/>
    <n v="13.412752293577983"/>
    <s v="January"/>
    <s v="Q1"/>
    <s v="Large"/>
  </r>
  <r>
    <s v="Beverie Moffet"/>
    <s v="UK"/>
    <s v="99% Dark &amp; Pure"/>
    <x v="218"/>
    <n v="3701.6"/>
    <n v="131"/>
    <n v="28.256488549618322"/>
    <s v="August"/>
    <s v="Q3"/>
    <s v="Large"/>
  </r>
  <r>
    <s v="Beverie Moffet"/>
    <s v="USA"/>
    <s v="Peanut Butter Cubes"/>
    <x v="229"/>
    <n v="13951.32"/>
    <n v="329"/>
    <n v="42.405227963525832"/>
    <s v="August"/>
    <s v="Q3"/>
    <s v="Large"/>
  </r>
  <r>
    <s v="Brien Boise"/>
    <s v="New Zealand"/>
    <s v="White Choc"/>
    <x v="194"/>
    <n v="5774.92"/>
    <n v="325"/>
    <n v="17.768984615384614"/>
    <s v="June"/>
    <s v="Q2"/>
    <s v="Large"/>
  </r>
  <r>
    <s v="Marney O'Breen"/>
    <s v="USA"/>
    <s v="Baker's Choco Chips"/>
    <x v="182"/>
    <n v="9718.8700000000008"/>
    <n v="10"/>
    <n v="971.88700000000006"/>
    <s v="January"/>
    <s v="Q1"/>
    <s v="Large"/>
  </r>
  <r>
    <s v="Kelci Walkden"/>
    <s v="USA"/>
    <s v="Spicy Special Slims"/>
    <x v="262"/>
    <n v="87.52"/>
    <n v="69"/>
    <n v="1.2684057971014493"/>
    <s v="April"/>
    <s v="Q2"/>
    <s v="Small"/>
  </r>
  <r>
    <s v="Mallorie Waber"/>
    <s v="Canada"/>
    <s v="White Choc"/>
    <x v="318"/>
    <n v="3398.51"/>
    <n v="74"/>
    <n v="45.925810810810816"/>
    <s v="March"/>
    <s v="Q1"/>
    <s v="Large"/>
  </r>
  <r>
    <s v="Kaine Padly"/>
    <s v="Australia"/>
    <s v="Almond Choco"/>
    <x v="273"/>
    <n v="4371.7700000000004"/>
    <n v="375"/>
    <n v="11.658053333333335"/>
    <s v="February"/>
    <s v="Q1"/>
    <s v="Large"/>
  </r>
  <r>
    <s v="Oby Sorrel"/>
    <s v="USA"/>
    <s v="Smooth Sliky Salty"/>
    <x v="240"/>
    <n v="3632.32"/>
    <n v="169"/>
    <n v="21.49301775147929"/>
    <s v="March"/>
    <s v="Q1"/>
    <s v="Large"/>
  </r>
  <r>
    <s v="Dennison Crosswaite"/>
    <s v="India"/>
    <s v="Smooth Sliky Salty"/>
    <x v="170"/>
    <n v="3343.85"/>
    <n v="10"/>
    <n v="334.38499999999999"/>
    <s v="July"/>
    <s v="Q3"/>
    <s v="Large"/>
  </r>
  <r>
    <s v="Camilla Castle"/>
    <s v="New Zealand"/>
    <s v="Caramel Stuffed Bars"/>
    <x v="324"/>
    <n v="4400.28"/>
    <n v="364"/>
    <n v="12.088681318681317"/>
    <s v="June"/>
    <s v="Q2"/>
    <s v="Large"/>
  </r>
  <r>
    <s v="Jan Morforth"/>
    <s v="Canada"/>
    <s v="Caramel Stuffed Bars"/>
    <x v="241"/>
    <n v="10802.13"/>
    <n v="124"/>
    <n v="87.113951612903222"/>
    <s v="August"/>
    <s v="Q3"/>
    <s v="Large"/>
  </r>
  <r>
    <s v="Oby Sorrel"/>
    <s v="USA"/>
    <s v="Baker's Choco Chips"/>
    <x v="321"/>
    <n v="9154.17"/>
    <n v="123"/>
    <n v="74.424146341463413"/>
    <s v="August"/>
    <s v="Q3"/>
    <s v="Large"/>
  </r>
  <r>
    <s v="Madelene Upcott"/>
    <s v="New Zealand"/>
    <s v="Peanut Butter Cubes"/>
    <x v="250"/>
    <n v="5360.89"/>
    <n v="340"/>
    <n v="15.767323529411765"/>
    <s v="January"/>
    <s v="Q1"/>
    <s v="Large"/>
  </r>
  <r>
    <s v="Kelci Walkden"/>
    <s v="Australia"/>
    <s v="Orange Choco"/>
    <x v="262"/>
    <n v="11597.46"/>
    <n v="462"/>
    <n v="25.102727272727272"/>
    <s v="April"/>
    <s v="Q2"/>
    <s v="Large"/>
  </r>
  <r>
    <s v="Marney O'Breen"/>
    <s v="Australia"/>
    <s v="Manuka Honey Choco"/>
    <x v="184"/>
    <n v="14939.24"/>
    <n v="238"/>
    <n v="62.769915966386556"/>
    <s v="April"/>
    <s v="Q2"/>
    <s v="Large"/>
  </r>
  <r>
    <s v="Kaine Padly"/>
    <s v="Canada"/>
    <s v="Manuka Honey Choco"/>
    <x v="261"/>
    <n v="10845.85"/>
    <n v="146"/>
    <n v="74.286643835616445"/>
    <s v="January"/>
    <s v="Q1"/>
    <s v="Large"/>
  </r>
  <r>
    <s v="Jehu Rudeforth"/>
    <s v="UK"/>
    <s v="Baker's Choco Chips"/>
    <x v="213"/>
    <n v="2832.78"/>
    <n v="104"/>
    <n v="27.238269230769234"/>
    <s v="May"/>
    <s v="Q2"/>
    <s v="Large"/>
  </r>
  <r>
    <s v="Kelci Walkden"/>
    <s v="Australia"/>
    <s v="White Choc"/>
    <x v="200"/>
    <n v="8879.7199999999993"/>
    <n v="177"/>
    <n v="50.167909604519771"/>
    <s v="August"/>
    <s v="Q3"/>
    <s v="Large"/>
  </r>
  <r>
    <s v="Curtice Advani"/>
    <s v="India"/>
    <s v="85% Dark Bars"/>
    <x v="261"/>
    <n v="298.33999999999997"/>
    <n v="399"/>
    <n v="0.74771929824561401"/>
    <s v="January"/>
    <s v="Q1"/>
    <s v="Small"/>
  </r>
  <r>
    <s v="Kaine Padly"/>
    <s v="USA"/>
    <s v="Eclairs"/>
    <x v="206"/>
    <n v="7799.51"/>
    <n v="10"/>
    <n v="779.95100000000002"/>
    <s v="August"/>
    <s v="Q3"/>
    <s v="Large"/>
  </r>
  <r>
    <s v="Gunar Cockshoot"/>
    <s v="UK"/>
    <s v="99% Dark &amp; Pure"/>
    <x v="234"/>
    <n v="8.0399999999999991"/>
    <n v="85"/>
    <n v="9.458823529411764E-2"/>
    <s v="March"/>
    <s v="Q1"/>
    <s v="Small"/>
  </r>
  <r>
    <s v="Beverie Moffet"/>
    <s v="UK"/>
    <s v="Choco Coated Almonds"/>
    <x v="240"/>
    <n v="3212.35"/>
    <n v="66"/>
    <n v="48.671969696969697"/>
    <s v="March"/>
    <s v="Q1"/>
    <s v="Large"/>
  </r>
  <r>
    <s v="Dotty Strutley"/>
    <s v="Canada"/>
    <s v="Manuka Honey Choco"/>
    <x v="287"/>
    <n v="12048.56"/>
    <n v="113"/>
    <n v="106.62442477876105"/>
    <s v="April"/>
    <s v="Q2"/>
    <s v="Large"/>
  </r>
  <r>
    <s v="Kaine Padly"/>
    <s v="Australia"/>
    <s v="Milk Bars"/>
    <x v="301"/>
    <n v="4499.6400000000003"/>
    <n v="91"/>
    <n v="49.446593406593408"/>
    <s v="June"/>
    <s v="Q2"/>
    <s v="Large"/>
  </r>
  <r>
    <s v="Jan Morforth"/>
    <s v="Canada"/>
    <s v="Fruit &amp; Nut Bars"/>
    <x v="258"/>
    <n v="9984.16"/>
    <n v="207"/>
    <n v="48.232657004830919"/>
    <s v="July"/>
    <s v="Q3"/>
    <s v="Large"/>
  </r>
  <r>
    <s v="Jan Morforth"/>
    <s v="India"/>
    <s v="Smooth Sliky Salty"/>
    <x v="181"/>
    <n v="11867.83"/>
    <n v="95"/>
    <n v="124.92452631578948"/>
    <s v="August"/>
    <s v="Q3"/>
    <s v="Large"/>
  </r>
  <r>
    <s v="Rafaelita Blaksland"/>
    <s v="Australia"/>
    <s v="Manuka Honey Choco"/>
    <x v="181"/>
    <n v="4806.6499999999996"/>
    <n v="132"/>
    <n v="36.414015151515152"/>
    <s v="August"/>
    <s v="Q3"/>
    <s v="Large"/>
  </r>
  <r>
    <s v="Jehu Rudeforth"/>
    <s v="UK"/>
    <s v="Milk Bars"/>
    <x v="312"/>
    <n v="13420.93"/>
    <n v="232"/>
    <n v="57.84883620689655"/>
    <s v="May"/>
    <s v="Q2"/>
    <s v="Large"/>
  </r>
  <r>
    <s v="Husein Augar"/>
    <s v="Canada"/>
    <s v="After Nines"/>
    <x v="246"/>
    <n v="10407.51"/>
    <n v="301"/>
    <n v="34.576445182724257"/>
    <s v="January"/>
    <s v="Q1"/>
    <s v="Large"/>
  </r>
  <r>
    <s v="Roddy Speechley"/>
    <s v="USA"/>
    <s v="50% Dark Bites"/>
    <x v="226"/>
    <n v="10849.39"/>
    <n v="330"/>
    <n v="32.876939393939395"/>
    <s v="February"/>
    <s v="Q1"/>
    <s v="Large"/>
  </r>
  <r>
    <s v="Van Tuxwell"/>
    <s v="India"/>
    <s v="Almond Choco"/>
    <x v="275"/>
    <n v="7247.29"/>
    <n v="402"/>
    <n v="18.028084577114427"/>
    <s v="June"/>
    <s v="Q2"/>
    <s v="Large"/>
  </r>
  <r>
    <s v="Kelci Walkden"/>
    <s v="USA"/>
    <s v="50% Dark Bites"/>
    <x v="253"/>
    <n v="6387.65"/>
    <n v="227"/>
    <n v="28.139427312775329"/>
    <s v="March"/>
    <s v="Q1"/>
    <s v="Large"/>
  </r>
  <r>
    <s v="Madelene Upcott"/>
    <s v="Canada"/>
    <s v="85% Dark Bars"/>
    <x v="188"/>
    <n v="8373.42"/>
    <n v="108"/>
    <n v="77.531666666666666"/>
    <s v="February"/>
    <s v="Q1"/>
    <s v="Large"/>
  </r>
  <r>
    <s v="Dennison Crosswaite"/>
    <s v="Canada"/>
    <s v="Smooth Sliky Salty"/>
    <x v="271"/>
    <n v="1887.19"/>
    <n v="488"/>
    <n v="3.86719262295082"/>
    <s v="March"/>
    <s v="Q1"/>
    <s v="Large"/>
  </r>
  <r>
    <s v="Mallorie Waber"/>
    <s v="Australia"/>
    <s v="Spicy Special Slims"/>
    <x v="196"/>
    <n v="6054.04"/>
    <n v="287"/>
    <n v="21.094216027874566"/>
    <s v="June"/>
    <s v="Q2"/>
    <s v="Large"/>
  </r>
  <r>
    <s v="Ches Bonnell"/>
    <s v="Canada"/>
    <s v="Choco Coated Almonds"/>
    <x v="200"/>
    <n v="16254.61"/>
    <n v="268"/>
    <n v="60.651529850746272"/>
    <s v="August"/>
    <s v="Q3"/>
    <s v="Large"/>
  </r>
  <r>
    <s v="Gigi Bohling"/>
    <s v="Canada"/>
    <s v="Spicy Special Slims"/>
    <x v="177"/>
    <n v="13173.56"/>
    <n v="301"/>
    <n v="43.765980066445181"/>
    <s v="July"/>
    <s v="Q3"/>
    <s v="Large"/>
  </r>
  <r>
    <s v="Roddy Speechley"/>
    <s v="New Zealand"/>
    <s v="Almond Choco"/>
    <x v="239"/>
    <n v="2721.46"/>
    <n v="72"/>
    <n v="37.798055555555557"/>
    <s v="March"/>
    <s v="Q1"/>
    <s v="Large"/>
  </r>
  <r>
    <s v="Curtice Advani"/>
    <s v="India"/>
    <s v="Smooth Sliky Salty"/>
    <x v="209"/>
    <n v="19283.64"/>
    <n v="139"/>
    <n v="138.73122302158274"/>
    <s v="April"/>
    <s v="Q2"/>
    <s v="Large"/>
  </r>
  <r>
    <s v="Ches Bonnell"/>
    <s v="New Zealand"/>
    <s v="Mint Chip Choco"/>
    <x v="261"/>
    <n v="9327.52"/>
    <n v="232"/>
    <n v="40.204827586206896"/>
    <s v="January"/>
    <s v="Q1"/>
    <s v="Large"/>
  </r>
  <r>
    <s v="Van Tuxwell"/>
    <s v="New Zealand"/>
    <s v="Fruit &amp; Nut Bars"/>
    <x v="322"/>
    <n v="3184.03"/>
    <n v="85"/>
    <n v="37.45917647058824"/>
    <s v="January"/>
    <s v="Q1"/>
    <s v="Large"/>
  </r>
  <r>
    <s v="Andria Kimpton"/>
    <s v="New Zealand"/>
    <s v="Mint Chip Choco"/>
    <x v="310"/>
    <n v="9738.74"/>
    <n v="209"/>
    <n v="46.596842105263157"/>
    <s v="February"/>
    <s v="Q1"/>
    <s v="Large"/>
  </r>
  <r>
    <s v="Andria Kimpton"/>
    <s v="UK"/>
    <s v="Milk Bars"/>
    <x v="226"/>
    <n v="16486.650000000001"/>
    <n v="314"/>
    <n v="52.505254777070071"/>
    <s v="February"/>
    <s v="Q1"/>
    <s v="Large"/>
  </r>
  <r>
    <s v="Camilla Castle"/>
    <s v="USA"/>
    <s v="Manuka Honey Choco"/>
    <x v="307"/>
    <n v="16792.23"/>
    <n v="184"/>
    <n v="91.26211956521739"/>
    <s v="March"/>
    <s v="Q1"/>
    <s v="Large"/>
  </r>
  <r>
    <s v="Gunar Cockshoot"/>
    <s v="New Zealand"/>
    <s v="Almond Choco"/>
    <x v="247"/>
    <n v="5752.62"/>
    <n v="125"/>
    <n v="46.020960000000002"/>
    <s v="January"/>
    <s v="Q1"/>
    <s v="Large"/>
  </r>
  <r>
    <s v="Brien Boise"/>
    <s v="India"/>
    <s v="Raspberry Choco"/>
    <x v="189"/>
    <n v="6833.28"/>
    <n v="157"/>
    <n v="43.524076433121017"/>
    <s v="May"/>
    <s v="Q2"/>
    <s v="Large"/>
  </r>
  <r>
    <s v="Jehu Rudeforth"/>
    <s v="USA"/>
    <s v="99% Dark &amp; Pure"/>
    <x v="168"/>
    <n v="2815.72"/>
    <n v="222"/>
    <n v="12.683423423423422"/>
    <s v="January"/>
    <s v="Q1"/>
    <s v="Large"/>
  </r>
  <r>
    <s v="Beverie Moffet"/>
    <s v="Australia"/>
    <s v="Fruit &amp; Nut Bars"/>
    <x v="287"/>
    <n v="1545.36"/>
    <n v="269"/>
    <n v="5.7448327137546462"/>
    <s v="April"/>
    <s v="Q2"/>
    <s v="Large"/>
  </r>
  <r>
    <s v="Gigi Bohling"/>
    <s v="Canada"/>
    <s v="Milk Bars"/>
    <x v="325"/>
    <n v="3432.73"/>
    <n v="120"/>
    <n v="28.606083333333334"/>
    <s v="February"/>
    <s v="Q1"/>
    <s v="Large"/>
  </r>
  <r>
    <s v="Dotty Strutley"/>
    <s v="India"/>
    <s v="Spicy Special Slims"/>
    <x v="321"/>
    <n v="1001.99"/>
    <n v="217"/>
    <n v="4.6174654377880184"/>
    <s v="August"/>
    <s v="Q3"/>
    <s v="Large"/>
  </r>
  <r>
    <s v="Gunar Cockshoot"/>
    <s v="USA"/>
    <s v="Organic Choco Syrup"/>
    <x v="218"/>
    <n v="2494.19"/>
    <n v="315"/>
    <n v="7.9180634920634922"/>
    <s v="August"/>
    <s v="Q3"/>
    <s v="Large"/>
  </r>
  <r>
    <s v="Kelci Walkden"/>
    <s v="Australia"/>
    <s v="Raspberry Choco"/>
    <x v="244"/>
    <n v="770.25"/>
    <n v="61"/>
    <n v="12.627049180327869"/>
    <s v="June"/>
    <s v="Q2"/>
    <s v="Large"/>
  </r>
  <r>
    <s v="Jehu Rudeforth"/>
    <s v="India"/>
    <s v="Baker's Choco Chips"/>
    <x v="173"/>
    <n v="2261.98"/>
    <n v="73"/>
    <n v="30.986027397260273"/>
    <s v="June"/>
    <s v="Q2"/>
    <s v="Large"/>
  </r>
  <r>
    <s v="Karlen McCaffrey"/>
    <s v="New Zealand"/>
    <s v="Baker's Choco Chips"/>
    <x v="184"/>
    <n v="5667.58"/>
    <n v="204"/>
    <n v="27.782254901960783"/>
    <s v="April"/>
    <s v="Q2"/>
    <s v="Large"/>
  </r>
  <r>
    <s v="Wilone O'Kielt"/>
    <s v="USA"/>
    <s v="50% Dark Bites"/>
    <x v="326"/>
    <n v="4738.71"/>
    <n v="125"/>
    <n v="37.909680000000002"/>
    <s v="April"/>
    <s v="Q2"/>
    <s v="Large"/>
  </r>
  <r>
    <s v="Andria Kimpton"/>
    <s v="India"/>
    <s v="50% Dark Bites"/>
    <x v="228"/>
    <n v="13661.89"/>
    <n v="15"/>
    <n v="910.79266666666661"/>
    <s v="January"/>
    <s v="Q1"/>
    <s v="Large"/>
  </r>
  <r>
    <s v="Madelene Upcott"/>
    <s v="USA"/>
    <s v="Baker's Choco Chips"/>
    <x v="206"/>
    <n v="6067.19"/>
    <n v="151"/>
    <n v="40.180066225165561"/>
    <s v="August"/>
    <s v="Q3"/>
    <s v="Large"/>
  </r>
  <r>
    <s v="Jehu Rudeforth"/>
    <s v="Australia"/>
    <s v="99% Dark &amp; Pure"/>
    <x v="243"/>
    <n v="11720.99"/>
    <n v="204"/>
    <n v="57.455833333333331"/>
    <s v="February"/>
    <s v="Q1"/>
    <s v="Large"/>
  </r>
  <r>
    <s v="Jan Morforth"/>
    <s v="Australia"/>
    <s v="Mint Chip Choco"/>
    <x v="273"/>
    <n v="19999.55"/>
    <n v="106"/>
    <n v="188.67499999999998"/>
    <s v="February"/>
    <s v="Q1"/>
    <s v="Large"/>
  </r>
  <r>
    <s v="Oby Sorrel"/>
    <s v="New Zealand"/>
    <s v="Milk Bars"/>
    <x v="257"/>
    <n v="4484.03"/>
    <n v="201"/>
    <n v="22.308606965174128"/>
    <s v="January"/>
    <s v="Q1"/>
    <s v="Large"/>
  </r>
  <r>
    <s v="Brien Boise"/>
    <s v="UK"/>
    <s v="Almond Choco"/>
    <x v="231"/>
    <n v="107.24"/>
    <n v="129"/>
    <n v="0.83131782945736432"/>
    <s v="May"/>
    <s v="Q2"/>
    <s v="Small"/>
  </r>
  <r>
    <s v="Kelci Walkden"/>
    <s v="India"/>
    <s v="Smooth Sliky Salty"/>
    <x v="299"/>
    <n v="2525.98"/>
    <n v="8"/>
    <n v="315.7475"/>
    <s v="February"/>
    <s v="Q1"/>
    <s v="Large"/>
  </r>
  <r>
    <s v="Rafaelita Blaksland"/>
    <s v="UK"/>
    <s v="Eclairs"/>
    <x v="171"/>
    <n v="1577.84"/>
    <n v="67"/>
    <n v="23.549850746268657"/>
    <s v="April"/>
    <s v="Q2"/>
    <s v="Large"/>
  </r>
  <r>
    <s v="Gigi Bohling"/>
    <s v="USA"/>
    <s v="Smooth Sliky Salty"/>
    <x v="199"/>
    <n v="2972.07"/>
    <n v="129"/>
    <n v="23.039302325581396"/>
    <s v="July"/>
    <s v="Q3"/>
    <s v="Large"/>
  </r>
  <r>
    <s v="Curtice Advani"/>
    <s v="New Zealand"/>
    <s v="Mint Chip Choco"/>
    <x v="182"/>
    <n v="3691.63"/>
    <n v="284"/>
    <n v="12.998697183098592"/>
    <s v="January"/>
    <s v="Q1"/>
    <s v="Large"/>
  </r>
  <r>
    <s v="Curtice Advani"/>
    <s v="USA"/>
    <s v="Mint Chip Choco"/>
    <x v="200"/>
    <n v="5188.8900000000003"/>
    <n v="293"/>
    <n v="17.709522184300344"/>
    <s v="August"/>
    <s v="Q3"/>
    <s v="Large"/>
  </r>
  <r>
    <s v="Madelene Upcott"/>
    <s v="New Zealand"/>
    <s v="Fruit &amp; Nut Bars"/>
    <x v="261"/>
    <n v="5766.51"/>
    <n v="21"/>
    <n v="274.59571428571428"/>
    <s v="January"/>
    <s v="Q1"/>
    <s v="Large"/>
  </r>
  <r>
    <s v="Karlen McCaffrey"/>
    <s v="India"/>
    <s v="85% Dark Bars"/>
    <x v="327"/>
    <n v="1036.77"/>
    <n v="82"/>
    <n v="12.643536585365853"/>
    <s v="March"/>
    <s v="Q1"/>
    <s v="Large"/>
  </r>
  <r>
    <s v="Ches Bonnell"/>
    <s v="Australia"/>
    <s v="Caramel Stuffed Bars"/>
    <x v="322"/>
    <n v="10033.52"/>
    <n v="163"/>
    <n v="61.555337423312885"/>
    <s v="January"/>
    <s v="Q1"/>
    <s v="Large"/>
  </r>
  <r>
    <s v="Kelci Walkden"/>
    <s v="USA"/>
    <s v="Fruit &amp; Nut Bars"/>
    <x v="188"/>
    <n v="5220.6899999999996"/>
    <n v="154"/>
    <n v="33.900584415584412"/>
    <s v="February"/>
    <s v="Q1"/>
    <s v="Large"/>
  </r>
  <r>
    <s v="Kelci Walkden"/>
    <s v="Canada"/>
    <s v="Peanut Butter Cubes"/>
    <x v="238"/>
    <n v="8106.62"/>
    <n v="47"/>
    <n v="172.48127659574467"/>
    <s v="April"/>
    <s v="Q2"/>
    <s v="Large"/>
  </r>
  <r>
    <s v="Gigi Bohling"/>
    <s v="Canada"/>
    <s v="Drinking Coco"/>
    <x v="215"/>
    <n v="3934.09"/>
    <n v="86"/>
    <n v="45.745232558139534"/>
    <s v="July"/>
    <s v="Q3"/>
    <s v="Large"/>
  </r>
  <r>
    <s v="Husein Augar"/>
    <s v="India"/>
    <s v="Fruit &amp; Nut Bars"/>
    <x v="260"/>
    <n v="4508.93"/>
    <n v="231"/>
    <n v="19.519177489177491"/>
    <s v="April"/>
    <s v="Q2"/>
    <s v="Large"/>
  </r>
  <r>
    <s v="Jan Morforth"/>
    <s v="New Zealand"/>
    <s v="Organic Choco Syrup"/>
    <x v="220"/>
    <n v="1921.57"/>
    <n v="226"/>
    <n v="8.5025221238938045"/>
    <s v="March"/>
    <s v="Q1"/>
    <s v="Large"/>
  </r>
  <r>
    <s v="Gigi Bohling"/>
    <s v="New Zealand"/>
    <s v="Raspberry Choco"/>
    <x v="313"/>
    <n v="1161.31"/>
    <n v="181"/>
    <n v="6.416077348066298"/>
    <s v="August"/>
    <s v="Q3"/>
    <s v="Large"/>
  </r>
  <r>
    <s v="Dennison Crosswaite"/>
    <s v="Australia"/>
    <s v="Milk Bars"/>
    <x v="301"/>
    <n v="11389.29"/>
    <n v="282"/>
    <n v="40.387553191489367"/>
    <s v="June"/>
    <s v="Q2"/>
    <s v="Large"/>
  </r>
  <r>
    <s v="Ches Bonnell"/>
    <s v="UK"/>
    <s v="Caramel Stuffed Bars"/>
    <x v="202"/>
    <n v="3032.3"/>
    <n v="313"/>
    <n v="9.6878594249201289"/>
    <s v="June"/>
    <s v="Q2"/>
    <s v="Large"/>
  </r>
  <r>
    <s v="Van Tuxwell"/>
    <s v="USA"/>
    <s v="Fruit &amp; Nut Bars"/>
    <x v="193"/>
    <n v="6871.55"/>
    <n v="238"/>
    <n v="28.872058823529411"/>
    <s v="July"/>
    <s v="Q3"/>
    <s v="Large"/>
  </r>
  <r>
    <s v="Andria Kimpton"/>
    <s v="Canada"/>
    <s v="Eclairs"/>
    <x v="323"/>
    <n v="339.99"/>
    <n v="124"/>
    <n v="2.7418548387096773"/>
    <s v="August"/>
    <s v="Q3"/>
    <s v="Small"/>
  </r>
  <r>
    <s v="Madelene Upcott"/>
    <s v="India"/>
    <s v="Choco Coated Almonds"/>
    <x v="226"/>
    <n v="3720.22"/>
    <n v="141"/>
    <n v="26.384539007092197"/>
    <s v="February"/>
    <s v="Q1"/>
    <s v="Large"/>
  </r>
  <r>
    <s v="Kelci Walkden"/>
    <s v="New Zealand"/>
    <s v="Spicy Special Slims"/>
    <x v="323"/>
    <n v="731.19"/>
    <n v="69"/>
    <n v="10.596956521739131"/>
    <s v="August"/>
    <s v="Q3"/>
    <s v="Large"/>
  </r>
  <r>
    <s v="Roddy Speechley"/>
    <s v="Australia"/>
    <s v="Drinking Coco"/>
    <x v="233"/>
    <n v="13288.65"/>
    <n v="112"/>
    <n v="118.64866071428571"/>
    <s v="May"/>
    <s v="Q2"/>
    <s v="Large"/>
  </r>
  <r>
    <s v="Wilone O'Kielt"/>
    <s v="USA"/>
    <s v="Milk Bars"/>
    <x v="210"/>
    <n v="5332.79"/>
    <n v="101"/>
    <n v="52.799900990099012"/>
    <s v="July"/>
    <s v="Q3"/>
    <s v="Large"/>
  </r>
  <r>
    <s v="Andria Kimpton"/>
    <s v="India"/>
    <s v="Organic Choco Syrup"/>
    <x v="261"/>
    <n v="3971.78"/>
    <n v="131"/>
    <n v="30.318931297709923"/>
    <s v="January"/>
    <s v="Q1"/>
    <s v="Large"/>
  </r>
  <r>
    <s v="Madelene Upcott"/>
    <s v="UK"/>
    <s v="Fruit &amp; Nut Bars"/>
    <x v="247"/>
    <n v="9538.2099999999991"/>
    <n v="198"/>
    <n v="48.172777777777775"/>
    <s v="January"/>
    <s v="Q1"/>
    <s v="Large"/>
  </r>
  <r>
    <s v="Curtice Advani"/>
    <s v="Australia"/>
    <s v="50% Dark Bites"/>
    <x v="196"/>
    <n v="547.85"/>
    <n v="221"/>
    <n v="2.4789592760180996"/>
    <s v="June"/>
    <s v="Q2"/>
    <s v="Large"/>
  </r>
  <r>
    <s v="Brien Boise"/>
    <s v="Canada"/>
    <s v="Raspberry Choco"/>
    <x v="275"/>
    <n v="2994.76"/>
    <n v="47"/>
    <n v="63.718297872340429"/>
    <s v="June"/>
    <s v="Q2"/>
    <s v="Large"/>
  </r>
  <r>
    <s v="Gunar Cockshoot"/>
    <s v="India"/>
    <s v="Mint Chip Choco"/>
    <x v="283"/>
    <n v="4451.38"/>
    <n v="71"/>
    <n v="62.695492957746481"/>
    <s v="August"/>
    <s v="Q3"/>
    <s v="Large"/>
  </r>
  <r>
    <s v="Dennison Crosswaite"/>
    <s v="India"/>
    <s v="Mint Chip Choco"/>
    <x v="253"/>
    <n v="14691.77"/>
    <n v="143"/>
    <n v="102.73965034965035"/>
    <s v="March"/>
    <s v="Q1"/>
    <s v="Large"/>
  </r>
  <r>
    <s v="Barr Faughny"/>
    <s v="India"/>
    <s v="Caramel Stuffed Bars"/>
    <x v="168"/>
    <n v="7042.98"/>
    <n v="107"/>
    <n v="65.822242990654203"/>
    <s v="January"/>
    <s v="Q1"/>
    <s v="Large"/>
  </r>
  <r>
    <s v="Brien Boise"/>
    <s v="India"/>
    <s v="Milk Bars"/>
    <x v="273"/>
    <n v="15583"/>
    <n v="248"/>
    <n v="62.83467741935484"/>
    <s v="February"/>
    <s v="Q1"/>
    <s v="Large"/>
  </r>
  <r>
    <s v="Beverie Moffet"/>
    <s v="UK"/>
    <s v="Spicy Special Slims"/>
    <x v="188"/>
    <n v="9059.82"/>
    <n v="268"/>
    <n v="33.805298507462687"/>
    <s v="February"/>
    <s v="Q1"/>
    <s v="Large"/>
  </r>
  <r>
    <s v="Barr Faughny"/>
    <s v="USA"/>
    <s v="Almond Choco"/>
    <x v="320"/>
    <n v="430.59"/>
    <n v="85"/>
    <n v="5.0657647058823523"/>
    <s v="February"/>
    <s v="Q1"/>
    <s v="Small"/>
  </r>
  <r>
    <s v="Van Tuxwell"/>
    <s v="Canada"/>
    <s v="Raspberry Choco"/>
    <x v="271"/>
    <n v="1264.25"/>
    <n v="137"/>
    <n v="9.2281021897810227"/>
    <s v="March"/>
    <s v="Q1"/>
    <s v="Large"/>
  </r>
  <r>
    <s v="Wilone O'Kielt"/>
    <s v="Australia"/>
    <s v="Baker's Choco Chips"/>
    <x v="174"/>
    <n v="2995.47"/>
    <n v="156"/>
    <n v="19.201730769230767"/>
    <s v="January"/>
    <s v="Q1"/>
    <s v="Large"/>
  </r>
  <r>
    <s v="Brien Boise"/>
    <s v="Australia"/>
    <s v="Milk Bars"/>
    <x v="277"/>
    <n v="2117.8200000000002"/>
    <n v="56"/>
    <n v="37.818214285714291"/>
    <s v="July"/>
    <s v="Q3"/>
    <s v="Large"/>
  </r>
  <r>
    <s v="Husein Augar"/>
    <s v="Australia"/>
    <s v="Fruit &amp; Nut Bars"/>
    <x v="250"/>
    <n v="8081.79"/>
    <n v="54"/>
    <n v="149.66277777777779"/>
    <s v="January"/>
    <s v="Q1"/>
    <s v="Large"/>
  </r>
  <r>
    <s v="Madelene Upcott"/>
    <s v="Australia"/>
    <s v="Organic Choco Syrup"/>
    <x v="193"/>
    <n v="11542.54"/>
    <n v="49"/>
    <n v="235.56204081632654"/>
    <s v="July"/>
    <s v="Q3"/>
    <s v="Large"/>
  </r>
  <r>
    <s v="Van Tuxwell"/>
    <s v="India"/>
    <s v="White Choc"/>
    <x v="279"/>
    <n v="2183.6799999999998"/>
    <n v="46"/>
    <n v="47.471304347826084"/>
    <s v="March"/>
    <s v="Q1"/>
    <s v="Large"/>
  </r>
  <r>
    <s v="Gunar Cockshoot"/>
    <s v="Canada"/>
    <s v="After Nines"/>
    <x v="285"/>
    <n v="3125.34"/>
    <n v="191"/>
    <n v="16.36303664921466"/>
    <s v="August"/>
    <s v="Q3"/>
    <s v="Large"/>
  </r>
  <r>
    <s v="Jan Morforth"/>
    <s v="USA"/>
    <s v="Fruit &amp; Nut Bars"/>
    <x v="187"/>
    <n v="4891.8599999999997"/>
    <n v="380"/>
    <n v="12.873315789473683"/>
    <s v="June"/>
    <s v="Q2"/>
    <s v="Large"/>
  </r>
  <r>
    <s v="Jan Morforth"/>
    <s v="Canada"/>
    <s v="After Nines"/>
    <x v="225"/>
    <n v="4881.32"/>
    <n v="183"/>
    <n v="26.673879781420762"/>
    <s v="July"/>
    <s v="Q3"/>
    <s v="Large"/>
  </r>
  <r>
    <s v="Barr Faughny"/>
    <s v="New Zealand"/>
    <s v="Manuka Honey Choco"/>
    <x v="172"/>
    <n v="5917.62"/>
    <n v="238"/>
    <n v="24.863949579831932"/>
    <s v="February"/>
    <s v="Q1"/>
    <s v="Large"/>
  </r>
  <r>
    <s v="Karlen McCaffrey"/>
    <s v="New Zealand"/>
    <s v="85% Dark Bars"/>
    <x v="212"/>
    <n v="6312.53"/>
    <n v="60"/>
    <n v="105.20883333333333"/>
    <s v="June"/>
    <s v="Q2"/>
    <s v="Large"/>
  </r>
  <r>
    <s v="Oby Sorrel"/>
    <s v="Australia"/>
    <s v="85% Dark Bars"/>
    <x v="198"/>
    <n v="7956.28"/>
    <n v="27"/>
    <n v="294.67703703703705"/>
    <s v="June"/>
    <s v="Q2"/>
    <s v="Large"/>
  </r>
  <r>
    <s v="Curtice Advani"/>
    <s v="Canada"/>
    <s v="Choco Coated Almonds"/>
    <x v="229"/>
    <n v="5895.88"/>
    <n v="7"/>
    <n v="842.26857142857148"/>
    <s v="August"/>
    <s v="Q3"/>
    <s v="Large"/>
  </r>
  <r>
    <s v="Kaine Padly"/>
    <s v="India"/>
    <s v="70% Dark Bites"/>
    <x v="248"/>
    <n v="13535.7"/>
    <n v="296"/>
    <n v="45.72871621621622"/>
    <s v="January"/>
    <s v="Q1"/>
    <s v="Large"/>
  </r>
  <r>
    <s v="Beverie Moffet"/>
    <s v="USA"/>
    <s v="White Choc"/>
    <x v="222"/>
    <n v="5639.9"/>
    <n v="129"/>
    <n v="43.720155038759685"/>
    <s v="March"/>
    <s v="Q1"/>
    <s v="Large"/>
  </r>
  <r>
    <s v="Ches Bonnell"/>
    <s v="New Zealand"/>
    <s v="After Nines"/>
    <x v="298"/>
    <n v="5813.44"/>
    <n v="356"/>
    <n v="16.329887640449439"/>
    <s v="June"/>
    <s v="Q2"/>
    <s v="Large"/>
  </r>
  <r>
    <s v="Husein Augar"/>
    <s v="India"/>
    <s v="Spicy Special Slims"/>
    <x v="206"/>
    <n v="2514.8200000000002"/>
    <n v="32"/>
    <n v="78.588125000000005"/>
    <s v="August"/>
    <s v="Q3"/>
    <s v="Large"/>
  </r>
  <r>
    <s v="Gunar Cockshoot"/>
    <s v="Canada"/>
    <s v="50% Dark Bites"/>
    <x v="168"/>
    <n v="3044.01"/>
    <n v="22"/>
    <n v="138.36409090909092"/>
    <s v="January"/>
    <s v="Q1"/>
    <s v="Large"/>
  </r>
  <r>
    <s v="Curtice Advani"/>
    <s v="India"/>
    <s v="Milk Bars"/>
    <x v="184"/>
    <n v="3902.04"/>
    <n v="214"/>
    <n v="18.233831775700935"/>
    <s v="April"/>
    <s v="Q2"/>
    <s v="Large"/>
  </r>
  <r>
    <s v="Beverie Moffet"/>
    <s v="India"/>
    <s v="Milk Bars"/>
    <x v="203"/>
    <n v="1928.74"/>
    <n v="354"/>
    <n v="5.4484180790960455"/>
    <s v="April"/>
    <s v="Q2"/>
    <s v="Large"/>
  </r>
  <r>
    <s v="Husein Augar"/>
    <s v="Australia"/>
    <s v="White Choc"/>
    <x v="197"/>
    <n v="3251.53"/>
    <n v="241"/>
    <n v="13.49182572614108"/>
    <s v="May"/>
    <s v="Q2"/>
    <s v="Large"/>
  </r>
  <r>
    <s v="Andria Kimpton"/>
    <s v="Canada"/>
    <s v="Manuka Honey Choco"/>
    <x v="297"/>
    <n v="5031.9399999999996"/>
    <n v="495"/>
    <n v="10.165535353535352"/>
    <s v="July"/>
    <s v="Q3"/>
    <s v="Large"/>
  </r>
  <r>
    <s v="Jan Morforth"/>
    <s v="New Zealand"/>
    <s v="Orange Choco"/>
    <x v="226"/>
    <n v="1350.26"/>
    <n v="89"/>
    <n v="15.171460674157304"/>
    <s v="February"/>
    <s v="Q1"/>
    <s v="Large"/>
  </r>
  <r>
    <s v="Andria Kimpton"/>
    <s v="Canada"/>
    <s v="Smooth Sliky Salty"/>
    <x v="219"/>
    <n v="1187.71"/>
    <n v="75"/>
    <n v="15.836133333333335"/>
    <s v="July"/>
    <s v="Q3"/>
    <s v="Large"/>
  </r>
  <r>
    <s v="Gunar Cockshoot"/>
    <s v="UK"/>
    <s v="Raspberry Choco"/>
    <x v="323"/>
    <n v="7055.38"/>
    <n v="334"/>
    <n v="21.123892215568862"/>
    <s v="August"/>
    <s v="Q3"/>
    <s v="Large"/>
  </r>
  <r>
    <s v="Husein Augar"/>
    <s v="New Zealand"/>
    <s v="After Nines"/>
    <x v="285"/>
    <n v="7231.89"/>
    <n v="8"/>
    <n v="903.98625000000004"/>
    <s v="August"/>
    <s v="Q3"/>
    <s v="Large"/>
  </r>
  <r>
    <s v="Andria Kimpton"/>
    <s v="New Zealand"/>
    <s v="Orange Choco"/>
    <x v="275"/>
    <n v="9295.83"/>
    <n v="93"/>
    <n v="99.955161290322579"/>
    <s v="June"/>
    <s v="Q2"/>
    <s v="Large"/>
  </r>
  <r>
    <s v="Dennison Crosswaite"/>
    <s v="UK"/>
    <s v="Baker's Choco Chips"/>
    <x v="322"/>
    <n v="2276.94"/>
    <n v="296"/>
    <n v="7.6923648648648655"/>
    <s v="January"/>
    <s v="Q1"/>
    <s v="Large"/>
  </r>
  <r>
    <s v="Jehu Rudeforth"/>
    <s v="Canada"/>
    <s v="Orange Choco"/>
    <x v="298"/>
    <n v="4229.79"/>
    <n v="548"/>
    <n v="7.7185948905109489"/>
    <s v="June"/>
    <s v="Q2"/>
    <s v="Large"/>
  </r>
  <r>
    <s v="Jehu Rudeforth"/>
    <s v="UK"/>
    <s v="Smooth Sliky Salty"/>
    <x v="200"/>
    <n v="1640.53"/>
    <n v="119"/>
    <n v="13.785966386554621"/>
    <s v="August"/>
    <s v="Q3"/>
    <s v="Large"/>
  </r>
  <r>
    <s v="Andria Kimpton"/>
    <s v="UK"/>
    <s v="Caramel Stuffed Bars"/>
    <x v="244"/>
    <n v="8234.5"/>
    <n v="294"/>
    <n v="28.008503401360546"/>
    <s v="June"/>
    <s v="Q2"/>
    <s v="Large"/>
  </r>
  <r>
    <s v="Jan Morforth"/>
    <s v="UK"/>
    <s v="White Choc"/>
    <x v="305"/>
    <n v="10087.040000000001"/>
    <n v="46"/>
    <n v="219.28347826086957"/>
    <s v="June"/>
    <s v="Q2"/>
    <s v="Large"/>
  </r>
  <r>
    <s v="Dotty Strutley"/>
    <s v="USA"/>
    <s v="Fruit &amp; Nut Bars"/>
    <x v="225"/>
    <n v="3169.26"/>
    <n v="281"/>
    <n v="11.278505338078293"/>
    <s v="July"/>
    <s v="Q3"/>
    <s v="Large"/>
  </r>
  <r>
    <s v="Kelci Walkden"/>
    <s v="UK"/>
    <s v="Choco Coated Almonds"/>
    <x v="195"/>
    <n v="10355.42"/>
    <n v="215"/>
    <n v="48.164744186046512"/>
    <s v="May"/>
    <s v="Q2"/>
    <s v="Large"/>
  </r>
  <r>
    <s v="Gunar Cockshoot"/>
    <s v="New Zealand"/>
    <s v="After Nines"/>
    <x v="313"/>
    <n v="7772.63"/>
    <n v="140"/>
    <n v="55.518785714285713"/>
    <s v="August"/>
    <s v="Q3"/>
    <s v="Large"/>
  </r>
  <r>
    <s v="Kaine Padly"/>
    <s v="Canada"/>
    <s v="85% Dark Bars"/>
    <x v="249"/>
    <n v="1992.77"/>
    <n v="31"/>
    <n v="64.28290322580645"/>
    <s v="April"/>
    <s v="Q2"/>
    <s v="Large"/>
  </r>
  <r>
    <s v="Jan Morforth"/>
    <s v="New Zealand"/>
    <s v="Manuka Honey Choco"/>
    <x v="180"/>
    <n v="1815.56"/>
    <n v="266"/>
    <n v="6.8254135338345865"/>
    <s v="July"/>
    <s v="Q3"/>
    <s v="Large"/>
  </r>
  <r>
    <s v="Gunar Cockshoot"/>
    <s v="New Zealand"/>
    <s v="Raspberry Choco"/>
    <x v="200"/>
    <n v="727.11"/>
    <n v="50"/>
    <n v="14.542200000000001"/>
    <s v="August"/>
    <s v="Q3"/>
    <s v="Large"/>
  </r>
  <r>
    <s v="Van Tuxwell"/>
    <s v="Australia"/>
    <s v="99% Dark &amp; Pure"/>
    <x v="322"/>
    <n v="114.96"/>
    <n v="132"/>
    <n v="0.87090909090909085"/>
    <s v="January"/>
    <s v="Q1"/>
    <s v="Small"/>
  </r>
  <r>
    <s v="Curtice Advani"/>
    <s v="USA"/>
    <s v="Drinking Coco"/>
    <x v="232"/>
    <n v="5378.09"/>
    <n v="142"/>
    <n v="37.87387323943662"/>
    <s v="February"/>
    <s v="Q1"/>
    <s v="Large"/>
  </r>
  <r>
    <s v="Brien Boise"/>
    <s v="Australia"/>
    <s v="Spicy Special Slims"/>
    <x v="290"/>
    <n v="6707.63"/>
    <n v="269"/>
    <n v="24.935427509293682"/>
    <s v="May"/>
    <s v="Q2"/>
    <s v="Large"/>
  </r>
  <r>
    <s v="Mallorie Waber"/>
    <s v="New Zealand"/>
    <s v="85% Dark Bars"/>
    <x v="173"/>
    <n v="8167.18"/>
    <n v="102"/>
    <n v="80.070392156862752"/>
    <s v="June"/>
    <s v="Q2"/>
    <s v="Large"/>
  </r>
  <r>
    <s v="Wilone O'Kielt"/>
    <s v="USA"/>
    <s v="Choco Coated Almonds"/>
    <x v="173"/>
    <n v="9950.14"/>
    <n v="6"/>
    <n v="1658.3566666666666"/>
    <s v="June"/>
    <s v="Q2"/>
    <s v="Large"/>
  </r>
  <r>
    <s v="Beverie Moffet"/>
    <s v="New Zealand"/>
    <s v="Organic Choco Syrup"/>
    <x v="195"/>
    <n v="7229.26"/>
    <n v="215"/>
    <n v="33.624465116279069"/>
    <s v="May"/>
    <s v="Q2"/>
    <s v="Large"/>
  </r>
  <r>
    <s v="Gunar Cockshoot"/>
    <s v="UK"/>
    <s v="50% Dark Bites"/>
    <x v="178"/>
    <n v="2260.21"/>
    <n v="128"/>
    <n v="17.657890625"/>
    <s v="January"/>
    <s v="Q1"/>
    <s v="Large"/>
  </r>
  <r>
    <s v="Marney O'Breen"/>
    <s v="USA"/>
    <s v="Raspberry Choco"/>
    <x v="291"/>
    <n v="6206.9"/>
    <n v="149"/>
    <n v="41.657046979865768"/>
    <s v="May"/>
    <s v="Q2"/>
    <s v="Large"/>
  </r>
  <r>
    <s v="Jehu Rudeforth"/>
    <s v="UK"/>
    <s v="White Choc"/>
    <x v="196"/>
    <n v="1889.83"/>
    <n v="286"/>
    <n v="6.6077972027972027"/>
    <s v="June"/>
    <s v="Q2"/>
    <s v="Large"/>
  </r>
  <r>
    <s v="Jehu Rudeforth"/>
    <s v="New Zealand"/>
    <s v="85% Dark Bars"/>
    <x v="222"/>
    <n v="7797.24"/>
    <n v="88"/>
    <n v="88.605000000000004"/>
    <s v="March"/>
    <s v="Q1"/>
    <s v="Large"/>
  </r>
  <r>
    <s v="Dotty Strutley"/>
    <s v="USA"/>
    <s v="85% Dark Bars"/>
    <x v="259"/>
    <n v="11644.92"/>
    <n v="536"/>
    <n v="21.725597014925373"/>
    <s v="April"/>
    <s v="Q2"/>
    <s v="Large"/>
  </r>
  <r>
    <s v="Rafaelita Blaksland"/>
    <s v="Australia"/>
    <s v="Smooth Sliky Salty"/>
    <x v="189"/>
    <n v="4207.22"/>
    <n v="255"/>
    <n v="16.498901960784316"/>
    <s v="May"/>
    <s v="Q2"/>
    <s v="Large"/>
  </r>
  <r>
    <s v="Curtice Advani"/>
    <s v="India"/>
    <s v="Manuka Honey Choco"/>
    <x v="291"/>
    <n v="1683.88"/>
    <n v="169"/>
    <n v="9.9637869822485214"/>
    <s v="May"/>
    <s v="Q2"/>
    <s v="Large"/>
  </r>
  <r>
    <s v="Mallorie Waber"/>
    <s v="USA"/>
    <s v="Peanut Butter Cubes"/>
    <x v="291"/>
    <n v="1337.36"/>
    <n v="18"/>
    <n v="74.297777777777767"/>
    <s v="May"/>
    <s v="Q2"/>
    <s v="Large"/>
  </r>
  <r>
    <s v="Van Tuxwell"/>
    <s v="Canada"/>
    <s v="Peanut Butter Cubes"/>
    <x v="300"/>
    <n v="7147.04"/>
    <n v="300"/>
    <n v="23.823466666666665"/>
    <s v="June"/>
    <s v="Q2"/>
    <s v="Large"/>
  </r>
  <r>
    <s v="Kelci Walkden"/>
    <s v="New Zealand"/>
    <s v="Smooth Sliky Salty"/>
    <x v="222"/>
    <n v="12030.46"/>
    <n v="296"/>
    <n v="40.643445945945942"/>
    <s v="March"/>
    <s v="Q1"/>
    <s v="Large"/>
  </r>
  <r>
    <s v="Rafaelita Blaksland"/>
    <s v="USA"/>
    <s v="Smooth Sliky Salty"/>
    <x v="277"/>
    <n v="15844.58"/>
    <n v="232"/>
    <n v="68.295603448275855"/>
    <s v="July"/>
    <s v="Q3"/>
    <s v="Large"/>
  </r>
  <r>
    <s v="Rafaelita Blaksland"/>
    <s v="USA"/>
    <s v="White Choc"/>
    <x v="328"/>
    <n v="5025.84"/>
    <n v="133"/>
    <n v="37.788270676691731"/>
    <s v="August"/>
    <s v="Q3"/>
    <s v="Large"/>
  </r>
  <r>
    <s v="Roddy Speechley"/>
    <s v="Canada"/>
    <s v="Smooth Sliky Salty"/>
    <x v="234"/>
    <n v="9902.0300000000007"/>
    <n v="12"/>
    <n v="825.16916666666668"/>
    <s v="March"/>
    <s v="Q1"/>
    <s v="Large"/>
  </r>
  <r>
    <s v="Curtice Advani"/>
    <s v="New Zealand"/>
    <s v="After Nines"/>
    <x v="184"/>
    <n v="7944.07"/>
    <n v="33"/>
    <n v="240.72939393939393"/>
    <s v="April"/>
    <s v="Q2"/>
    <s v="Large"/>
  </r>
  <r>
    <s v="Camilla Castle"/>
    <s v="India"/>
    <s v="85% Dark Bars"/>
    <x v="284"/>
    <n v="9523.65"/>
    <n v="55"/>
    <n v="173.15727272727273"/>
    <s v="May"/>
    <s v="Q2"/>
    <s v="Large"/>
  </r>
  <r>
    <s v="Ches Bonnell"/>
    <s v="USA"/>
    <s v="Choco Coated Almonds"/>
    <x v="168"/>
    <n v="16240.71"/>
    <n v="93"/>
    <n v="174.63129032258064"/>
    <s v="January"/>
    <s v="Q1"/>
    <s v="Large"/>
  </r>
  <r>
    <s v="Marney O'Breen"/>
    <s v="Australia"/>
    <s v="Baker's Choco Chips"/>
    <x v="178"/>
    <n v="5891.94"/>
    <n v="109"/>
    <n v="54.054495412844034"/>
    <s v="January"/>
    <s v="Q1"/>
    <s v="Large"/>
  </r>
  <r>
    <s v="Wilone O'Kielt"/>
    <s v="New Zealand"/>
    <s v="Fruit &amp; Nut Bars"/>
    <x v="204"/>
    <n v="6924.52"/>
    <n v="94"/>
    <n v="73.665106382978735"/>
    <s v="July"/>
    <s v="Q3"/>
    <s v="Large"/>
  </r>
  <r>
    <s v="Kaine Padly"/>
    <s v="Australia"/>
    <s v="Mint Chip Choco"/>
    <x v="302"/>
    <n v="4552.57"/>
    <n v="158"/>
    <n v="28.813734177215188"/>
    <s v="May"/>
    <s v="Q2"/>
    <s v="Large"/>
  </r>
  <r>
    <s v="Camilla Castle"/>
    <s v="New Zealand"/>
    <s v="Peanut Butter Cubes"/>
    <x v="297"/>
    <n v="1724.91"/>
    <n v="60"/>
    <n v="28.7485"/>
    <s v="July"/>
    <s v="Q3"/>
    <s v="Large"/>
  </r>
  <r>
    <s v="Curtice Advani"/>
    <s v="Canada"/>
    <s v="Organic Choco Syrup"/>
    <x v="273"/>
    <n v="897.3"/>
    <n v="21"/>
    <n v="42.728571428571428"/>
    <s v="February"/>
    <s v="Q1"/>
    <s v="Large"/>
  </r>
  <r>
    <s v="Jan Morforth"/>
    <s v="India"/>
    <s v="99% Dark &amp; Pure"/>
    <x v="291"/>
    <n v="10283.9"/>
    <n v="178"/>
    <n v="57.774719101123594"/>
    <s v="May"/>
    <s v="Q2"/>
    <s v="Large"/>
  </r>
  <r>
    <s v="Rafaelita Blaksland"/>
    <s v="Canada"/>
    <s v="Drinking Coco"/>
    <x v="265"/>
    <n v="10415.77"/>
    <n v="200"/>
    <n v="52.078850000000003"/>
    <s v="July"/>
    <s v="Q3"/>
    <s v="Large"/>
  </r>
  <r>
    <s v="Jan Morforth"/>
    <s v="UK"/>
    <s v="Orange Choco"/>
    <x v="194"/>
    <n v="4220.83"/>
    <n v="193"/>
    <n v="21.86958549222798"/>
    <s v="June"/>
    <s v="Q2"/>
    <s v="Large"/>
  </r>
  <r>
    <s v="Barr Faughny"/>
    <s v="New Zealand"/>
    <s v="50% Dark Bites"/>
    <x v="298"/>
    <n v="4909.8599999999997"/>
    <n v="304"/>
    <n v="16.150855263157894"/>
    <s v="June"/>
    <s v="Q2"/>
    <s v="Large"/>
  </r>
  <r>
    <s v="Curtice Advani"/>
    <s v="Australia"/>
    <s v="Eclairs"/>
    <x v="280"/>
    <n v="6549.62"/>
    <n v="53"/>
    <n v="123.57773584905661"/>
    <s v="March"/>
    <s v="Q1"/>
    <s v="Large"/>
  </r>
  <r>
    <s v="Jan Morforth"/>
    <s v="India"/>
    <s v="Caramel Stuffed Bars"/>
    <x v="177"/>
    <n v="88.72"/>
    <n v="165"/>
    <n v="0.53769696969696967"/>
    <s v="July"/>
    <s v="Q3"/>
    <s v="Small"/>
  </r>
  <r>
    <s v="Andria Kimpton"/>
    <s v="UK"/>
    <s v="White Choc"/>
    <x v="233"/>
    <n v="9793.16"/>
    <n v="110"/>
    <n v="89.028727272727266"/>
    <s v="May"/>
    <s v="Q2"/>
    <s v="Large"/>
  </r>
  <r>
    <s v="Camilla Castle"/>
    <s v="New Zealand"/>
    <s v="Raspberry Choco"/>
    <x v="260"/>
    <n v="4823.6499999999996"/>
    <n v="143"/>
    <n v="33.731818181818177"/>
    <s v="April"/>
    <s v="Q2"/>
    <s v="Large"/>
  </r>
  <r>
    <s v="Madelene Upcott"/>
    <s v="Australia"/>
    <s v="Orange Choco"/>
    <x v="203"/>
    <n v="7556.55"/>
    <n v="404"/>
    <n v="18.704331683168316"/>
    <s v="April"/>
    <s v="Q2"/>
    <s v="Large"/>
  </r>
  <r>
    <s v="Roddy Speechley"/>
    <s v="Canada"/>
    <s v="Eclairs"/>
    <x v="289"/>
    <n v="7082.03"/>
    <n v="95"/>
    <n v="74.547684210526313"/>
    <s v="March"/>
    <s v="Q1"/>
    <s v="Large"/>
  </r>
  <r>
    <s v="Karlen McCaffrey"/>
    <s v="India"/>
    <s v="White Choc"/>
    <x v="322"/>
    <n v="8361.4699999999993"/>
    <n v="231"/>
    <n v="36.196839826839827"/>
    <s v="January"/>
    <s v="Q1"/>
    <s v="Large"/>
  </r>
  <r>
    <s v="Wilone O'Kielt"/>
    <s v="India"/>
    <s v="Mint Chip Choco"/>
    <x v="206"/>
    <n v="1310.5"/>
    <n v="52"/>
    <n v="25.201923076923077"/>
    <s v="August"/>
    <s v="Q3"/>
    <s v="Large"/>
  </r>
  <r>
    <s v="Andria Kimpton"/>
    <s v="UK"/>
    <s v="99% Dark &amp; Pure"/>
    <x v="258"/>
    <n v="1288.0999999999999"/>
    <n v="67"/>
    <n v="19.225373134328358"/>
    <s v="July"/>
    <s v="Q3"/>
    <s v="Large"/>
  </r>
  <r>
    <s v="Marney O'Breen"/>
    <s v="UK"/>
    <s v="50% Dark Bites"/>
    <x v="275"/>
    <n v="3288.29"/>
    <n v="133"/>
    <n v="24.723984962406014"/>
    <s v="June"/>
    <s v="Q2"/>
    <s v="Large"/>
  </r>
  <r>
    <s v="Ches Bonnell"/>
    <s v="India"/>
    <s v="Choco Coated Almonds"/>
    <x v="184"/>
    <n v="10669.09"/>
    <n v="85"/>
    <n v="125.51870588235295"/>
    <s v="April"/>
    <s v="Q2"/>
    <s v="Large"/>
  </r>
  <r>
    <s v="Madelene Upcott"/>
    <s v="UK"/>
    <s v="Raspberry Choco"/>
    <x v="224"/>
    <n v="7361.93"/>
    <n v="344"/>
    <n v="21.400959302325582"/>
    <s v="August"/>
    <s v="Q3"/>
    <s v="Large"/>
  </r>
  <r>
    <s v="Wilone O'Kielt"/>
    <s v="Australia"/>
    <s v="50% Dark Bites"/>
    <x v="181"/>
    <n v="10336.219999999999"/>
    <n v="123"/>
    <n v="84.034308943089428"/>
    <s v="August"/>
    <s v="Q3"/>
    <s v="Large"/>
  </r>
  <r>
    <s v="Gigi Bohling"/>
    <s v="Canada"/>
    <s v="White Choc"/>
    <x v="204"/>
    <n v="6985.95"/>
    <n v="4"/>
    <n v="1746.4875"/>
    <s v="July"/>
    <s v="Q3"/>
    <s v="Large"/>
  </r>
  <r>
    <s v="Wilone O'Kielt"/>
    <s v="New Zealand"/>
    <s v="Eclairs"/>
    <x v="222"/>
    <n v="3394.46"/>
    <n v="21"/>
    <n v="161.64095238095237"/>
    <s v="March"/>
    <s v="Q1"/>
    <s v="Large"/>
  </r>
  <r>
    <s v="Brien Boise"/>
    <s v="UK"/>
    <s v="Peanut Butter Cubes"/>
    <x v="221"/>
    <n v="15337.23"/>
    <n v="31"/>
    <n v="494.74935483870968"/>
    <s v="January"/>
    <s v="Q1"/>
    <s v="Large"/>
  </r>
  <r>
    <s v="Roddy Speechley"/>
    <s v="UK"/>
    <s v="Baker's Choco Chips"/>
    <x v="260"/>
    <n v="15925.17"/>
    <n v="378"/>
    <n v="42.130079365079368"/>
    <s v="April"/>
    <s v="Q2"/>
    <s v="Large"/>
  </r>
  <r>
    <s v="Karlen McCaffrey"/>
    <s v="Australia"/>
    <s v="50% Dark Bites"/>
    <x v="322"/>
    <n v="7355.77"/>
    <n v="772"/>
    <n v="9.5281994818652862"/>
    <s v="January"/>
    <s v="Q1"/>
    <s v="Large"/>
  </r>
  <r>
    <s v="Marney O'Breen"/>
    <s v="New Zealand"/>
    <s v="Organic Choco Syrup"/>
    <x v="219"/>
    <n v="9489.27"/>
    <n v="54"/>
    <n v="175.72722222222222"/>
    <s v="July"/>
    <s v="Q3"/>
    <s v="Large"/>
  </r>
  <r>
    <s v="Jan Morforth"/>
    <s v="UK"/>
    <s v="Organic Choco Syrup"/>
    <x v="245"/>
    <n v="1281.32"/>
    <n v="354"/>
    <n v="3.6195480225988699"/>
    <s v="April"/>
    <s v="Q2"/>
    <s v="Large"/>
  </r>
  <r>
    <s v="Rafaelita Blaksland"/>
    <s v="Canada"/>
    <s v="Fruit &amp; Nut Bars"/>
    <x v="200"/>
    <n v="518.07000000000005"/>
    <n v="192"/>
    <n v="2.6982812500000004"/>
    <s v="August"/>
    <s v="Q3"/>
    <s v="Large"/>
  </r>
  <r>
    <s v="Ches Bonnell"/>
    <s v="UK"/>
    <s v="Choco Coated Almonds"/>
    <x v="244"/>
    <n v="1933.56"/>
    <n v="239"/>
    <n v="8.0902092050209209"/>
    <s v="June"/>
    <s v="Q2"/>
    <s v="Large"/>
  </r>
  <r>
    <s v="Gunar Cockshoot"/>
    <s v="Canada"/>
    <s v="Almond Choco"/>
    <x v="180"/>
    <n v="1308.52"/>
    <n v="30"/>
    <n v="43.617333333333335"/>
    <s v="July"/>
    <s v="Q3"/>
    <s v="Large"/>
  </r>
  <r>
    <s v="Husein Augar"/>
    <s v="USA"/>
    <s v="99% Dark &amp; Pure"/>
    <x v="252"/>
    <n v="9878.5"/>
    <n v="111"/>
    <n v="88.99549549549549"/>
    <s v="February"/>
    <s v="Q1"/>
    <s v="Large"/>
  </r>
  <r>
    <s v="Dennison Crosswaite"/>
    <s v="Canada"/>
    <s v="Mint Chip Choco"/>
    <x v="238"/>
    <n v="1943.7"/>
    <n v="297"/>
    <n v="6.5444444444444443"/>
    <s v="April"/>
    <s v="Q2"/>
    <s v="Large"/>
  </r>
  <r>
    <s v="Brien Boise"/>
    <s v="UK"/>
    <s v="Manuka Honey Choco"/>
    <x v="212"/>
    <n v="80.62"/>
    <n v="103"/>
    <n v="0.78271844660194179"/>
    <s v="June"/>
    <s v="Q2"/>
    <s v="Small"/>
  </r>
  <r>
    <s v="Van Tuxwell"/>
    <s v="UK"/>
    <s v="Baker's Choco Chips"/>
    <x v="175"/>
    <n v="2678.37"/>
    <n v="20"/>
    <n v="133.91849999999999"/>
    <s v="March"/>
    <s v="Q1"/>
    <s v="Large"/>
  </r>
  <r>
    <s v="Barr Faughny"/>
    <s v="Australia"/>
    <s v="Caramel Stuffed Bars"/>
    <x v="267"/>
    <n v="2931.1"/>
    <n v="60"/>
    <n v="48.851666666666667"/>
    <s v="July"/>
    <s v="Q3"/>
    <s v="Large"/>
  </r>
  <r>
    <s v="Dennison Crosswaite"/>
    <s v="USA"/>
    <s v="Eclairs"/>
    <x v="231"/>
    <n v="2316.09"/>
    <n v="90"/>
    <n v="25.734333333333336"/>
    <s v="May"/>
    <s v="Q2"/>
    <s v="Large"/>
  </r>
  <r>
    <s v="Gigi Bohling"/>
    <s v="Australia"/>
    <s v="Raspberry Choco"/>
    <x v="327"/>
    <n v="6722.22"/>
    <n v="330"/>
    <n v="20.370363636363638"/>
    <s v="March"/>
    <s v="Q1"/>
    <s v="Large"/>
  </r>
  <r>
    <s v="Dennison Crosswaite"/>
    <s v="USA"/>
    <s v="Organic Choco Syrup"/>
    <x v="303"/>
    <n v="14528.51"/>
    <n v="134"/>
    <n v="108.42171641791045"/>
    <s v="July"/>
    <s v="Q3"/>
    <s v="Large"/>
  </r>
  <r>
    <s v="Beverie Moffet"/>
    <s v="Canada"/>
    <s v="Orange Choco"/>
    <x v="314"/>
    <n v="9390.2800000000007"/>
    <n v="104"/>
    <n v="90.291153846153847"/>
    <s v="May"/>
    <s v="Q2"/>
    <s v="Large"/>
  </r>
  <r>
    <s v="Mallorie Waber"/>
    <s v="Australia"/>
    <s v="Choco Coated Almonds"/>
    <x v="281"/>
    <n v="16230.41"/>
    <n v="94"/>
    <n v="172.66393617021276"/>
    <s v="March"/>
    <s v="Q1"/>
    <s v="Large"/>
  </r>
  <r>
    <s v="Ches Bonnell"/>
    <s v="India"/>
    <s v="Caramel Stuffed Bars"/>
    <x v="194"/>
    <n v="7224.39"/>
    <n v="55"/>
    <n v="131.35254545454546"/>
    <s v="June"/>
    <s v="Q2"/>
    <s v="Large"/>
  </r>
  <r>
    <s v="Van Tuxwell"/>
    <s v="Canada"/>
    <s v="50% Dark Bites"/>
    <x v="233"/>
    <n v="15567.58"/>
    <n v="57"/>
    <n v="273.11543859649123"/>
    <s v="May"/>
    <s v="Q2"/>
    <s v="Large"/>
  </r>
  <r>
    <s v="Kelci Walkden"/>
    <s v="New Zealand"/>
    <s v="Baker's Choco Chips"/>
    <x v="298"/>
    <n v="2964.2"/>
    <n v="105"/>
    <n v="28.230476190476189"/>
    <s v="June"/>
    <s v="Q2"/>
    <s v="Large"/>
  </r>
  <r>
    <s v="Beverie Moffet"/>
    <s v="India"/>
    <s v="Spicy Special Slims"/>
    <x v="294"/>
    <n v="3357.08"/>
    <n v="186"/>
    <n v="18.048817204301074"/>
    <s v="April"/>
    <s v="Q2"/>
    <s v="Large"/>
  </r>
  <r>
    <s v="Gigi Bohling"/>
    <s v="Australia"/>
    <s v="Almond Choco"/>
    <x v="288"/>
    <n v="1010.37"/>
    <n v="127"/>
    <n v="7.9556692913385829"/>
    <s v="August"/>
    <s v="Q3"/>
    <s v="Large"/>
  </r>
  <r>
    <s v="Rafaelita Blaksland"/>
    <s v="New Zealand"/>
    <s v="Eclairs"/>
    <x v="232"/>
    <n v="20470.43"/>
    <n v="54"/>
    <n v="379.08203703703703"/>
    <s v="February"/>
    <s v="Q1"/>
    <s v="Large"/>
  </r>
  <r>
    <s v="Kelci Walkden"/>
    <s v="Canada"/>
    <s v="Smooth Sliky Salty"/>
    <x v="271"/>
    <n v="8762.75"/>
    <n v="115"/>
    <n v="76.197826086956525"/>
    <s v="March"/>
    <s v="Q1"/>
    <s v="Large"/>
  </r>
  <r>
    <s v="Jan Morforth"/>
    <s v="India"/>
    <s v="Baker's Choco Chips"/>
    <x v="169"/>
    <n v="14613.52"/>
    <n v="85"/>
    <n v="171.92376470588235"/>
    <s v="August"/>
    <s v="Q3"/>
    <s v="Large"/>
  </r>
  <r>
    <s v="Jehu Rudeforth"/>
    <s v="Australia"/>
    <s v="Milk Bars"/>
    <x v="281"/>
    <n v="9839.4599999999991"/>
    <n v="31"/>
    <n v="317.40193548387094"/>
    <s v="March"/>
    <s v="Q1"/>
    <s v="Large"/>
  </r>
  <r>
    <s v="Gigi Bohling"/>
    <s v="Canada"/>
    <s v="Fruit &amp; Nut Bars"/>
    <x v="275"/>
    <n v="6633.23"/>
    <n v="103"/>
    <n v="64.400291262135923"/>
    <s v="June"/>
    <s v="Q2"/>
    <s v="Large"/>
  </r>
  <r>
    <s v="Beverie Moffet"/>
    <s v="UK"/>
    <s v="Eclairs"/>
    <x v="287"/>
    <n v="9749.07"/>
    <n v="169"/>
    <n v="57.686804733727811"/>
    <s v="April"/>
    <s v="Q2"/>
    <s v="Large"/>
  </r>
  <r>
    <s v="Marney O'Breen"/>
    <s v="New Zealand"/>
    <s v="Eclairs"/>
    <x v="261"/>
    <n v="5254.38"/>
    <n v="31"/>
    <n v="169.49612903225807"/>
    <s v="January"/>
    <s v="Q1"/>
    <s v="Large"/>
  </r>
  <r>
    <s v="Husein Augar"/>
    <s v="Australia"/>
    <s v="99% Dark &amp; Pure"/>
    <x v="224"/>
    <n v="3430.43"/>
    <n v="123"/>
    <n v="27.889674796747965"/>
    <s v="August"/>
    <s v="Q3"/>
    <s v="Large"/>
  </r>
  <r>
    <s v="Gunar Cockshoot"/>
    <s v="New Zealand"/>
    <s v="Fruit &amp; Nut Bars"/>
    <x v="207"/>
    <n v="10454.549999999999"/>
    <n v="434"/>
    <n v="24.088824884792626"/>
    <s v="June"/>
    <s v="Q2"/>
    <s v="Large"/>
  </r>
  <r>
    <s v="Curtice Advani"/>
    <s v="Canada"/>
    <s v="70% Dark Bites"/>
    <x v="228"/>
    <n v="2413.87"/>
    <n v="7"/>
    <n v="344.83857142857141"/>
    <s v="January"/>
    <s v="Q1"/>
    <s v="Large"/>
  </r>
  <r>
    <s v="Kelci Walkden"/>
    <s v="New Zealand"/>
    <s v="Manuka Honey Choco"/>
    <x v="238"/>
    <n v="1445.14"/>
    <n v="108"/>
    <n v="13.380925925925927"/>
    <s v="April"/>
    <s v="Q2"/>
    <s v="Large"/>
  </r>
  <r>
    <s v="Dotty Strutley"/>
    <s v="Australia"/>
    <s v="Baker's Choco Chips"/>
    <x v="244"/>
    <n v="4022.64"/>
    <n v="71"/>
    <n v="56.6569014084507"/>
    <s v="June"/>
    <s v="Q2"/>
    <s v="Large"/>
  </r>
  <r>
    <s v="Barr Faughny"/>
    <s v="Australia"/>
    <s v="85% Dark Bars"/>
    <x v="325"/>
    <n v="8651.2000000000007"/>
    <n v="43"/>
    <n v="201.19069767441863"/>
    <s v="February"/>
    <s v="Q1"/>
    <s v="Large"/>
  </r>
  <r>
    <s v="Beverie Moffet"/>
    <s v="Australia"/>
    <s v="50% Dark Bites"/>
    <x v="213"/>
    <n v="725.16"/>
    <n v="453"/>
    <n v="1.600794701986755"/>
    <s v="May"/>
    <s v="Q2"/>
    <s v="Large"/>
  </r>
  <r>
    <s v="Gunar Cockshoot"/>
    <s v="India"/>
    <s v="Baker's Choco Chips"/>
    <x v="281"/>
    <n v="2385.4"/>
    <n v="540"/>
    <n v="4.4174074074074072"/>
    <s v="March"/>
    <s v="Q1"/>
    <s v="Large"/>
  </r>
  <r>
    <s v="Van Tuxwell"/>
    <s v="Australia"/>
    <s v="50% Dark Bites"/>
    <x v="225"/>
    <n v="726.04"/>
    <n v="131"/>
    <n v="5.5422900763358776"/>
    <s v="July"/>
    <s v="Q3"/>
    <s v="Large"/>
  </r>
  <r>
    <s v="Oby Sorrel"/>
    <s v="USA"/>
    <s v="Manuka Honey Choco"/>
    <x v="258"/>
    <n v="4742.3500000000004"/>
    <n v="83"/>
    <n v="57.13674698795181"/>
    <s v="July"/>
    <s v="Q3"/>
    <s v="Large"/>
  </r>
  <r>
    <s v="Van Tuxwell"/>
    <s v="Canada"/>
    <s v="Choco Coated Almonds"/>
    <x v="293"/>
    <n v="2556.96"/>
    <n v="312"/>
    <n v="8.195384615384615"/>
    <s v="August"/>
    <s v="Q3"/>
    <s v="Large"/>
  </r>
  <r>
    <s v="Karlen McCaffrey"/>
    <s v="Canada"/>
    <s v="70% Dark Bites"/>
    <x v="300"/>
    <n v="8376.69"/>
    <n v="646"/>
    <n v="12.967012383900929"/>
    <s v="June"/>
    <s v="Q2"/>
    <s v="Large"/>
  </r>
  <r>
    <s v="Kelci Walkden"/>
    <s v="Canada"/>
    <s v="Fruit &amp; Nut Bars"/>
    <x v="223"/>
    <n v="840.71"/>
    <n v="162"/>
    <n v="5.1895679012345681"/>
    <s v="June"/>
    <s v="Q2"/>
    <s v="Large"/>
  </r>
  <r>
    <s v="Camilla Castle"/>
    <s v="India"/>
    <s v="99% Dark &amp; Pure"/>
    <x v="241"/>
    <n v="207.87"/>
    <n v="216"/>
    <n v="0.96236111111111111"/>
    <s v="August"/>
    <s v="Q3"/>
    <s v="Small"/>
  </r>
  <r>
    <s v="Madelene Upcott"/>
    <s v="New Zealand"/>
    <s v="70% Dark Bites"/>
    <x v="273"/>
    <n v="13370.34"/>
    <n v="94"/>
    <n v="142.2376595744681"/>
    <s v="February"/>
    <s v="Q1"/>
    <s v="Large"/>
  </r>
  <r>
    <s v="Mallorie Waber"/>
    <s v="New Zealand"/>
    <s v="Orange Choco"/>
    <x v="299"/>
    <n v="6811.37"/>
    <n v="25"/>
    <n v="272.45479999999998"/>
    <s v="February"/>
    <s v="Q1"/>
    <s v="Large"/>
  </r>
  <r>
    <s v="Jan Morforth"/>
    <s v="Canada"/>
    <s v="70% Dark Bites"/>
    <x v="183"/>
    <n v="6096.52"/>
    <n v="300"/>
    <n v="20.321733333333334"/>
    <s v="February"/>
    <s v="Q1"/>
    <s v="Large"/>
  </r>
  <r>
    <s v="Kelci Walkden"/>
    <s v="Australia"/>
    <s v="Milk Bars"/>
    <x v="172"/>
    <n v="8684.58"/>
    <n v="120"/>
    <n v="72.371499999999997"/>
    <s v="February"/>
    <s v="Q1"/>
    <s v="Large"/>
  </r>
  <r>
    <s v="Dennison Crosswaite"/>
    <s v="India"/>
    <s v="Orange Choco"/>
    <x v="281"/>
    <n v="873.26"/>
    <n v="140"/>
    <n v="6.2375714285714281"/>
    <s v="March"/>
    <s v="Q1"/>
    <s v="Large"/>
  </r>
  <r>
    <s v="Husein Augar"/>
    <s v="UK"/>
    <s v="Eclairs"/>
    <x v="296"/>
    <n v="1912.66"/>
    <n v="253"/>
    <n v="7.5599209486166012"/>
    <s v="August"/>
    <s v="Q3"/>
    <s v="Large"/>
  </r>
  <r>
    <s v="Gigi Bohling"/>
    <s v="USA"/>
    <s v="Peanut Butter Cubes"/>
    <x v="290"/>
    <n v="321.61"/>
    <n v="76"/>
    <n v="4.2317105263157897"/>
    <s v="May"/>
    <s v="Q2"/>
    <s v="Small"/>
  </r>
  <r>
    <s v="Wilone O'Kielt"/>
    <s v="USA"/>
    <s v="Smooth Sliky Salty"/>
    <x v="261"/>
    <n v="511.12"/>
    <n v="96"/>
    <n v="5.3241666666666667"/>
    <s v="January"/>
    <s v="Q1"/>
    <s v="Large"/>
  </r>
  <r>
    <s v="Curtice Advani"/>
    <s v="India"/>
    <s v="White Choc"/>
    <x v="177"/>
    <n v="7887.15"/>
    <n v="335"/>
    <n v="23.543731343283582"/>
    <s v="July"/>
    <s v="Q3"/>
    <s v="Large"/>
  </r>
  <r>
    <s v="Oby Sorrel"/>
    <s v="New Zealand"/>
    <s v="Spicy Special Slims"/>
    <x v="329"/>
    <n v="1793.67"/>
    <n v="13"/>
    <n v="137.97461538461539"/>
    <s v="June"/>
    <s v="Q2"/>
    <s v="Large"/>
  </r>
  <r>
    <s v="Beverie Moffet"/>
    <s v="New Zealand"/>
    <s v="Peanut Butter Cubes"/>
    <x v="205"/>
    <n v="12129.42"/>
    <n v="29"/>
    <n v="418.25586206896554"/>
    <s v="February"/>
    <s v="Q1"/>
    <s v="Large"/>
  </r>
  <r>
    <s v="Dotty Strutley"/>
    <s v="New Zealand"/>
    <s v="99% Dark &amp; Pure"/>
    <x v="290"/>
    <n v="11749.75"/>
    <n v="213"/>
    <n v="55.163145539906104"/>
    <s v="May"/>
    <s v="Q2"/>
    <s v="Large"/>
  </r>
  <r>
    <s v="Kelci Walkden"/>
    <s v="India"/>
    <s v="70% Dark Bites"/>
    <x v="173"/>
    <n v="3967.25"/>
    <n v="101"/>
    <n v="39.279702970297031"/>
    <s v="June"/>
    <s v="Q2"/>
    <s v="Large"/>
  </r>
  <r>
    <s v="Kelci Walkden"/>
    <s v="India"/>
    <s v="Drinking Coco"/>
    <x v="177"/>
    <n v="8105.37"/>
    <n v="255"/>
    <n v="31.785764705882354"/>
    <s v="July"/>
    <s v="Q3"/>
    <s v="Large"/>
  </r>
  <r>
    <s v="Brien Boise"/>
    <s v="New Zealand"/>
    <s v="Drinking Coco"/>
    <x v="173"/>
    <n v="1614.17"/>
    <n v="106"/>
    <n v="15.228018867924529"/>
    <s v="June"/>
    <s v="Q2"/>
    <s v="Large"/>
  </r>
  <r>
    <s v="Dotty Strutley"/>
    <s v="Australia"/>
    <s v="Almond Choco"/>
    <x v="278"/>
    <n v="1613.3"/>
    <n v="91"/>
    <n v="17.728571428571428"/>
    <s v="May"/>
    <s v="Q2"/>
    <s v="Large"/>
  </r>
  <r>
    <s v="Wilone O'Kielt"/>
    <s v="New Zealand"/>
    <s v="Organic Choco Syrup"/>
    <x v="228"/>
    <n v="2155.64"/>
    <n v="281"/>
    <n v="7.671316725978647"/>
    <s v="January"/>
    <s v="Q1"/>
    <s v="Large"/>
  </r>
  <r>
    <s v="Ches Bonnell"/>
    <s v="New Zealand"/>
    <s v="Caramel Stuffed Bars"/>
    <x v="198"/>
    <n v="8184.37"/>
    <n v="43"/>
    <n v="190.33418604651163"/>
    <s v="June"/>
    <s v="Q2"/>
    <s v="Large"/>
  </r>
  <r>
    <s v="Barr Faughny"/>
    <s v="Canada"/>
    <s v="Manuka Honey Choco"/>
    <x v="242"/>
    <n v="3613.32"/>
    <n v="251"/>
    <n v="14.39569721115538"/>
    <s v="August"/>
    <s v="Q3"/>
    <s v="Large"/>
  </r>
  <r>
    <s v="Gigi Bohling"/>
    <s v="New Zealand"/>
    <s v="Smooth Sliky Salty"/>
    <x v="221"/>
    <n v="801.09"/>
    <n v="101"/>
    <n v="7.9315841584158422"/>
    <s v="January"/>
    <s v="Q1"/>
    <s v="Large"/>
  </r>
  <r>
    <s v="Brien Boise"/>
    <s v="USA"/>
    <s v="Manuka Honey Choco"/>
    <x v="206"/>
    <n v="2069.48"/>
    <n v="8"/>
    <n v="258.685"/>
    <s v="August"/>
    <s v="Q3"/>
    <s v="Large"/>
  </r>
  <r>
    <s v="Roddy Speechley"/>
    <s v="New Zealand"/>
    <s v="85% Dark Bars"/>
    <x v="217"/>
    <n v="5096.21"/>
    <n v="284"/>
    <n v="17.944401408450705"/>
    <s v="April"/>
    <s v="Q2"/>
    <s v="Large"/>
  </r>
  <r>
    <s v="Oby Sorrel"/>
    <s v="UK"/>
    <s v="Smooth Sliky Salty"/>
    <x v="274"/>
    <n v="10573.5"/>
    <n v="338"/>
    <n v="31.282544378698226"/>
    <s v="May"/>
    <s v="Q2"/>
    <s v="Large"/>
  </r>
  <r>
    <s v="Oby Sorrel"/>
    <s v="UK"/>
    <s v="Raspberry Choco"/>
    <x v="238"/>
    <n v="4611.37"/>
    <n v="322"/>
    <n v="14.321024844720496"/>
    <s v="April"/>
    <s v="Q2"/>
    <s v="Large"/>
  </r>
  <r>
    <s v="Roddy Speechley"/>
    <s v="USA"/>
    <s v="Drinking Coco"/>
    <x v="252"/>
    <n v="3288.77"/>
    <n v="148"/>
    <n v="22.221418918918918"/>
    <s v="February"/>
    <s v="Q1"/>
    <s v="Large"/>
  </r>
  <r>
    <s v="Andria Kimpton"/>
    <s v="Australia"/>
    <s v="Manuka Honey Choco"/>
    <x v="327"/>
    <n v="10883.13"/>
    <n v="394"/>
    <n v="27.622157360406089"/>
    <s v="March"/>
    <s v="Q1"/>
    <s v="Large"/>
  </r>
  <r>
    <s v="Mallorie Waber"/>
    <s v="India"/>
    <s v="Raspberry Choco"/>
    <x v="220"/>
    <n v="1516.56"/>
    <n v="2"/>
    <n v="758.28"/>
    <s v="March"/>
    <s v="Q1"/>
    <s v="Large"/>
  </r>
  <r>
    <s v="Jehu Rudeforth"/>
    <s v="USA"/>
    <s v="Orange Choco"/>
    <x v="180"/>
    <n v="391.33"/>
    <n v="184"/>
    <n v="2.1267934782608693"/>
    <s v="July"/>
    <s v="Q3"/>
    <s v="Small"/>
  </r>
  <r>
    <s v="Kaine Padly"/>
    <s v="New Zealand"/>
    <s v="70% Dark Bites"/>
    <x v="175"/>
    <n v="7969.08"/>
    <n v="38"/>
    <n v="209.71263157894737"/>
    <s v="March"/>
    <s v="Q1"/>
    <s v="Large"/>
  </r>
  <r>
    <s v="Curtice Advani"/>
    <s v="Australia"/>
    <s v="After Nines"/>
    <x v="323"/>
    <n v="63.71"/>
    <n v="109"/>
    <n v="0.58449541284403672"/>
    <s v="August"/>
    <s v="Q3"/>
    <s v="Small"/>
  </r>
  <r>
    <s v="Husein Augar"/>
    <s v="UK"/>
    <s v="Almond Choco"/>
    <x v="302"/>
    <n v="8832.33"/>
    <n v="175"/>
    <n v="50.470457142857143"/>
    <s v="May"/>
    <s v="Q2"/>
    <s v="Large"/>
  </r>
  <r>
    <s v="Kaine Padly"/>
    <s v="Canada"/>
    <s v="Choco Coated Almonds"/>
    <x v="211"/>
    <n v="3542.19"/>
    <n v="180"/>
    <n v="19.678833333333333"/>
    <s v="May"/>
    <s v="Q2"/>
    <s v="Large"/>
  </r>
  <r>
    <s v="Roddy Speechley"/>
    <s v="UK"/>
    <s v="Peanut Butter Cubes"/>
    <x v="288"/>
    <n v="6052.07"/>
    <n v="173"/>
    <n v="34.983063583815024"/>
    <s v="August"/>
    <s v="Q3"/>
    <s v="Large"/>
  </r>
  <r>
    <s v="Ches Bonnell"/>
    <s v="New Zealand"/>
    <s v="Eclairs"/>
    <x v="260"/>
    <n v="543.20000000000005"/>
    <n v="54"/>
    <n v="10.05925925925926"/>
    <s v="April"/>
    <s v="Q2"/>
    <s v="Large"/>
  </r>
  <r>
    <s v="Brien Boise"/>
    <s v="India"/>
    <s v="85% Dark Bars"/>
    <x v="313"/>
    <n v="18894.919999999998"/>
    <n v="201"/>
    <n v="94.004577114427846"/>
    <s v="August"/>
    <s v="Q3"/>
    <s v="Large"/>
  </r>
  <r>
    <s v="Brien Boise"/>
    <s v="New Zealand"/>
    <s v="Organic Choco Syrup"/>
    <x v="322"/>
    <n v="689.4"/>
    <n v="331"/>
    <n v="2.0827794561933533"/>
    <s v="January"/>
    <s v="Q1"/>
    <s v="Large"/>
  </r>
  <r>
    <s v="Andria Kimpton"/>
    <s v="Canada"/>
    <s v="White Choc"/>
    <x v="183"/>
    <n v="4435.95"/>
    <n v="31"/>
    <n v="143.09516129032258"/>
    <s v="February"/>
    <s v="Q1"/>
    <s v="Large"/>
  </r>
  <r>
    <s v="Gigi Bohling"/>
    <s v="New Zealand"/>
    <s v="Orange Choco"/>
    <x v="213"/>
    <n v="9111.34"/>
    <n v="324"/>
    <n v="28.121419753086421"/>
    <s v="May"/>
    <s v="Q2"/>
    <s v="Large"/>
  </r>
  <r>
    <s v="Ches Bonnell"/>
    <s v="Canada"/>
    <s v="Smooth Sliky Salty"/>
    <x v="251"/>
    <n v="10369.709999999999"/>
    <n v="129"/>
    <n v="80.385348837209293"/>
    <s v="March"/>
    <s v="Q1"/>
    <s v="Large"/>
  </r>
  <r>
    <s v="Husein Augar"/>
    <s v="Canada"/>
    <s v="70% Dark Bites"/>
    <x v="228"/>
    <n v="5833.2"/>
    <n v="290"/>
    <n v="20.114482758620689"/>
    <s v="January"/>
    <s v="Q1"/>
    <s v="Large"/>
  </r>
  <r>
    <s v="Barr Faughny"/>
    <s v="Canada"/>
    <s v="Organic Choco Syrup"/>
    <x v="179"/>
    <n v="1229.96"/>
    <n v="219"/>
    <n v="5.6162557077625577"/>
    <s v="March"/>
    <s v="Q1"/>
    <s v="Large"/>
  </r>
  <r>
    <s v="Oby Sorrel"/>
    <s v="UK"/>
    <s v="Organic Choco Syrup"/>
    <x v="198"/>
    <n v="8839.7199999999993"/>
    <n v="170"/>
    <n v="51.998352941176464"/>
    <s v="June"/>
    <s v="Q2"/>
    <s v="Large"/>
  </r>
  <r>
    <s v="Van Tuxwell"/>
    <s v="New Zealand"/>
    <s v="Eclairs"/>
    <x v="330"/>
    <n v="5747.66"/>
    <n v="176"/>
    <n v="32.65715909090909"/>
    <s v="March"/>
    <s v="Q1"/>
    <s v="Large"/>
  </r>
  <r>
    <s v="Mallorie Waber"/>
    <s v="UK"/>
    <s v="Drinking Coco"/>
    <x v="216"/>
    <n v="3666.04"/>
    <n v="107"/>
    <n v="34.262056074766356"/>
    <s v="May"/>
    <s v="Q2"/>
    <s v="Large"/>
  </r>
  <r>
    <s v="Oby Sorrel"/>
    <s v="UK"/>
    <s v="Milk Bars"/>
    <x v="204"/>
    <n v="6853.82"/>
    <n v="220"/>
    <n v="31.15372727272727"/>
    <s v="July"/>
    <s v="Q3"/>
    <s v="Large"/>
  </r>
  <r>
    <s v="Karlen McCaffrey"/>
    <s v="New Zealand"/>
    <s v="Mint Chip Choco"/>
    <x v="220"/>
    <n v="4361.01"/>
    <n v="59"/>
    <n v="73.915423728813565"/>
    <s v="March"/>
    <s v="Q1"/>
    <s v="Large"/>
  </r>
  <r>
    <s v="Jehu Rudeforth"/>
    <s v="USA"/>
    <s v="Raspberry Choco"/>
    <x v="240"/>
    <n v="7686.15"/>
    <n v="141"/>
    <n v="54.511702127659575"/>
    <s v="March"/>
    <s v="Q1"/>
    <s v="Large"/>
  </r>
  <r>
    <s v="Kelci Walkden"/>
    <s v="UK"/>
    <s v="85% Dark Bars"/>
    <x v="298"/>
    <n v="4188.43"/>
    <n v="235"/>
    <n v="17.823106382978725"/>
    <s v="June"/>
    <s v="Q2"/>
    <s v="Large"/>
  </r>
  <r>
    <s v="Kelci Walkden"/>
    <s v="USA"/>
    <s v="Almond Choco"/>
    <x v="227"/>
    <n v="5425.24"/>
    <n v="234"/>
    <n v="23.184786324786323"/>
    <s v="January"/>
    <s v="Q1"/>
    <s v="Large"/>
  </r>
  <r>
    <s v="Marney O'Breen"/>
    <s v="Canada"/>
    <s v="Orange Choco"/>
    <x v="270"/>
    <n v="2896.97"/>
    <n v="456"/>
    <n v="6.3530043859649119"/>
    <s v="January"/>
    <s v="Q1"/>
    <s v="Large"/>
  </r>
  <r>
    <s v="Dennison Crosswaite"/>
    <s v="India"/>
    <s v="Fruit &amp; Nut Bars"/>
    <x v="267"/>
    <n v="1071.31"/>
    <n v="23"/>
    <n v="46.578695652173913"/>
    <s v="July"/>
    <s v="Q3"/>
    <s v="Large"/>
  </r>
  <r>
    <s v="Brien Boise"/>
    <s v="Canada"/>
    <s v="Smooth Sliky Salty"/>
    <x v="278"/>
    <n v="6417.05"/>
    <n v="497"/>
    <n v="12.911569416498994"/>
    <s v="May"/>
    <s v="Q2"/>
    <s v="Large"/>
  </r>
  <r>
    <s v="Barr Faughny"/>
    <s v="Canada"/>
    <s v="Baker's Choco Chips"/>
    <x v="320"/>
    <n v="10967.31"/>
    <n v="172"/>
    <n v="63.763430232558136"/>
    <s v="February"/>
    <s v="Q1"/>
    <s v="Large"/>
  </r>
  <r>
    <s v="Brien Boise"/>
    <s v="India"/>
    <s v="Smooth Sliky Salty"/>
    <x v="216"/>
    <n v="6345.02"/>
    <n v="28"/>
    <n v="226.60785714285717"/>
    <s v="May"/>
    <s v="Q2"/>
    <s v="Large"/>
  </r>
  <r>
    <s v="Jan Morforth"/>
    <s v="Australia"/>
    <s v="Drinking Coco"/>
    <x v="331"/>
    <n v="2824.71"/>
    <n v="25"/>
    <n v="112.9884"/>
    <s v="February"/>
    <s v="Q1"/>
    <s v="Large"/>
  </r>
  <r>
    <s v="Brien Boise"/>
    <s v="India"/>
    <s v="Spicy Special Slims"/>
    <x v="250"/>
    <n v="1463.67"/>
    <n v="34"/>
    <n v="43.049117647058829"/>
    <s v="January"/>
    <s v="Q1"/>
    <s v="Large"/>
  </r>
  <r>
    <s v="Van Tuxwell"/>
    <s v="UK"/>
    <s v="Eclairs"/>
    <x v="196"/>
    <n v="5856.52"/>
    <n v="115"/>
    <n v="50.926260869565219"/>
    <s v="June"/>
    <s v="Q2"/>
    <s v="Large"/>
  </r>
  <r>
    <s v="Wilone O'Kielt"/>
    <s v="India"/>
    <s v="Caramel Stuffed Bars"/>
    <x v="178"/>
    <n v="4303.8599999999997"/>
    <n v="282"/>
    <n v="15.261914893617019"/>
    <s v="January"/>
    <s v="Q1"/>
    <s v="Large"/>
  </r>
  <r>
    <s v="Jehu Rudeforth"/>
    <s v="UK"/>
    <s v="After Nines"/>
    <x v="187"/>
    <n v="2047.77"/>
    <n v="169"/>
    <n v="12.11698224852071"/>
    <s v="June"/>
    <s v="Q2"/>
    <s v="Large"/>
  </r>
  <r>
    <s v="Barr Faughny"/>
    <s v="Canada"/>
    <s v="White Choc"/>
    <x v="264"/>
    <n v="4692.3599999999997"/>
    <n v="1"/>
    <n v="4692.3599999999997"/>
    <s v="March"/>
    <s v="Q1"/>
    <s v="Large"/>
  </r>
  <r>
    <s v="Gunar Cockshoot"/>
    <s v="India"/>
    <s v="Organic Choco Syrup"/>
    <x v="329"/>
    <n v="7302.42"/>
    <n v="153"/>
    <n v="47.728235294117646"/>
    <s v="June"/>
    <s v="Q2"/>
    <s v="Large"/>
  </r>
  <r>
    <s v="Mallorie Waber"/>
    <s v="Canada"/>
    <s v="Smooth Sliky Salty"/>
    <x v="307"/>
    <n v="2056.92"/>
    <n v="103"/>
    <n v="19.97009708737864"/>
    <s v="March"/>
    <s v="Q1"/>
    <s v="Large"/>
  </r>
  <r>
    <s v="Mallorie Waber"/>
    <s v="India"/>
    <s v="Eclairs"/>
    <x v="245"/>
    <n v="11032.79"/>
    <n v="49"/>
    <n v="225.15897959183675"/>
    <s v="April"/>
    <s v="Q2"/>
    <s v="Large"/>
  </r>
  <r>
    <s v="Rafaelita Blaksland"/>
    <s v="Australia"/>
    <s v="Raspberry Choco"/>
    <x v="246"/>
    <n v="7773.64"/>
    <n v="247"/>
    <n v="31.472226720647775"/>
    <s v="January"/>
    <s v="Q1"/>
    <s v="Large"/>
  </r>
  <r>
    <s v="Karlen McCaffrey"/>
    <s v="UK"/>
    <s v="50% Dark Bites"/>
    <x v="249"/>
    <n v="3843.01"/>
    <n v="295"/>
    <n v="13.027152542372882"/>
    <s v="April"/>
    <s v="Q2"/>
    <s v="Large"/>
  </r>
  <r>
    <s v="Kaine Padly"/>
    <s v="Australia"/>
    <s v="50% Dark Bites"/>
    <x v="241"/>
    <n v="9163.7900000000009"/>
    <n v="81"/>
    <n v="113.13320987654322"/>
    <s v="August"/>
    <s v="Q3"/>
    <s v="Large"/>
  </r>
  <r>
    <s v="Gigi Bohling"/>
    <s v="Australia"/>
    <s v="Eclairs"/>
    <x v="245"/>
    <n v="7628.59"/>
    <n v="146"/>
    <n v="52.250616438356168"/>
    <s v="April"/>
    <s v="Q2"/>
    <s v="Large"/>
  </r>
  <r>
    <s v="Oby Sorrel"/>
    <s v="India"/>
    <s v="Drinking Coco"/>
    <x v="297"/>
    <n v="18220.59"/>
    <n v="139"/>
    <n v="131.08338129496403"/>
    <s v="July"/>
    <s v="Q3"/>
    <s v="Large"/>
  </r>
  <r>
    <s v="Van Tuxwell"/>
    <s v="New Zealand"/>
    <s v="Baker's Choco Chips"/>
    <x v="295"/>
    <n v="9828.94"/>
    <n v="24"/>
    <n v="409.53916666666669"/>
    <s v="March"/>
    <s v="Q1"/>
    <s v="Large"/>
  </r>
  <r>
    <s v="Husein Augar"/>
    <s v="India"/>
    <s v="Peanut Butter Cubes"/>
    <x v="290"/>
    <n v="4726.6499999999996"/>
    <n v="5"/>
    <n v="945.32999999999993"/>
    <s v="May"/>
    <s v="Q2"/>
    <s v="Large"/>
  </r>
  <r>
    <s v="Andria Kimpton"/>
    <s v="Australia"/>
    <s v="Baker's Choco Chips"/>
    <x v="313"/>
    <n v="344.82"/>
    <n v="118"/>
    <n v="2.9222033898305084"/>
    <s v="August"/>
    <s v="Q3"/>
    <s v="Small"/>
  </r>
  <r>
    <s v="Madelene Upcott"/>
    <s v="Canada"/>
    <s v="Choco Coated Almonds"/>
    <x v="332"/>
    <n v="3451.24"/>
    <n v="283"/>
    <n v="12.195194346289751"/>
    <s v="July"/>
    <s v="Q3"/>
    <s v="Large"/>
  </r>
  <r>
    <s v="Brien Boise"/>
    <s v="India"/>
    <s v="70% Dark Bites"/>
    <x v="217"/>
    <n v="5071.49"/>
    <n v="439"/>
    <n v="11.552369020501139"/>
    <s v="April"/>
    <s v="Q2"/>
    <s v="Large"/>
  </r>
  <r>
    <s v="Jehu Rudeforth"/>
    <s v="Canada"/>
    <s v="White Choc"/>
    <x v="174"/>
    <n v="4719.38"/>
    <n v="132"/>
    <n v="35.752878787878785"/>
    <s v="January"/>
    <s v="Q1"/>
    <s v="Large"/>
  </r>
  <r>
    <s v="Andria Kimpton"/>
    <s v="Australia"/>
    <s v="Almond Choco"/>
    <x v="259"/>
    <n v="3430.58"/>
    <n v="174"/>
    <n v="19.715977011494253"/>
    <s v="April"/>
    <s v="Q2"/>
    <s v="Large"/>
  </r>
  <r>
    <s v="Dotty Strutley"/>
    <s v="Canada"/>
    <s v="After Nines"/>
    <x v="322"/>
    <n v="268.3"/>
    <n v="239"/>
    <n v="1.1225941422594143"/>
    <s v="January"/>
    <s v="Q1"/>
    <s v="Small"/>
  </r>
  <r>
    <s v="Karlen McCaffrey"/>
    <s v="USA"/>
    <s v="Eclairs"/>
    <x v="256"/>
    <n v="991.46"/>
    <n v="133"/>
    <n v="7.4545864661654138"/>
    <s v="August"/>
    <s v="Q3"/>
    <s v="Large"/>
  </r>
  <r>
    <s v="Karlen McCaffrey"/>
    <s v="Canada"/>
    <s v="Fruit &amp; Nut Bars"/>
    <x v="202"/>
    <n v="213.45"/>
    <n v="17"/>
    <n v="12.555882352941175"/>
    <s v="June"/>
    <s v="Q2"/>
    <s v="Small"/>
  </r>
  <r>
    <s v="Gunar Cockshoot"/>
    <s v="USA"/>
    <s v="85% Dark Bars"/>
    <x v="198"/>
    <n v="7586.38"/>
    <n v="131"/>
    <n v="57.911297709923666"/>
    <s v="June"/>
    <s v="Q2"/>
    <s v="Large"/>
  </r>
  <r>
    <s v="Dotty Strutley"/>
    <s v="New Zealand"/>
    <s v="Raspberry Choco"/>
    <x v="325"/>
    <n v="6192.19"/>
    <n v="99"/>
    <n v="62.547373737373732"/>
    <s v="February"/>
    <s v="Q1"/>
    <s v="Large"/>
  </r>
  <r>
    <s v="Marney O'Breen"/>
    <s v="Canada"/>
    <s v="Caramel Stuffed Bars"/>
    <x v="205"/>
    <n v="1510.58"/>
    <n v="602"/>
    <n v="2.5092691029900331"/>
    <s v="February"/>
    <s v="Q1"/>
    <s v="Large"/>
  </r>
  <r>
    <s v="Dennison Crosswaite"/>
    <s v="India"/>
    <s v="Organic Choco Syrup"/>
    <x v="227"/>
    <n v="8693.31"/>
    <n v="209"/>
    <n v="41.594784688995212"/>
    <s v="January"/>
    <s v="Q1"/>
    <s v="Large"/>
  </r>
  <r>
    <s v="Camilla Castle"/>
    <s v="UK"/>
    <s v="Mint Chip Choco"/>
    <x v="214"/>
    <n v="5509.77"/>
    <n v="307"/>
    <n v="17.947133550488601"/>
    <s v="May"/>
    <s v="Q2"/>
    <s v="Large"/>
  </r>
  <r>
    <s v="Brien Boise"/>
    <s v="USA"/>
    <s v="70% Dark Bites"/>
    <x v="217"/>
    <n v="1863.2"/>
    <n v="22"/>
    <n v="84.690909090909088"/>
    <s v="April"/>
    <s v="Q2"/>
    <s v="Large"/>
  </r>
  <r>
    <s v="Madelene Upcott"/>
    <s v="Australia"/>
    <s v="99% Dark &amp; Pure"/>
    <x v="169"/>
    <n v="4822.5"/>
    <n v="159"/>
    <n v="30.330188679245282"/>
    <s v="August"/>
    <s v="Q3"/>
    <s v="Large"/>
  </r>
  <r>
    <s v="Mallorie Waber"/>
    <s v="Australia"/>
    <s v="Eclairs"/>
    <x v="206"/>
    <n v="10856.55"/>
    <n v="229"/>
    <n v="47.408515283842789"/>
    <s v="August"/>
    <s v="Q3"/>
    <s v="Large"/>
  </r>
  <r>
    <s v="Marney O'Breen"/>
    <s v="India"/>
    <s v="99% Dark &amp; Pure"/>
    <x v="199"/>
    <n v="11252.11"/>
    <n v="159"/>
    <n v="70.767987421383651"/>
    <s v="July"/>
    <s v="Q3"/>
    <s v="Large"/>
  </r>
  <r>
    <s v="Husein Augar"/>
    <s v="USA"/>
    <s v="Fruit &amp; Nut Bars"/>
    <x v="333"/>
    <n v="1387.72"/>
    <n v="27"/>
    <n v="51.397037037037038"/>
    <s v="April"/>
    <s v="Q2"/>
    <s v="Large"/>
  </r>
  <r>
    <s v="Kelci Walkden"/>
    <s v="Australia"/>
    <s v="Almond Choco"/>
    <x v="189"/>
    <n v="5509.22"/>
    <n v="341"/>
    <n v="16.156070381231672"/>
    <s v="May"/>
    <s v="Q2"/>
    <s v="Large"/>
  </r>
  <r>
    <s v="Ches Bonnell"/>
    <s v="USA"/>
    <s v="Milk Bars"/>
    <x v="297"/>
    <n v="2444.25"/>
    <n v="155"/>
    <n v="15.769354838709678"/>
    <s v="July"/>
    <s v="Q3"/>
    <s v="Large"/>
  </r>
  <r>
    <s v="Jan Morforth"/>
    <s v="UK"/>
    <s v="Caramel Stuffed Bars"/>
    <x v="241"/>
    <n v="3175.62"/>
    <n v="507"/>
    <n v="6.2635502958579883"/>
    <s v="August"/>
    <s v="Q3"/>
    <s v="Large"/>
  </r>
  <r>
    <s v="Brien Boise"/>
    <s v="New Zealand"/>
    <s v="70% Dark Bites"/>
    <x v="194"/>
    <n v="7900.42"/>
    <n v="143"/>
    <n v="55.247692307692311"/>
    <s v="June"/>
    <s v="Q2"/>
    <s v="Large"/>
  </r>
  <r>
    <s v="Oby Sorrel"/>
    <s v="India"/>
    <s v="85% Dark Bars"/>
    <x v="193"/>
    <n v="9072.4599999999991"/>
    <n v="142"/>
    <n v="63.890563380281684"/>
    <s v="July"/>
    <s v="Q3"/>
    <s v="Large"/>
  </r>
  <r>
    <s v="Kaine Padly"/>
    <s v="New Zealand"/>
    <s v="Smooth Sliky Salty"/>
    <x v="245"/>
    <n v="8.06"/>
    <n v="513"/>
    <n v="1.5711500974658871E-2"/>
    <s v="April"/>
    <s v="Q2"/>
    <s v="Small"/>
  </r>
  <r>
    <s v="Gigi Bohling"/>
    <s v="Australia"/>
    <s v="70% Dark Bites"/>
    <x v="229"/>
    <n v="1548.54"/>
    <n v="104"/>
    <n v="14.889807692307691"/>
    <s v="August"/>
    <s v="Q3"/>
    <s v="Large"/>
  </r>
  <r>
    <s v="Jan Morforth"/>
    <s v="UK"/>
    <s v="50% Dark Bites"/>
    <x v="257"/>
    <n v="5501.67"/>
    <n v="298"/>
    <n v="18.461979865771813"/>
    <s v="January"/>
    <s v="Q1"/>
    <s v="Large"/>
  </r>
  <r>
    <s v="Gunar Cockshoot"/>
    <s v="Canada"/>
    <s v="White Choc"/>
    <x v="323"/>
    <n v="7685.42"/>
    <n v="15"/>
    <n v="512.36133333333339"/>
    <s v="August"/>
    <s v="Q3"/>
    <s v="Large"/>
  </r>
  <r>
    <s v="Jehu Rudeforth"/>
    <s v="Australia"/>
    <s v="Spicy Special Slims"/>
    <x v="178"/>
    <n v="5147.7700000000004"/>
    <n v="402"/>
    <n v="12.805398009950251"/>
    <s v="January"/>
    <s v="Q1"/>
    <s v="Large"/>
  </r>
  <r>
    <s v="Husein Augar"/>
    <s v="UK"/>
    <s v="Baker's Choco Chips"/>
    <x v="262"/>
    <n v="3070.43"/>
    <n v="143"/>
    <n v="21.471538461538461"/>
    <s v="April"/>
    <s v="Q2"/>
    <s v="Large"/>
  </r>
  <r>
    <s v="Rafaelita Blaksland"/>
    <s v="New Zealand"/>
    <s v="After Nines"/>
    <x v="170"/>
    <n v="1127.5"/>
    <n v="88"/>
    <n v="12.8125"/>
    <s v="July"/>
    <s v="Q3"/>
    <s v="Large"/>
  </r>
  <r>
    <s v="Madelene Upcott"/>
    <s v="New Zealand"/>
    <s v="Mint Chip Choco"/>
    <x v="222"/>
    <n v="8502.77"/>
    <n v="4"/>
    <n v="2125.6925000000001"/>
    <s v="March"/>
    <s v="Q1"/>
    <s v="Large"/>
  </r>
  <r>
    <s v="Madelene Upcott"/>
    <s v="UK"/>
    <s v="70% Dark Bites"/>
    <x v="185"/>
    <n v="5961.02"/>
    <n v="241"/>
    <n v="24.734522821576764"/>
    <s v="February"/>
    <s v="Q1"/>
    <s v="Large"/>
  </r>
  <r>
    <s v="Barr Faughny"/>
    <s v="Australia"/>
    <s v="Organic Choco Syrup"/>
    <x v="269"/>
    <n v="2478.33"/>
    <n v="33"/>
    <n v="75.100909090909084"/>
    <s v="January"/>
    <s v="Q1"/>
    <s v="Large"/>
  </r>
  <r>
    <s v="Beverie Moffet"/>
    <s v="New Zealand"/>
    <s v="Drinking Coco"/>
    <x v="257"/>
    <n v="1269.56"/>
    <n v="497"/>
    <n v="2.5544466800804826"/>
    <s v="January"/>
    <s v="Q1"/>
    <s v="Large"/>
  </r>
  <r>
    <s v="Beverie Moffet"/>
    <s v="India"/>
    <s v="Eclairs"/>
    <x v="301"/>
    <n v="11130.52"/>
    <n v="144"/>
    <n v="77.295277777777784"/>
    <s v="June"/>
    <s v="Q2"/>
    <s v="Large"/>
  </r>
  <r>
    <s v="Andria Kimpton"/>
    <s v="India"/>
    <s v="Eclairs"/>
    <x v="213"/>
    <n v="2455.09"/>
    <n v="83"/>
    <n v="29.579397590361449"/>
    <s v="May"/>
    <s v="Q2"/>
    <s v="Large"/>
  </r>
  <r>
    <s v="Gigi Bohling"/>
    <s v="UK"/>
    <s v="85% Dark Bars"/>
    <x v="298"/>
    <n v="12764.94"/>
    <n v="100"/>
    <n v="127.6494"/>
    <s v="June"/>
    <s v="Q2"/>
    <s v="Large"/>
  </r>
  <r>
    <s v="Roddy Speechley"/>
    <s v="UK"/>
    <s v="Raspberry Choco"/>
    <x v="250"/>
    <n v="13351.42"/>
    <n v="198"/>
    <n v="67.431414141414137"/>
    <s v="January"/>
    <s v="Q1"/>
    <s v="Large"/>
  </r>
  <r>
    <s v="Dotty Strutley"/>
    <s v="UK"/>
    <s v="Mint Chip Choco"/>
    <x v="334"/>
    <n v="2763.22"/>
    <n v="223"/>
    <n v="12.391121076233183"/>
    <s v="July"/>
    <s v="Q3"/>
    <s v="Large"/>
  </r>
  <r>
    <s v="Barr Faughny"/>
    <s v="Canada"/>
    <s v="Drinking Coco"/>
    <x v="326"/>
    <n v="6523.34"/>
    <n v="245"/>
    <n v="26.625877551020409"/>
    <s v="April"/>
    <s v="Q2"/>
    <s v="Large"/>
  </r>
  <r>
    <s v="Oby Sorrel"/>
    <s v="USA"/>
    <s v="Milk Bars"/>
    <x v="275"/>
    <n v="1868.25"/>
    <n v="82"/>
    <n v="22.783536585365855"/>
    <s v="June"/>
    <s v="Q2"/>
    <s v="Large"/>
  </r>
  <r>
    <s v="Oby Sorrel"/>
    <s v="UK"/>
    <s v="Orange Choco"/>
    <x v="203"/>
    <n v="8431.83"/>
    <n v="251"/>
    <n v="33.592948207171311"/>
    <s v="April"/>
    <s v="Q2"/>
    <s v="Large"/>
  </r>
  <r>
    <s v="Curtice Advani"/>
    <s v="Canada"/>
    <s v="Peanut Butter Cubes"/>
    <x v="201"/>
    <n v="5646.99"/>
    <n v="64"/>
    <n v="88.234218749999997"/>
    <s v="May"/>
    <s v="Q2"/>
    <s v="Large"/>
  </r>
  <r>
    <s v="Gigi Bohling"/>
    <s v="India"/>
    <s v="White Choc"/>
    <x v="268"/>
    <n v="1484.67"/>
    <n v="180"/>
    <n v="8.2481666666666662"/>
    <s v="April"/>
    <s v="Q2"/>
    <s v="Large"/>
  </r>
  <r>
    <s v="Husein Augar"/>
    <s v="Canada"/>
    <s v="Choco Coated Almonds"/>
    <x v="256"/>
    <n v="3859.95"/>
    <n v="395"/>
    <n v="9.7720253164556965"/>
    <s v="August"/>
    <s v="Q3"/>
    <s v="Large"/>
  </r>
  <r>
    <s v="Wilone O'Kielt"/>
    <s v="India"/>
    <s v="Choco Coated Almonds"/>
    <x v="206"/>
    <n v="3237.3"/>
    <n v="227"/>
    <n v="14.261233480176212"/>
    <s v="August"/>
    <s v="Q3"/>
    <s v="Large"/>
  </r>
  <r>
    <s v="Wilone O'Kielt"/>
    <s v="New Zealand"/>
    <s v="Baker's Choco Chips"/>
    <x v="287"/>
    <n v="4072.43"/>
    <n v="64"/>
    <n v="63.631718749999997"/>
    <s v="April"/>
    <s v="Q2"/>
    <s v="Large"/>
  </r>
  <r>
    <s v="Kaine Padly"/>
    <s v="UK"/>
    <s v="Choco Coated Almonds"/>
    <x v="181"/>
    <n v="8054.87"/>
    <n v="118"/>
    <n v="68.261610169491519"/>
    <s v="August"/>
    <s v="Q3"/>
    <s v="Large"/>
  </r>
  <r>
    <s v="Dennison Crosswaite"/>
    <s v="New Zealand"/>
    <s v="Organic Choco Syrup"/>
    <x v="168"/>
    <n v="420.3"/>
    <n v="224"/>
    <n v="1.8763392857142858"/>
    <s v="January"/>
    <s v="Q1"/>
    <s v="Small"/>
  </r>
  <r>
    <s v="Kelci Walkden"/>
    <s v="Canada"/>
    <s v="After Nines"/>
    <x v="178"/>
    <n v="17073.990000000002"/>
    <n v="218"/>
    <n v="78.32105504587156"/>
    <s v="January"/>
    <s v="Q1"/>
    <s v="Large"/>
  </r>
  <r>
    <s v="Van Tuxwell"/>
    <s v="Australia"/>
    <s v="Baker's Choco Chips"/>
    <x v="197"/>
    <n v="13624.31"/>
    <n v="33"/>
    <n v="412.85787878787875"/>
    <s v="May"/>
    <s v="Q2"/>
    <s v="Large"/>
  </r>
  <r>
    <s v="Husein Augar"/>
    <s v="New Zealand"/>
    <s v="Peanut Butter Cubes"/>
    <x v="185"/>
    <n v="2318.46"/>
    <n v="235"/>
    <n v="9.8657872340425534"/>
    <s v="February"/>
    <s v="Q1"/>
    <s v="Large"/>
  </r>
  <r>
    <s v="Kaine Padly"/>
    <s v="UK"/>
    <s v="Caramel Stuffed Bars"/>
    <x v="266"/>
    <n v="10740.05"/>
    <n v="67"/>
    <n v="160.29925373134327"/>
    <s v="May"/>
    <s v="Q2"/>
    <s v="Large"/>
  </r>
  <r>
    <s v="Jehu Rudeforth"/>
    <s v="UK"/>
    <s v="Drinking Coco"/>
    <x v="320"/>
    <n v="7624.67"/>
    <n v="422"/>
    <n v="18.067938388625592"/>
    <s v="February"/>
    <s v="Q1"/>
    <s v="Large"/>
  </r>
  <r>
    <s v="Beverie Moffet"/>
    <s v="India"/>
    <s v="Manuka Honey Choco"/>
    <x v="309"/>
    <n v="10168.32"/>
    <n v="159"/>
    <n v="63.951698113207549"/>
    <s v="May"/>
    <s v="Q2"/>
    <s v="Large"/>
  </r>
  <r>
    <s v="Gunar Cockshoot"/>
    <s v="UK"/>
    <s v="Choco Coated Almonds"/>
    <x v="198"/>
    <n v="6635.15"/>
    <n v="141"/>
    <n v="47.057801418439716"/>
    <s v="June"/>
    <s v="Q2"/>
    <s v="Large"/>
  </r>
  <r>
    <s v="Gunar Cockshoot"/>
    <s v="UK"/>
    <s v="Smooth Sliky Salty"/>
    <x v="295"/>
    <n v="860.12"/>
    <n v="158"/>
    <n v="5.4437974683544308"/>
    <s v="March"/>
    <s v="Q1"/>
    <s v="Large"/>
  </r>
  <r>
    <s v="Camilla Castle"/>
    <s v="Canada"/>
    <s v="Orange Choco"/>
    <x v="188"/>
    <n v="8671.2099999999991"/>
    <n v="52"/>
    <n v="166.75403846153844"/>
    <s v="February"/>
    <s v="Q1"/>
    <s v="Large"/>
  </r>
  <r>
    <s v="Jehu Rudeforth"/>
    <s v="UK"/>
    <s v="85% Dark Bars"/>
    <x v="170"/>
    <n v="5534.11"/>
    <n v="63"/>
    <n v="87.843015873015872"/>
    <s v="July"/>
    <s v="Q3"/>
    <s v="Large"/>
  </r>
  <r>
    <s v="Oby Sorrel"/>
    <s v="UK"/>
    <s v="70% Dark Bites"/>
    <x v="251"/>
    <n v="6800.26"/>
    <n v="187"/>
    <n v="36.365026737967916"/>
    <s v="March"/>
    <s v="Q1"/>
    <s v="Large"/>
  </r>
  <r>
    <s v="Kelci Walkden"/>
    <s v="UK"/>
    <s v="99% Dark &amp; Pure"/>
    <x v="321"/>
    <n v="3927.83"/>
    <n v="123"/>
    <n v="31.933577235772358"/>
    <s v="August"/>
    <s v="Q3"/>
    <s v="Large"/>
  </r>
  <r>
    <s v="Gigi Bohling"/>
    <s v="New Zealand"/>
    <s v="After Nines"/>
    <x v="272"/>
    <n v="5833.8"/>
    <n v="196"/>
    <n v="29.764285714285716"/>
    <s v="January"/>
    <s v="Q1"/>
    <s v="Large"/>
  </r>
  <r>
    <s v="Oby Sorrel"/>
    <s v="Australia"/>
    <s v="50% Dark Bites"/>
    <x v="309"/>
    <n v="733.08"/>
    <n v="147"/>
    <n v="4.9869387755102039"/>
    <s v="May"/>
    <s v="Q2"/>
    <s v="Large"/>
  </r>
  <r>
    <s v="Oby Sorrel"/>
    <s v="Canada"/>
    <s v="50% Dark Bites"/>
    <x v="300"/>
    <n v="7164.51"/>
    <n v="140"/>
    <n v="51.175071428571428"/>
    <s v="June"/>
    <s v="Q2"/>
    <s v="Large"/>
  </r>
  <r>
    <s v="Barr Faughny"/>
    <s v="USA"/>
    <s v="White Choc"/>
    <x v="308"/>
    <n v="7900.52"/>
    <n v="175"/>
    <n v="45.145828571428574"/>
    <s v="May"/>
    <s v="Q2"/>
    <s v="Large"/>
  </r>
  <r>
    <s v="Rafaelita Blaksland"/>
    <s v="New Zealand"/>
    <s v="99% Dark &amp; Pure"/>
    <x v="280"/>
    <n v="3550.76"/>
    <n v="85"/>
    <n v="41.773647058823535"/>
    <s v="March"/>
    <s v="Q1"/>
    <s v="Large"/>
  </r>
  <r>
    <s v="Curtice Advani"/>
    <s v="Australia"/>
    <s v="Caramel Stuffed Bars"/>
    <x v="183"/>
    <n v="10281.51"/>
    <n v="136"/>
    <n v="75.599338235294113"/>
    <s v="February"/>
    <s v="Q1"/>
    <s v="Large"/>
  </r>
  <r>
    <s v="Curtice Advani"/>
    <s v="New Zealand"/>
    <s v="85% Dark Bars"/>
    <x v="233"/>
    <n v="5936.81"/>
    <n v="180"/>
    <n v="32.982277777777782"/>
    <s v="May"/>
    <s v="Q2"/>
    <s v="Large"/>
  </r>
  <r>
    <s v="Barr Faughny"/>
    <s v="New Zealand"/>
    <s v="Smooth Sliky Salty"/>
    <x v="174"/>
    <n v="4552.1499999999996"/>
    <n v="172"/>
    <n v="26.465988372093022"/>
    <s v="January"/>
    <s v="Q1"/>
    <s v="Large"/>
  </r>
  <r>
    <s v="Ches Bonnell"/>
    <s v="UK"/>
    <s v="85% Dark Bars"/>
    <x v="212"/>
    <n v="15944.86"/>
    <n v="11"/>
    <n v="1449.5327272727272"/>
    <s v="June"/>
    <s v="Q2"/>
    <s v="Large"/>
  </r>
  <r>
    <s v="Dennison Crosswaite"/>
    <s v="Australia"/>
    <s v="Drinking Coco"/>
    <x v="225"/>
    <n v="7722.58"/>
    <n v="188"/>
    <n v="41.077553191489365"/>
    <s v="July"/>
    <s v="Q3"/>
    <s v="Large"/>
  </r>
  <r>
    <s v="Roddy Speechley"/>
    <s v="USA"/>
    <s v="Milk Bars"/>
    <x v="213"/>
    <n v="3105.38"/>
    <n v="268"/>
    <n v="11.58723880597015"/>
    <s v="May"/>
    <s v="Q2"/>
    <s v="Large"/>
  </r>
  <r>
    <s v="Jan Morforth"/>
    <s v="India"/>
    <s v="After Nines"/>
    <x v="190"/>
    <n v="6994.35"/>
    <n v="179"/>
    <n v="39.074581005586595"/>
    <s v="March"/>
    <s v="Q1"/>
    <s v="Large"/>
  </r>
  <r>
    <s v="Gunar Cockshoot"/>
    <s v="USA"/>
    <s v="After Nines"/>
    <x v="256"/>
    <n v="4264.49"/>
    <n v="252"/>
    <n v="16.922579365079365"/>
    <s v="August"/>
    <s v="Q3"/>
    <s v="Large"/>
  </r>
  <r>
    <s v="Ches Bonnell"/>
    <s v="India"/>
    <s v="Orange Choco"/>
    <x v="185"/>
    <n v="1215.3"/>
    <n v="271"/>
    <n v="4.4845018450184497"/>
    <s v="February"/>
    <s v="Q1"/>
    <s v="Large"/>
  </r>
  <r>
    <s v="Mallorie Waber"/>
    <s v="UK"/>
    <s v="Manuka Honey Choco"/>
    <x v="194"/>
    <n v="8519.3700000000008"/>
    <n v="45"/>
    <n v="189.31933333333336"/>
    <s v="June"/>
    <s v="Q2"/>
    <s v="Large"/>
  </r>
  <r>
    <s v="Barr Faughny"/>
    <s v="Australia"/>
    <s v="Raspberry Choco"/>
    <x v="216"/>
    <n v="9810.9500000000007"/>
    <n v="105"/>
    <n v="93.437619047619052"/>
    <s v="May"/>
    <s v="Q2"/>
    <s v="Large"/>
  </r>
  <r>
    <s v="Wilone O'Kielt"/>
    <s v="USA"/>
    <s v="Drinking Coco"/>
    <x v="275"/>
    <n v="1065.6300000000001"/>
    <n v="107"/>
    <n v="9.9591588785046739"/>
    <s v="June"/>
    <s v="Q2"/>
    <s v="Large"/>
  </r>
  <r>
    <s v="Wilone O'Kielt"/>
    <s v="India"/>
    <s v="Eclairs"/>
    <x v="243"/>
    <n v="3894.68"/>
    <n v="80"/>
    <n v="48.683499999999995"/>
    <s v="February"/>
    <s v="Q1"/>
    <s v="Large"/>
  </r>
  <r>
    <s v="Wilone O'Kielt"/>
    <s v="India"/>
    <s v="After Nines"/>
    <x v="285"/>
    <n v="12194.27"/>
    <n v="252"/>
    <n v="48.389960317460321"/>
    <s v="August"/>
    <s v="Q3"/>
    <s v="Large"/>
  </r>
  <r>
    <s v="Kelci Walkden"/>
    <s v="India"/>
    <s v="99% Dark &amp; Pure"/>
    <x v="212"/>
    <n v="2455.13"/>
    <n v="236"/>
    <n v="10.403093220338983"/>
    <s v="June"/>
    <s v="Q2"/>
    <s v="Large"/>
  </r>
  <r>
    <s v="Gunar Cockshoot"/>
    <s v="Canada"/>
    <s v="Spicy Special Slims"/>
    <x v="184"/>
    <n v="14887.76"/>
    <n v="12"/>
    <n v="1240.6466666666668"/>
    <s v="April"/>
    <s v="Q2"/>
    <s v="Large"/>
  </r>
  <r>
    <s v="Madelene Upcott"/>
    <s v="Canada"/>
    <s v="Peanut Butter Cubes"/>
    <x v="193"/>
    <n v="15276.46"/>
    <n v="121"/>
    <n v="126.25173553719007"/>
    <s v="July"/>
    <s v="Q3"/>
    <s v="Large"/>
  </r>
  <r>
    <s v="Kaine Padly"/>
    <s v="New Zealand"/>
    <s v="Eclairs"/>
    <x v="335"/>
    <n v="13520.48"/>
    <n v="47"/>
    <n v="287.66978723404253"/>
    <s v="January"/>
    <s v="Q1"/>
    <s v="Large"/>
  </r>
  <r>
    <s v="Ches Bonnell"/>
    <s v="New Zealand"/>
    <s v="Drinking Coco"/>
    <x v="185"/>
    <n v="9195.5300000000007"/>
    <n v="127"/>
    <n v="72.405748031496074"/>
    <s v="February"/>
    <s v="Q1"/>
    <s v="Large"/>
  </r>
  <r>
    <s v="Curtice Advani"/>
    <s v="UK"/>
    <s v="Drinking Coco"/>
    <x v="265"/>
    <n v="460.98"/>
    <n v="182"/>
    <n v="2.5328571428571429"/>
    <s v="July"/>
    <s v="Q3"/>
    <s v="Small"/>
  </r>
  <r>
    <s v="Kelci Walkden"/>
    <s v="India"/>
    <s v="Raspberry Choco"/>
    <x v="254"/>
    <n v="8216.56"/>
    <n v="257"/>
    <n v="31.971050583657586"/>
    <s v="June"/>
    <s v="Q2"/>
    <s v="Large"/>
  </r>
  <r>
    <s v="Dotty Strutley"/>
    <s v="Australia"/>
    <s v="Choco Coated Almonds"/>
    <x v="268"/>
    <n v="1863.54"/>
    <n v="277"/>
    <n v="6.727581227436823"/>
    <s v="April"/>
    <s v="Q2"/>
    <s v="Large"/>
  </r>
  <r>
    <s v="Kaine Padly"/>
    <s v="UK"/>
    <s v="50% Dark Bites"/>
    <x v="252"/>
    <n v="3283"/>
    <n v="72"/>
    <n v="45.597222222222221"/>
    <s v="February"/>
    <s v="Q1"/>
    <s v="Large"/>
  </r>
  <r>
    <s v="Roddy Speechley"/>
    <s v="Canada"/>
    <s v="Choco Coated Almonds"/>
    <x v="197"/>
    <n v="5967.18"/>
    <n v="247"/>
    <n v="24.158623481781376"/>
    <s v="May"/>
    <s v="Q2"/>
    <s v="Large"/>
  </r>
  <r>
    <s v="Ches Bonnell"/>
    <s v="India"/>
    <s v="50% Dark Bites"/>
    <x v="203"/>
    <n v="12083.5"/>
    <n v="334"/>
    <n v="36.178143712574851"/>
    <s v="April"/>
    <s v="Q2"/>
    <s v="Large"/>
  </r>
  <r>
    <s v="Oby Sorrel"/>
    <s v="Canada"/>
    <s v="Peanut Butter Cubes"/>
    <x v="244"/>
    <n v="12397.06"/>
    <n v="179"/>
    <n v="69.257318435754186"/>
    <s v="June"/>
    <s v="Q2"/>
    <s v="Large"/>
  </r>
  <r>
    <s v="Oby Sorrel"/>
    <s v="UK"/>
    <s v="White Choc"/>
    <x v="187"/>
    <n v="1746.01"/>
    <n v="280"/>
    <n v="6.2357500000000003"/>
    <s v="June"/>
    <s v="Q2"/>
    <s v="Large"/>
  </r>
  <r>
    <s v="Barr Faughny"/>
    <s v="India"/>
    <s v="After Nines"/>
    <x v="267"/>
    <n v="9021.65"/>
    <n v="104"/>
    <n v="86.746634615384608"/>
    <s v="July"/>
    <s v="Q3"/>
    <s v="Large"/>
  </r>
  <r>
    <s v="Wilone O'Kielt"/>
    <s v="Canada"/>
    <s v="Smooth Sliky Salty"/>
    <x v="202"/>
    <n v="5263.45"/>
    <n v="165"/>
    <n v="31.899696969696969"/>
    <s v="June"/>
    <s v="Q2"/>
    <s v="Large"/>
  </r>
  <r>
    <s v="Rafaelita Blaksland"/>
    <s v="India"/>
    <s v="Mint Chip Choco"/>
    <x v="182"/>
    <n v="15473"/>
    <n v="91"/>
    <n v="170.03296703296704"/>
    <s v="January"/>
    <s v="Q1"/>
    <s v="Large"/>
  </r>
  <r>
    <s v="Rafaelita Blaksland"/>
    <s v="Canada"/>
    <s v="99% Dark &amp; Pure"/>
    <x v="220"/>
    <n v="5566.57"/>
    <n v="140"/>
    <n v="39.761214285714281"/>
    <s v="March"/>
    <s v="Q1"/>
    <s v="Large"/>
  </r>
  <r>
    <s v="Van Tuxwell"/>
    <s v="Australia"/>
    <s v="70% Dark Bites"/>
    <x v="221"/>
    <n v="8111.43"/>
    <n v="111"/>
    <n v="73.075945945945946"/>
    <s v="January"/>
    <s v="Q1"/>
    <s v="Large"/>
  </r>
  <r>
    <s v="Beverie Moffet"/>
    <s v="USA"/>
    <s v="70% Dark Bites"/>
    <x v="187"/>
    <n v="2341.8000000000002"/>
    <n v="117"/>
    <n v="20.015384615384615"/>
    <s v="June"/>
    <s v="Q2"/>
    <s v="Large"/>
  </r>
  <r>
    <s v="Barr Faughny"/>
    <s v="Canada"/>
    <s v="Orange Choco"/>
    <x v="198"/>
    <n v="8650.42"/>
    <n v="19"/>
    <n v="455.28526315789475"/>
    <s v="June"/>
    <s v="Q2"/>
    <s v="Large"/>
  </r>
  <r>
    <s v="Roddy Speechley"/>
    <s v="Australia"/>
    <s v="85% Dark Bars"/>
    <x v="219"/>
    <n v="4444.72"/>
    <n v="77"/>
    <n v="57.723636363636366"/>
    <s v="July"/>
    <s v="Q3"/>
    <s v="Large"/>
  </r>
  <r>
    <s v="Oby Sorrel"/>
    <s v="India"/>
    <s v="Spicy Special Slims"/>
    <x v="186"/>
    <n v="12531.37"/>
    <n v="86"/>
    <n v="145.7136046511628"/>
    <s v="June"/>
    <s v="Q2"/>
    <s v="Large"/>
  </r>
  <r>
    <s v="Jan Morforth"/>
    <s v="UK"/>
    <s v="Manuka Honey Choco"/>
    <x v="229"/>
    <n v="3558.89"/>
    <n v="231"/>
    <n v="15.406450216450216"/>
    <s v="August"/>
    <s v="Q3"/>
    <s v="Large"/>
  </r>
  <r>
    <s v="Kaine Padly"/>
    <s v="Australia"/>
    <s v="After Nines"/>
    <x v="238"/>
    <n v="7889.9"/>
    <n v="300"/>
    <n v="26.299666666666667"/>
    <s v="April"/>
    <s v="Q2"/>
    <s v="Large"/>
  </r>
  <r>
    <s v="Wilone O'Kielt"/>
    <s v="Canada"/>
    <s v="Fruit &amp; Nut Bars"/>
    <x v="283"/>
    <n v="3589.18"/>
    <n v="176"/>
    <n v="20.39306818181818"/>
    <s v="August"/>
    <s v="Q3"/>
    <s v="Large"/>
  </r>
  <r>
    <s v="Wilone O'Kielt"/>
    <s v="UK"/>
    <s v="Milk Bars"/>
    <x v="224"/>
    <n v="305.39"/>
    <n v="62"/>
    <n v="4.9256451612903227"/>
    <s v="August"/>
    <s v="Q3"/>
    <s v="Small"/>
  </r>
  <r>
    <s v="Oby Sorrel"/>
    <s v="Canada"/>
    <s v="Fruit &amp; Nut Bars"/>
    <x v="270"/>
    <n v="1896.64"/>
    <n v="161"/>
    <n v="11.780372670807454"/>
    <s v="January"/>
    <s v="Q1"/>
    <s v="Large"/>
  </r>
  <r>
    <s v="Dennison Crosswaite"/>
    <s v="USA"/>
    <s v="Baker's Choco Chips"/>
    <x v="323"/>
    <n v="18494.72"/>
    <n v="298"/>
    <n v="62.062818791946313"/>
    <s v="August"/>
    <s v="Q3"/>
    <s v="Large"/>
  </r>
  <r>
    <s v="Madelene Upcott"/>
    <s v="USA"/>
    <s v="Almond Choco"/>
    <x v="274"/>
    <n v="11103.47"/>
    <n v="24"/>
    <n v="462.64458333333329"/>
    <s v="May"/>
    <s v="Q2"/>
    <s v="Large"/>
  </r>
  <r>
    <s v="Van Tuxwell"/>
    <s v="New Zealand"/>
    <s v="50% Dark Bites"/>
    <x v="204"/>
    <n v="4162.28"/>
    <n v="11"/>
    <n v="378.3890909090909"/>
    <s v="July"/>
    <s v="Q3"/>
    <s v="Large"/>
  </r>
  <r>
    <s v="Karlen McCaffrey"/>
    <s v="Canada"/>
    <s v="Caramel Stuffed Bars"/>
    <x v="220"/>
    <n v="3357.3"/>
    <n v="308"/>
    <n v="10.900324675324676"/>
    <s v="March"/>
    <s v="Q1"/>
    <s v="Large"/>
  </r>
  <r>
    <s v="Madelene Upcott"/>
    <s v="Australia"/>
    <s v="Raspberry Choco"/>
    <x v="225"/>
    <n v="7033.52"/>
    <n v="94"/>
    <n v="74.824680851063832"/>
    <s v="July"/>
    <s v="Q3"/>
    <s v="Large"/>
  </r>
  <r>
    <s v="Rafaelita Blaksland"/>
    <s v="UK"/>
    <s v="Spicy Special Slims"/>
    <x v="181"/>
    <n v="9896.7999999999993"/>
    <n v="143"/>
    <n v="69.208391608391608"/>
    <s v="August"/>
    <s v="Q3"/>
    <s v="Large"/>
  </r>
  <r>
    <s v="Curtice Advani"/>
    <s v="UK"/>
    <s v="Peanut Butter Cubes"/>
    <x v="330"/>
    <n v="15653.44"/>
    <n v="175"/>
    <n v="89.448228571428572"/>
    <s v="March"/>
    <s v="Q1"/>
    <s v="Large"/>
  </r>
  <r>
    <s v="Kelci Walkden"/>
    <s v="New Zealand"/>
    <s v="White Choc"/>
    <x v="268"/>
    <n v="7899.31"/>
    <n v="148"/>
    <n v="53.373716216216216"/>
    <s v="April"/>
    <s v="Q2"/>
    <s v="Large"/>
  </r>
  <r>
    <s v="Beverie Moffet"/>
    <s v="Canada"/>
    <s v="Fruit &amp; Nut Bars"/>
    <x v="183"/>
    <n v="10644.74"/>
    <n v="172"/>
    <n v="61.888023255813955"/>
    <s v="February"/>
    <s v="Q1"/>
    <s v="Large"/>
  </r>
  <r>
    <s v="Mallorie Waber"/>
    <s v="India"/>
    <s v="White Choc"/>
    <x v="236"/>
    <n v="872.83"/>
    <n v="224"/>
    <n v="3.8965625000000004"/>
    <s v="July"/>
    <s v="Q3"/>
    <s v="Large"/>
  </r>
  <r>
    <s v="Brien Boise"/>
    <s v="UK"/>
    <s v="Drinking Coco"/>
    <x v="227"/>
    <n v="6337.94"/>
    <n v="128"/>
    <n v="49.515156249999997"/>
    <s v="January"/>
    <s v="Q1"/>
    <s v="Large"/>
  </r>
  <r>
    <s v="Jehu Rudeforth"/>
    <s v="India"/>
    <s v="Peanut Butter Cubes"/>
    <x v="217"/>
    <n v="31.15"/>
    <n v="451"/>
    <n v="6.9068736141906867E-2"/>
    <s v="April"/>
    <s v="Q2"/>
    <s v="Small"/>
  </r>
  <r>
    <s v="Oby Sorrel"/>
    <s v="USA"/>
    <s v="Almond Choco"/>
    <x v="201"/>
    <n v="7107.55"/>
    <n v="142"/>
    <n v="50.05316901408451"/>
    <s v="May"/>
    <s v="Q2"/>
    <s v="Large"/>
  </r>
  <r>
    <s v="Husein Augar"/>
    <s v="India"/>
    <s v="Eclairs"/>
    <x v="192"/>
    <n v="5465.85"/>
    <n v="56"/>
    <n v="97.604464285714286"/>
    <s v="February"/>
    <s v="Q1"/>
    <s v="Large"/>
  </r>
  <r>
    <s v="Brien Boise"/>
    <s v="UK"/>
    <s v="Spicy Special Slims"/>
    <x v="231"/>
    <n v="2462.14"/>
    <n v="60"/>
    <n v="41.035666666666664"/>
    <s v="May"/>
    <s v="Q2"/>
    <s v="Large"/>
  </r>
  <r>
    <s v="Oby Sorrel"/>
    <s v="Australia"/>
    <s v="Manuka Honey Choco"/>
    <x v="182"/>
    <n v="4194.4399999999996"/>
    <n v="80"/>
    <n v="52.430499999999995"/>
    <s v="January"/>
    <s v="Q1"/>
    <s v="Large"/>
  </r>
  <r>
    <s v="Beverie Moffet"/>
    <s v="India"/>
    <s v="White Choc"/>
    <x v="177"/>
    <n v="1994.44"/>
    <n v="299"/>
    <n v="6.6703678929765884"/>
    <s v="July"/>
    <s v="Q3"/>
    <s v="Large"/>
  </r>
  <r>
    <s v="Ches Bonnell"/>
    <s v="India"/>
    <s v="Almond Choco"/>
    <x v="268"/>
    <n v="12124.05"/>
    <n v="80"/>
    <n v="151.550625"/>
    <s v="April"/>
    <s v="Q2"/>
    <s v="Large"/>
  </r>
  <r>
    <s v="Gigi Bohling"/>
    <s v="Australia"/>
    <s v="Smooth Sliky Salty"/>
    <x v="174"/>
    <n v="5884.09"/>
    <n v="117"/>
    <n v="50.291367521367519"/>
    <s v="January"/>
    <s v="Q1"/>
    <s v="Large"/>
  </r>
  <r>
    <s v="Camilla Castle"/>
    <s v="USA"/>
    <s v="85% Dark Bars"/>
    <x v="259"/>
    <n v="2639.16"/>
    <n v="80"/>
    <n v="32.9895"/>
    <s v="April"/>
    <s v="Q2"/>
    <s v="Large"/>
  </r>
  <r>
    <s v="Camilla Castle"/>
    <s v="USA"/>
    <s v="Eclairs"/>
    <x v="207"/>
    <n v="5031.3999999999996"/>
    <n v="401"/>
    <n v="12.547132169576059"/>
    <s v="June"/>
    <s v="Q2"/>
    <s v="Large"/>
  </r>
  <r>
    <s v="Madelene Upcott"/>
    <s v="New Zealand"/>
    <s v="White Choc"/>
    <x v="206"/>
    <n v="11510.71"/>
    <n v="56"/>
    <n v="205.54839285714283"/>
    <s v="August"/>
    <s v="Q3"/>
    <s v="Large"/>
  </r>
  <r>
    <s v="Van Tuxwell"/>
    <s v="India"/>
    <s v="After Nines"/>
    <x v="187"/>
    <n v="15021.98"/>
    <n v="211"/>
    <n v="71.194218009478675"/>
    <s v="June"/>
    <s v="Q2"/>
    <s v="Large"/>
  </r>
  <r>
    <s v="Husein Augar"/>
    <s v="India"/>
    <s v="Orange Choco"/>
    <x v="198"/>
    <n v="4517.1899999999996"/>
    <n v="40"/>
    <n v="112.92974999999998"/>
    <s v="June"/>
    <s v="Q2"/>
    <s v="Large"/>
  </r>
  <r>
    <s v="Jehu Rudeforth"/>
    <s v="India"/>
    <s v="Almond Choco"/>
    <x v="296"/>
    <n v="10778.53"/>
    <n v="99"/>
    <n v="108.87404040404041"/>
    <s v="August"/>
    <s v="Q3"/>
    <s v="Large"/>
  </r>
  <r>
    <s v="Karlen McCaffrey"/>
    <s v="Australia"/>
    <s v="Raspberry Choco"/>
    <x v="230"/>
    <n v="1145.72"/>
    <n v="60"/>
    <n v="19.095333333333333"/>
    <s v="August"/>
    <s v="Q3"/>
    <s v="Large"/>
  </r>
  <r>
    <s v="Camilla Castle"/>
    <s v="New Zealand"/>
    <s v="99% Dark &amp; Pure"/>
    <x v="224"/>
    <n v="2518.5"/>
    <n v="45"/>
    <n v="55.966666666666669"/>
    <s v="August"/>
    <s v="Q3"/>
    <s v="Large"/>
  </r>
  <r>
    <s v="Gigi Bohling"/>
    <s v="Australia"/>
    <s v="Orange Choco"/>
    <x v="255"/>
    <n v="596.63"/>
    <n v="158"/>
    <n v="3.7761392405063292"/>
    <s v="March"/>
    <s v="Q1"/>
    <s v="Large"/>
  </r>
  <r>
    <s v="Kelci Walkden"/>
    <s v="UK"/>
    <s v="Drinking Coco"/>
    <x v="176"/>
    <n v="1858.71"/>
    <n v="24"/>
    <n v="77.446250000000006"/>
    <s v="April"/>
    <s v="Q2"/>
    <s v="Large"/>
  </r>
  <r>
    <s v="Mallorie Waber"/>
    <s v="Canada"/>
    <s v="Caramel Stuffed Bars"/>
    <x v="207"/>
    <n v="5194.28"/>
    <n v="547"/>
    <n v="9.495941499085923"/>
    <s v="June"/>
    <s v="Q2"/>
    <s v="Large"/>
  </r>
  <r>
    <s v="Husein Augar"/>
    <s v="Australia"/>
    <s v="Organic Choco Syrup"/>
    <x v="311"/>
    <n v="960.69"/>
    <n v="155"/>
    <n v="6.1980000000000004"/>
    <s v="February"/>
    <s v="Q1"/>
    <s v="Large"/>
  </r>
  <r>
    <s v="Brien Boise"/>
    <s v="Australia"/>
    <s v="White Choc"/>
    <x v="242"/>
    <n v="5347.12"/>
    <n v="23"/>
    <n v="232.48347826086956"/>
    <s v="August"/>
    <s v="Q3"/>
    <s v="Large"/>
  </r>
  <r>
    <s v="Dotty Strutley"/>
    <s v="India"/>
    <s v="Peanut Butter Cubes"/>
    <x v="185"/>
    <n v="9805.11"/>
    <n v="76"/>
    <n v="129.0146052631579"/>
    <s v="February"/>
    <s v="Q1"/>
    <s v="Large"/>
  </r>
  <r>
    <s v="Dennison Crosswaite"/>
    <s v="UK"/>
    <s v="99% Dark &amp; Pure"/>
    <x v="189"/>
    <n v="13205.42"/>
    <n v="26"/>
    <n v="507.90076923076924"/>
    <s v="May"/>
    <s v="Q2"/>
    <s v="Large"/>
  </r>
  <r>
    <s v="Gigi Bohling"/>
    <s v="New Zealand"/>
    <s v="50% Dark Bites"/>
    <x v="196"/>
    <n v="5929.2"/>
    <n v="65"/>
    <n v="91.21846153846154"/>
    <s v="June"/>
    <s v="Q2"/>
    <s v="Large"/>
  </r>
  <r>
    <s v="Gigi Bohling"/>
    <s v="USA"/>
    <s v="Milk Bars"/>
    <x v="254"/>
    <n v="516.91999999999996"/>
    <n v="141"/>
    <n v="3.6660992907801417"/>
    <s v="June"/>
    <s v="Q2"/>
    <s v="Large"/>
  </r>
  <r>
    <s v="Brien Boise"/>
    <s v="UK"/>
    <s v="Caramel Stuffed Bars"/>
    <x v="240"/>
    <n v="2882.76"/>
    <n v="145"/>
    <n v="19.881103448275862"/>
    <s v="March"/>
    <s v="Q1"/>
    <s v="Large"/>
  </r>
  <r>
    <s v="Curtice Advani"/>
    <s v="New Zealand"/>
    <s v="Peanut Butter Cubes"/>
    <x v="279"/>
    <n v="1637.72"/>
    <n v="454"/>
    <n v="3.6073127753303966"/>
    <s v="March"/>
    <s v="Q1"/>
    <s v="Large"/>
  </r>
  <r>
    <s v="Curtice Advani"/>
    <s v="New Zealand"/>
    <s v="50% Dark Bites"/>
    <x v="227"/>
    <n v="10791.46"/>
    <n v="88"/>
    <n v="122.63022727272727"/>
    <s v="January"/>
    <s v="Q1"/>
    <s v="Large"/>
  </r>
  <r>
    <s v="Beverie Moffet"/>
    <s v="Canada"/>
    <s v="Drinking Coco"/>
    <x v="193"/>
    <n v="1093.46"/>
    <n v="115"/>
    <n v="9.5083478260869576"/>
    <s v="July"/>
    <s v="Q3"/>
    <s v="Large"/>
  </r>
  <r>
    <s v="Barr Faughny"/>
    <s v="USA"/>
    <s v="Caramel Stuffed Bars"/>
    <x v="264"/>
    <n v="3407.61"/>
    <n v="316"/>
    <n v="10.783575949367089"/>
    <s v="March"/>
    <s v="Q1"/>
    <s v="Large"/>
  </r>
  <r>
    <s v="Mallorie Waber"/>
    <s v="Canada"/>
    <s v="Almond Choco"/>
    <x v="233"/>
    <n v="4753.93"/>
    <n v="37"/>
    <n v="128.4845945945946"/>
    <s v="May"/>
    <s v="Q2"/>
    <s v="Large"/>
  </r>
  <r>
    <s v="Oby Sorrel"/>
    <s v="USA"/>
    <s v="Drinking Coco"/>
    <x v="222"/>
    <n v="8280.6200000000008"/>
    <n v="47"/>
    <n v="176.18340425531918"/>
    <s v="March"/>
    <s v="Q1"/>
    <s v="Large"/>
  </r>
  <r>
    <s v="Brien Boise"/>
    <s v="New Zealand"/>
    <s v="Eclairs"/>
    <x v="204"/>
    <n v="4981.78"/>
    <n v="299"/>
    <n v="16.661471571906354"/>
    <s v="July"/>
    <s v="Q3"/>
    <s v="Large"/>
  </r>
  <r>
    <s v="Gunar Cockshoot"/>
    <s v="New Zealand"/>
    <s v="Choco Coated Almonds"/>
    <x v="169"/>
    <n v="13998.33"/>
    <n v="60"/>
    <n v="233.30549999999999"/>
    <s v="August"/>
    <s v="Q3"/>
    <s v="Large"/>
  </r>
  <r>
    <s v="Gunar Cockshoot"/>
    <s v="UK"/>
    <s v="Spicy Special Slims"/>
    <x v="185"/>
    <n v="13105.65"/>
    <n v="199"/>
    <n v="65.857537688442207"/>
    <s v="February"/>
    <s v="Q1"/>
    <s v="Large"/>
  </r>
  <r>
    <s v="Curtice Advani"/>
    <s v="USA"/>
    <s v="After Nines"/>
    <x v="268"/>
    <n v="15728.81"/>
    <n v="256"/>
    <n v="61.440664062499998"/>
    <s v="April"/>
    <s v="Q2"/>
    <s v="Large"/>
  </r>
  <r>
    <s v="Oby Sorrel"/>
    <s v="India"/>
    <s v="Choco Coated Almonds"/>
    <x v="183"/>
    <n v="53.85"/>
    <n v="399"/>
    <n v="0.13496240601503759"/>
    <s v="February"/>
    <s v="Q1"/>
    <s v="Small"/>
  </r>
  <r>
    <s v="Ches Bonnell"/>
    <s v="Australia"/>
    <s v="Peanut Butter Cubes"/>
    <x v="190"/>
    <n v="10857.23"/>
    <n v="73"/>
    <n v="148.72917808219177"/>
    <s v="March"/>
    <s v="Q1"/>
    <s v="Large"/>
  </r>
  <r>
    <s v="Oby Sorrel"/>
    <s v="Australia"/>
    <s v="Spicy Special Slims"/>
    <x v="319"/>
    <n v="12412.53"/>
    <n v="25"/>
    <n v="496.50120000000004"/>
    <s v="April"/>
    <s v="Q2"/>
    <s v="Large"/>
  </r>
  <r>
    <s v="Jehu Rudeforth"/>
    <s v="Canada"/>
    <s v="Manuka Honey Choco"/>
    <x v="184"/>
    <n v="3669.15"/>
    <n v="209"/>
    <n v="17.555741626794259"/>
    <s v="April"/>
    <s v="Q2"/>
    <s v="Large"/>
  </r>
  <r>
    <s v="Camilla Castle"/>
    <s v="Canada"/>
    <s v="Drinking Coco"/>
    <x v="318"/>
    <n v="13555.26"/>
    <n v="279"/>
    <n v="48.585161290322581"/>
    <s v="March"/>
    <s v="Q1"/>
    <s v="Large"/>
  </r>
  <r>
    <s v="Kaine Padly"/>
    <s v="USA"/>
    <s v="Spicy Special Slims"/>
    <x v="276"/>
    <n v="2333.84"/>
    <n v="171"/>
    <n v="13.648187134502924"/>
    <s v="June"/>
    <s v="Q2"/>
    <s v="Large"/>
  </r>
  <r>
    <s v="Marney O'Breen"/>
    <s v="New Zealand"/>
    <s v="70% Dark Bites"/>
    <x v="183"/>
    <n v="8973.0499999999993"/>
    <n v="360"/>
    <n v="24.925138888888888"/>
    <s v="February"/>
    <s v="Q1"/>
    <s v="Large"/>
  </r>
  <r>
    <s v="Roddy Speechley"/>
    <s v="New Zealand"/>
    <s v="99% Dark &amp; Pure"/>
    <x v="326"/>
    <n v="8610.3799999999992"/>
    <n v="188"/>
    <n v="45.799893617021276"/>
    <s v="April"/>
    <s v="Q2"/>
    <s v="Large"/>
  </r>
  <r>
    <s v="Oby Sorrel"/>
    <s v="New Zealand"/>
    <s v="85% Dark Bars"/>
    <x v="299"/>
    <n v="3432.3"/>
    <n v="452"/>
    <n v="7.5935840707964601"/>
    <s v="February"/>
    <s v="Q1"/>
    <s v="Large"/>
  </r>
  <r>
    <s v="Dotty Strutley"/>
    <s v="New Zealand"/>
    <s v="Orange Choco"/>
    <x v="285"/>
    <n v="2283.39"/>
    <n v="155"/>
    <n v="14.731548387096773"/>
    <s v="August"/>
    <s v="Q3"/>
    <s v="Large"/>
  </r>
  <r>
    <s v="Andria Kimpton"/>
    <s v="New Zealand"/>
    <s v="Almond Choco"/>
    <x v="184"/>
    <n v="7190.49"/>
    <n v="165"/>
    <n v="43.578727272727271"/>
    <s v="April"/>
    <s v="Q2"/>
    <s v="Large"/>
  </r>
  <r>
    <s v="Karlen McCaffrey"/>
    <s v="Australia"/>
    <s v="99% Dark &amp; Pure"/>
    <x v="182"/>
    <n v="11303.07"/>
    <n v="166"/>
    <n v="68.09078313253012"/>
    <s v="January"/>
    <s v="Q1"/>
    <s v="Large"/>
  </r>
  <r>
    <s v="Kaine Padly"/>
    <s v="UK"/>
    <s v="After Nines"/>
    <x v="272"/>
    <n v="18911.490000000002"/>
    <n v="171"/>
    <n v="110.59350877192983"/>
    <s v="January"/>
    <s v="Q1"/>
    <s v="Large"/>
  </r>
  <r>
    <s v="Kaine Padly"/>
    <s v="Canada"/>
    <s v="After Nines"/>
    <x v="206"/>
    <n v="6233.02"/>
    <n v="178"/>
    <n v="35.016966292134832"/>
    <s v="August"/>
    <s v="Q3"/>
    <s v="Large"/>
  </r>
  <r>
    <s v="Kaine Padly"/>
    <s v="UK"/>
    <s v="Drinking Coco"/>
    <x v="227"/>
    <n v="2334.5"/>
    <n v="233"/>
    <n v="10.019313304721029"/>
    <s v="January"/>
    <s v="Q1"/>
    <s v="Large"/>
  </r>
  <r>
    <s v="Rafaelita Blaksland"/>
    <s v="UK"/>
    <s v="50% Dark Bites"/>
    <x v="185"/>
    <n v="11099.73"/>
    <n v="73"/>
    <n v="152.05109589041095"/>
    <s v="February"/>
    <s v="Q1"/>
    <s v="Large"/>
  </r>
  <r>
    <s v="Dotty Strutley"/>
    <s v="USA"/>
    <s v="Raspberry Choco"/>
    <x v="235"/>
    <n v="3590.55"/>
    <n v="47"/>
    <n v="76.394680851063839"/>
    <s v="January"/>
    <s v="Q1"/>
    <s v="Large"/>
  </r>
  <r>
    <s v="Karlen McCaffrey"/>
    <s v="USA"/>
    <s v="White Choc"/>
    <x v="200"/>
    <n v="5209.3999999999996"/>
    <n v="2"/>
    <n v="2604.6999999999998"/>
    <s v="August"/>
    <s v="Q3"/>
    <s v="Large"/>
  </r>
  <r>
    <s v="Oby Sorrel"/>
    <s v="USA"/>
    <s v="Spicy Special Slims"/>
    <x v="232"/>
    <n v="6315.14"/>
    <n v="398"/>
    <n v="15.867185929648242"/>
    <s v="February"/>
    <s v="Q1"/>
    <s v="Large"/>
  </r>
  <r>
    <s v="Mallorie Waber"/>
    <s v="Australia"/>
    <s v="Smooth Sliky Salty"/>
    <x v="226"/>
    <n v="4454.71"/>
    <n v="117"/>
    <n v="38.074444444444445"/>
    <s v="February"/>
    <s v="Q1"/>
    <s v="Large"/>
  </r>
  <r>
    <s v="Kaine Padly"/>
    <s v="Canada"/>
    <s v="Organic Choco Syrup"/>
    <x v="264"/>
    <n v="6078.71"/>
    <n v="78"/>
    <n v="77.932179487179482"/>
    <s v="March"/>
    <s v="Q1"/>
    <s v="Large"/>
  </r>
  <r>
    <s v="Marney O'Breen"/>
    <s v="USA"/>
    <s v="Peanut Butter Cubes"/>
    <x v="194"/>
    <n v="695.96"/>
    <n v="363"/>
    <n v="1.9172451790633609"/>
    <s v="June"/>
    <s v="Q2"/>
    <s v="Large"/>
  </r>
  <r>
    <s v="Dennison Crosswaite"/>
    <s v="UK"/>
    <s v="Smooth Sliky Salty"/>
    <x v="319"/>
    <n v="563.76"/>
    <n v="151"/>
    <n v="3.7335099337748345"/>
    <s v="April"/>
    <s v="Q2"/>
    <s v="Large"/>
  </r>
  <r>
    <s v="Brien Boise"/>
    <s v="Australia"/>
    <s v="Organic Choco Syrup"/>
    <x v="210"/>
    <n v="4479.6899999999996"/>
    <n v="261"/>
    <n v="17.163563218390802"/>
    <s v="July"/>
    <s v="Q3"/>
    <s v="Large"/>
  </r>
  <r>
    <s v="Beverie Moffet"/>
    <s v="India"/>
    <s v="Organic Choco Syrup"/>
    <x v="298"/>
    <n v="1093.72"/>
    <n v="22"/>
    <n v="49.714545454545458"/>
    <s v="June"/>
    <s v="Q2"/>
    <s v="Large"/>
  </r>
  <r>
    <s v="Dennison Crosswaite"/>
    <s v="Australia"/>
    <s v="Baker's Choco Chips"/>
    <x v="292"/>
    <n v="15870.43"/>
    <n v="449"/>
    <n v="35.34616926503341"/>
    <s v="January"/>
    <s v="Q1"/>
    <s v="Large"/>
  </r>
  <r>
    <s v="Beverie Moffet"/>
    <s v="UK"/>
    <s v="50% Dark Bites"/>
    <x v="192"/>
    <n v="2529.8200000000002"/>
    <n v="297"/>
    <n v="8.517912457912459"/>
    <s v="February"/>
    <s v="Q1"/>
    <s v="Large"/>
  </r>
  <r>
    <s v="Van Tuxwell"/>
    <s v="UK"/>
    <s v="Almond Choco"/>
    <x v="173"/>
    <n v="11258.39"/>
    <n v="217"/>
    <n v="51.881981566820272"/>
    <s v="June"/>
    <s v="Q2"/>
    <s v="Large"/>
  </r>
  <r>
    <s v="Dotty Strutley"/>
    <s v="UK"/>
    <s v="Caramel Stuffed Bars"/>
    <x v="218"/>
    <n v="6180.45"/>
    <n v="230"/>
    <n v="26.871521739130433"/>
    <s v="August"/>
    <s v="Q3"/>
    <s v="Large"/>
  </r>
  <r>
    <s v="Wilone O'Kielt"/>
    <s v="Australia"/>
    <s v="Smooth Sliky Salty"/>
    <x v="168"/>
    <n v="2496.06"/>
    <n v="45"/>
    <n v="55.467999999999996"/>
    <s v="January"/>
    <s v="Q1"/>
    <s v="Large"/>
  </r>
  <r>
    <s v="Andria Kimpton"/>
    <s v="Canada"/>
    <s v="70% Dark Bites"/>
    <x v="238"/>
    <n v="10964.29"/>
    <n v="16"/>
    <n v="685.26812500000005"/>
    <s v="April"/>
    <s v="Q2"/>
    <s v="Large"/>
  </r>
  <r>
    <s v="Barr Faughny"/>
    <s v="UK"/>
    <s v="Milk Bars"/>
    <x v="220"/>
    <n v="4012.51"/>
    <n v="409"/>
    <n v="9.810537897310514"/>
    <s v="March"/>
    <s v="Q1"/>
    <s v="Large"/>
  </r>
  <r>
    <s v="Van Tuxwell"/>
    <s v="Canada"/>
    <s v="Drinking Coco"/>
    <x v="194"/>
    <n v="4919.25"/>
    <n v="746"/>
    <n v="6.5941689008042896"/>
    <s v="June"/>
    <s v="Q2"/>
    <s v="Large"/>
  </r>
  <r>
    <s v="Jehu Rudeforth"/>
    <s v="Australia"/>
    <s v="After Nines"/>
    <x v="183"/>
    <n v="5602.02"/>
    <n v="51"/>
    <n v="109.84352941176472"/>
    <s v="February"/>
    <s v="Q1"/>
    <s v="Large"/>
  </r>
  <r>
    <s v="Husein Augar"/>
    <s v="UK"/>
    <s v="After Nines"/>
    <x v="193"/>
    <n v="3563.87"/>
    <n v="372"/>
    <n v="9.580295698924731"/>
    <s v="July"/>
    <s v="Q3"/>
    <s v="Large"/>
  </r>
  <r>
    <s v="Barr Faughny"/>
    <s v="India"/>
    <s v="Mint Chip Choco"/>
    <x v="257"/>
    <n v="8313.09"/>
    <n v="493"/>
    <n v="16.862251521298173"/>
    <s v="January"/>
    <s v="Q1"/>
    <s v="Large"/>
  </r>
  <r>
    <s v="Curtice Advani"/>
    <s v="India"/>
    <s v="Mint Chip Choco"/>
    <x v="318"/>
    <n v="8447.48"/>
    <n v="96"/>
    <n v="87.994583333333324"/>
    <s v="March"/>
    <s v="Q1"/>
    <s v="Large"/>
  </r>
  <r>
    <s v="Jehu Rudeforth"/>
    <s v="New Zealand"/>
    <s v="Milk Bars"/>
    <x v="211"/>
    <n v="2646.23"/>
    <n v="198"/>
    <n v="13.364797979797979"/>
    <s v="May"/>
    <s v="Q2"/>
    <s v="Large"/>
  </r>
  <r>
    <s v="Gunar Cockshoot"/>
    <s v="India"/>
    <s v="Caramel Stuffed Bars"/>
    <x v="180"/>
    <n v="2706.83"/>
    <n v="198"/>
    <n v="13.670858585858586"/>
    <s v="July"/>
    <s v="Q3"/>
    <s v="Large"/>
  </r>
  <r>
    <s v="Curtice Advani"/>
    <s v="UK"/>
    <s v="Manuka Honey Choco"/>
    <x v="232"/>
    <n v="1710.48"/>
    <n v="108"/>
    <n v="15.837777777777777"/>
    <s v="February"/>
    <s v="Q1"/>
    <s v="Large"/>
  </r>
  <r>
    <s v="Andria Kimpton"/>
    <s v="India"/>
    <s v="Orange Choco"/>
    <x v="189"/>
    <n v="318.19"/>
    <n v="417"/>
    <n v="0.76304556354916064"/>
    <s v="May"/>
    <s v="Q2"/>
    <s v="Small"/>
  </r>
  <r>
    <s v="Mallorie Waber"/>
    <s v="Australia"/>
    <s v="Raspberry Choco"/>
    <x v="259"/>
    <n v="9479.65"/>
    <n v="26"/>
    <n v="364.60192307692307"/>
    <s v="April"/>
    <s v="Q2"/>
    <s v="Large"/>
  </r>
  <r>
    <s v="Beverie Moffet"/>
    <s v="Canada"/>
    <s v="85% Dark Bars"/>
    <x v="185"/>
    <n v="6393.2"/>
    <n v="44"/>
    <n v="145.29999999999998"/>
    <s v="February"/>
    <s v="Q1"/>
    <s v="Large"/>
  </r>
  <r>
    <s v="Kelci Walkden"/>
    <s v="Australia"/>
    <s v="Drinking Coco"/>
    <x v="284"/>
    <n v="1355.65"/>
    <n v="60"/>
    <n v="22.59416666666667"/>
    <s v="May"/>
    <s v="Q2"/>
    <s v="Large"/>
  </r>
  <r>
    <s v="Van Tuxwell"/>
    <s v="Canada"/>
    <s v="70% Dark Bites"/>
    <x v="202"/>
    <n v="7911.23"/>
    <n v="74"/>
    <n v="106.90851351351351"/>
    <s v="June"/>
    <s v="Q2"/>
    <s v="Large"/>
  </r>
  <r>
    <s v="Dennison Crosswaite"/>
    <s v="USA"/>
    <s v="Caramel Stuffed Bars"/>
    <x v="204"/>
    <n v="2583.0300000000002"/>
    <n v="501"/>
    <n v="5.1557485029940127"/>
    <s v="July"/>
    <s v="Q3"/>
    <s v="Large"/>
  </r>
  <r>
    <s v="Beverie Moffet"/>
    <s v="New Zealand"/>
    <s v="Spicy Special Slims"/>
    <x v="244"/>
    <n v="66.13"/>
    <n v="65"/>
    <n v="1.0173846153846153"/>
    <s v="June"/>
    <s v="Q2"/>
    <s v="Small"/>
  </r>
  <r>
    <s v="Jan Morforth"/>
    <s v="UK"/>
    <s v="Almond Choco"/>
    <x v="215"/>
    <n v="10668.69"/>
    <n v="150"/>
    <n v="71.124600000000001"/>
    <s v="July"/>
    <s v="Q3"/>
    <s v="Large"/>
  </r>
  <r>
    <s v="Husein Augar"/>
    <s v="India"/>
    <s v="Raspberry Choco"/>
    <x v="194"/>
    <n v="10994.3"/>
    <n v="152"/>
    <n v="72.330921052631581"/>
    <s v="June"/>
    <s v="Q2"/>
    <s v="Large"/>
  </r>
  <r>
    <s v="Dotty Strutley"/>
    <s v="India"/>
    <s v="Mint Chip Choco"/>
    <x v="217"/>
    <n v="1259.6099999999999"/>
    <n v="227"/>
    <n v="5.548942731277533"/>
    <s v="April"/>
    <s v="Q2"/>
    <s v="Large"/>
  </r>
  <r>
    <s v="Camilla Castle"/>
    <s v="India"/>
    <s v="Drinking Coco"/>
    <x v="283"/>
    <n v="492.13"/>
    <n v="164"/>
    <n v="3.0007926829268294"/>
    <s v="August"/>
    <s v="Q3"/>
    <s v="Small"/>
  </r>
  <r>
    <s v="Marney O'Breen"/>
    <s v="UK"/>
    <s v="Drinking Coco"/>
    <x v="264"/>
    <n v="1016.77"/>
    <n v="28"/>
    <n v="36.313214285714288"/>
    <s v="March"/>
    <s v="Q1"/>
    <s v="Large"/>
  </r>
  <r>
    <s v="Roddy Speechley"/>
    <s v="Australia"/>
    <s v="Organic Choco Syrup"/>
    <x v="177"/>
    <n v="4111.42"/>
    <n v="81"/>
    <n v="50.758271604938273"/>
    <s v="July"/>
    <s v="Q3"/>
    <s v="Large"/>
  </r>
  <r>
    <s v="Ches Bonnell"/>
    <s v="India"/>
    <s v="99% Dark &amp; Pure"/>
    <x v="185"/>
    <n v="503.97"/>
    <n v="105"/>
    <n v="4.7997142857142858"/>
    <s v="February"/>
    <s v="Q1"/>
    <s v="Large"/>
  </r>
  <r>
    <s v="Rafaelita Blaksland"/>
    <s v="Canada"/>
    <s v="Spicy Special Slims"/>
    <x v="306"/>
    <n v="2883.71"/>
    <n v="163"/>
    <n v="17.691472392638037"/>
    <s v="May"/>
    <s v="Q2"/>
    <s v="Large"/>
  </r>
  <r>
    <s v="Van Tuxwell"/>
    <s v="India"/>
    <s v="Eclairs"/>
    <x v="297"/>
    <n v="11861.89"/>
    <n v="105"/>
    <n v="112.97038095238095"/>
    <s v="July"/>
    <s v="Q3"/>
    <s v="Large"/>
  </r>
  <r>
    <s v="Gunar Cockshoot"/>
    <s v="Australia"/>
    <s v="99% Dark &amp; Pure"/>
    <x v="229"/>
    <n v="8564.73"/>
    <n v="237"/>
    <n v="36.138101265822783"/>
    <s v="August"/>
    <s v="Q3"/>
    <s v="Large"/>
  </r>
  <r>
    <s v="Kaine Padly"/>
    <s v="USA"/>
    <s v="85% Dark Bars"/>
    <x v="305"/>
    <n v="538.03"/>
    <n v="271"/>
    <n v="1.9853505535055349"/>
    <s v="June"/>
    <s v="Q2"/>
    <s v="Large"/>
  </r>
  <r>
    <s v="Camilla Castle"/>
    <s v="UK"/>
    <s v="Peanut Butter Cubes"/>
    <x v="208"/>
    <n v="5231.88"/>
    <n v="125"/>
    <n v="41.855040000000002"/>
    <s v="July"/>
    <s v="Q3"/>
    <s v="Large"/>
  </r>
  <r>
    <s v="Madelene Upcott"/>
    <s v="UK"/>
    <s v="Peanut Butter Cubes"/>
    <x v="321"/>
    <n v="7916.13"/>
    <n v="84"/>
    <n v="94.239642857142854"/>
    <s v="August"/>
    <s v="Q3"/>
    <s v="Large"/>
  </r>
  <r>
    <s v="Madelene Upcott"/>
    <s v="USA"/>
    <s v="Choco Coated Almonds"/>
    <x v="244"/>
    <n v="6016.32"/>
    <n v="143"/>
    <n v="42.072167832167828"/>
    <s v="June"/>
    <s v="Q2"/>
    <s v="Large"/>
  </r>
  <r>
    <s v="Marney O'Breen"/>
    <s v="Canada"/>
    <s v="Peanut Butter Cubes"/>
    <x v="289"/>
    <n v="7504.86"/>
    <n v="97"/>
    <n v="77.369690721649476"/>
    <s v="March"/>
    <s v="Q1"/>
    <s v="Large"/>
  </r>
  <r>
    <s v="Ches Bonnell"/>
    <s v="Australia"/>
    <s v="Choco Coated Almonds"/>
    <x v="238"/>
    <n v="1590.98"/>
    <n v="182"/>
    <n v="8.741648351648351"/>
    <s v="April"/>
    <s v="Q2"/>
    <s v="Large"/>
  </r>
  <r>
    <s v="Curtice Advani"/>
    <s v="Canada"/>
    <s v="Eclairs"/>
    <x v="309"/>
    <n v="740.07"/>
    <n v="205"/>
    <n v="3.6100975609756101"/>
    <s v="May"/>
    <s v="Q2"/>
    <s v="Large"/>
  </r>
  <r>
    <s v="Roddy Speechley"/>
    <s v="India"/>
    <s v="Drinking Coco"/>
    <x v="274"/>
    <n v="4591.1099999999997"/>
    <n v="11"/>
    <n v="417.37363636363631"/>
    <s v="May"/>
    <s v="Q2"/>
    <s v="Large"/>
  </r>
  <r>
    <s v="Van Tuxwell"/>
    <s v="Australia"/>
    <s v="Mint Chip Choco"/>
    <x v="178"/>
    <n v="2686.51"/>
    <n v="324"/>
    <n v="8.291697530864198"/>
    <s v="January"/>
    <s v="Q1"/>
    <s v="Large"/>
  </r>
  <r>
    <s v="Dennison Crosswaite"/>
    <s v="USA"/>
    <s v="70% Dark Bites"/>
    <x v="279"/>
    <n v="735.48"/>
    <n v="77"/>
    <n v="9.5516883116883111"/>
    <s v="March"/>
    <s v="Q1"/>
    <s v="Large"/>
  </r>
  <r>
    <s v="Andria Kimpton"/>
    <s v="Canada"/>
    <s v="Peanut Butter Cubes"/>
    <x v="185"/>
    <n v="1160.54"/>
    <n v="311"/>
    <n v="3.7316398713826366"/>
    <s v="February"/>
    <s v="Q1"/>
    <s v="Large"/>
  </r>
  <r>
    <s v="Gigi Bohling"/>
    <s v="USA"/>
    <s v="70% Dark Bites"/>
    <x v="270"/>
    <n v="8078.15"/>
    <n v="189"/>
    <n v="42.741534391534387"/>
    <s v="January"/>
    <s v="Q1"/>
    <s v="Large"/>
  </r>
  <r>
    <s v="Rafaelita Blaksland"/>
    <s v="Australia"/>
    <s v="White Choc"/>
    <x v="307"/>
    <n v="7467.74"/>
    <n v="111"/>
    <n v="67.276936936936934"/>
    <s v="March"/>
    <s v="Q1"/>
    <s v="Large"/>
  </r>
  <r>
    <s v="Roddy Speechley"/>
    <s v="Canada"/>
    <s v="Drinking Coco"/>
    <x v="302"/>
    <n v="7588.41"/>
    <n v="342"/>
    <n v="22.188333333333333"/>
    <s v="May"/>
    <s v="Q2"/>
    <s v="Large"/>
  </r>
  <r>
    <s v="Camilla Castle"/>
    <s v="New Zealand"/>
    <s v="85% Dark Bars"/>
    <x v="283"/>
    <n v="15372.54"/>
    <n v="57"/>
    <n v="269.69368421052633"/>
    <s v="August"/>
    <s v="Q3"/>
    <s v="Large"/>
  </r>
  <r>
    <s v="Madelene Upcott"/>
    <s v="Canada"/>
    <s v="Milk Bars"/>
    <x v="319"/>
    <n v="3907.5"/>
    <n v="86"/>
    <n v="45.436046511627907"/>
    <s v="April"/>
    <s v="Q2"/>
    <s v="Large"/>
  </r>
  <r>
    <s v="Madelene Upcott"/>
    <s v="Australia"/>
    <s v="70% Dark Bites"/>
    <x v="203"/>
    <n v="3740.76"/>
    <n v="255"/>
    <n v="14.66964705882353"/>
    <s v="April"/>
    <s v="Q2"/>
    <s v="Large"/>
  </r>
  <r>
    <s v="Oby Sorrel"/>
    <s v="Canada"/>
    <s v="Eclairs"/>
    <x v="201"/>
    <n v="6211.75"/>
    <n v="561"/>
    <n v="11.072638146167558"/>
    <s v="May"/>
    <s v="Q2"/>
    <s v="Large"/>
  </r>
  <r>
    <s v="Dennison Crosswaite"/>
    <s v="Canada"/>
    <s v="Drinking Coco"/>
    <x v="221"/>
    <n v="2924.46"/>
    <n v="25"/>
    <n v="116.97840000000001"/>
    <s v="January"/>
    <s v="Q1"/>
    <s v="Large"/>
  </r>
  <r>
    <s v="Mallorie Waber"/>
    <s v="New Zealand"/>
    <s v="After Nines"/>
    <x v="284"/>
    <n v="501.79"/>
    <n v="241"/>
    <n v="2.082116182572614"/>
    <s v="May"/>
    <s v="Q2"/>
    <s v="Large"/>
  </r>
  <r>
    <s v="Roddy Speechley"/>
    <s v="Canada"/>
    <s v="White Choc"/>
    <x v="184"/>
    <n v="6594.09"/>
    <n v="270"/>
    <n v="24.422555555555554"/>
    <s v="April"/>
    <s v="Q2"/>
    <s v="Large"/>
  </r>
  <r>
    <s v="Andria Kimpton"/>
    <s v="India"/>
    <s v="After Nines"/>
    <x v="322"/>
    <n v="960.68"/>
    <n v="71"/>
    <n v="13.530704225352112"/>
    <s v="January"/>
    <s v="Q1"/>
    <s v="Large"/>
  </r>
  <r>
    <s v="Roddy Speechley"/>
    <s v="India"/>
    <s v="Spicy Special Slims"/>
    <x v="295"/>
    <n v="11370.32"/>
    <n v="170"/>
    <n v="66.884235294117644"/>
    <s v="March"/>
    <s v="Q1"/>
    <s v="Large"/>
  </r>
  <r>
    <s v="Dotty Strutley"/>
    <s v="Australia"/>
    <s v="White Choc"/>
    <x v="193"/>
    <n v="6067.94"/>
    <n v="94"/>
    <n v="64.552553191489352"/>
    <s v="July"/>
    <s v="Q3"/>
    <s v="Large"/>
  </r>
  <r>
    <s v="Oby Sorrel"/>
    <s v="Canada"/>
    <s v="Orange Choco"/>
    <x v="171"/>
    <n v="8909.75"/>
    <n v="355"/>
    <n v="25.097887323943663"/>
    <s v="April"/>
    <s v="Q2"/>
    <s v="Large"/>
  </r>
  <r>
    <s v="Kaine Padly"/>
    <s v="Canada"/>
    <s v="Almond Choco"/>
    <x v="321"/>
    <n v="6865.35"/>
    <n v="75"/>
    <n v="91.538000000000011"/>
    <s v="August"/>
    <s v="Q3"/>
    <s v="Large"/>
  </r>
  <r>
    <s v="Jan Morforth"/>
    <s v="UK"/>
    <s v="Baker's Choco Chips"/>
    <x v="222"/>
    <n v="805.23"/>
    <n v="259"/>
    <n v="3.1089961389961389"/>
    <s v="March"/>
    <s v="Q1"/>
    <s v="Large"/>
  </r>
  <r>
    <s v="Jehu Rudeforth"/>
    <s v="UK"/>
    <s v="Fruit &amp; Nut Bars"/>
    <x v="278"/>
    <n v="9851.6200000000008"/>
    <n v="221"/>
    <n v="44.577466063348417"/>
    <s v="May"/>
    <s v="Q2"/>
    <s v="Large"/>
  </r>
  <r>
    <s v="Dennison Crosswaite"/>
    <s v="USA"/>
    <s v="Smooth Sliky Salty"/>
    <x v="233"/>
    <n v="11823.35"/>
    <n v="90"/>
    <n v="131.37055555555557"/>
    <s v="May"/>
    <s v="Q2"/>
    <s v="Large"/>
  </r>
  <r>
    <s v="Brien Boise"/>
    <s v="USA"/>
    <s v="Raspberry Choco"/>
    <x v="257"/>
    <n v="683.63"/>
    <n v="202"/>
    <n v="3.3843069306930693"/>
    <s v="January"/>
    <s v="Q1"/>
    <s v="Large"/>
  </r>
  <r>
    <s v="Madelene Upcott"/>
    <s v="New Zealand"/>
    <s v="Milk Bars"/>
    <x v="264"/>
    <n v="14002.42"/>
    <n v="388"/>
    <n v="36.088711340206189"/>
    <s v="March"/>
    <s v="Q1"/>
    <s v="Large"/>
  </r>
  <r>
    <s v="Roddy Speechley"/>
    <s v="India"/>
    <s v="50% Dark Bites"/>
    <x v="190"/>
    <n v="8744.9500000000007"/>
    <n v="12"/>
    <n v="728.74583333333339"/>
    <s v="March"/>
    <s v="Q1"/>
    <s v="Large"/>
  </r>
  <r>
    <s v="Barr Faughny"/>
    <s v="New Zealand"/>
    <s v="99% Dark &amp; Pure"/>
    <x v="195"/>
    <n v="9294.14"/>
    <n v="201"/>
    <n v="46.239502487562184"/>
    <s v="May"/>
    <s v="Q2"/>
    <s v="Large"/>
  </r>
  <r>
    <s v="Dennison Crosswaite"/>
    <s v="Canada"/>
    <s v="Organic Choco Syrup"/>
    <x v="250"/>
    <n v="8831.89"/>
    <n v="79"/>
    <n v="111.79607594936708"/>
    <s v="January"/>
    <s v="Q1"/>
    <s v="Large"/>
  </r>
  <r>
    <s v="Beverie Moffet"/>
    <s v="India"/>
    <s v="Almond Choco"/>
    <x v="195"/>
    <n v="3474.98"/>
    <n v="104"/>
    <n v="33.413269230769231"/>
    <s v="May"/>
    <s v="Q2"/>
    <s v="Large"/>
  </r>
  <r>
    <s v="Brien Boise"/>
    <s v="Australia"/>
    <s v="Peanut Butter Cubes"/>
    <x v="293"/>
    <n v="311.61"/>
    <n v="204"/>
    <n v="1.5275000000000001"/>
    <s v="August"/>
    <s v="Q3"/>
    <s v="Small"/>
  </r>
  <r>
    <s v="Karlen McCaffrey"/>
    <s v="Australia"/>
    <s v="Spicy Special Slims"/>
    <x v="302"/>
    <n v="4791.2"/>
    <n v="335"/>
    <n v="14.302089552238806"/>
    <s v="May"/>
    <s v="Q2"/>
    <s v="Large"/>
  </r>
  <r>
    <s v="Jehu Rudeforth"/>
    <s v="USA"/>
    <s v="White Choc"/>
    <x v="244"/>
    <n v="6646.33"/>
    <n v="117"/>
    <n v="56.806239316239314"/>
    <s v="June"/>
    <s v="Q2"/>
    <s v="Large"/>
  </r>
  <r>
    <s v="Ches Bonnell"/>
    <s v="Canada"/>
    <s v="Organic Choco Syrup"/>
    <x v="236"/>
    <n v="593.63"/>
    <n v="229"/>
    <n v="2.5922707423580786"/>
    <s v="July"/>
    <s v="Q3"/>
    <s v="Large"/>
  </r>
  <r>
    <s v="Dotty Strutley"/>
    <s v="India"/>
    <s v="Eclairs"/>
    <x v="180"/>
    <n v="2345.9499999999998"/>
    <n v="406"/>
    <n v="5.7782019704433489"/>
    <s v="July"/>
    <s v="Q3"/>
    <s v="Large"/>
  </r>
  <r>
    <s v="Karlen McCaffrey"/>
    <s v="India"/>
    <s v="70% Dark Bites"/>
    <x v="291"/>
    <n v="5083.07"/>
    <n v="368"/>
    <n v="13.812690217391303"/>
    <s v="May"/>
    <s v="Q2"/>
    <s v="Large"/>
  </r>
  <r>
    <s v="Jehu Rudeforth"/>
    <s v="UK"/>
    <s v="Mint Chip Choco"/>
    <x v="336"/>
    <n v="6339.57"/>
    <n v="187"/>
    <n v="33.901443850267377"/>
    <s v="January"/>
    <s v="Q1"/>
    <s v="Large"/>
  </r>
  <r>
    <s v="Van Tuxwell"/>
    <s v="India"/>
    <s v="85% Dark Bars"/>
    <x v="337"/>
    <n v="9005.8700000000008"/>
    <n v="90"/>
    <n v="100.06522222222223"/>
    <s v="August"/>
    <s v="Q3"/>
    <s v="Large"/>
  </r>
  <r>
    <s v="Gigi Bohling"/>
    <s v="India"/>
    <s v="Peanut Butter Cubes"/>
    <x v="338"/>
    <n v="5159.07"/>
    <n v="87"/>
    <n v="59.299655172413793"/>
    <s v="July"/>
    <s v="Q3"/>
    <s v="Large"/>
  </r>
  <r>
    <s v="Jan Morforth"/>
    <s v="Australia"/>
    <s v="Peanut Butter Cubes"/>
    <x v="339"/>
    <n v="13370.97"/>
    <n v="349"/>
    <n v="38.312234957020053"/>
    <s v="April"/>
    <s v="Q2"/>
    <s v="Large"/>
  </r>
  <r>
    <s v="Jehu Rudeforth"/>
    <s v="UK"/>
    <s v="Peanut Butter Cubes"/>
    <x v="340"/>
    <n v="14791.64"/>
    <n v="182"/>
    <n v="81.272747252747251"/>
    <s v="February"/>
    <s v="Q1"/>
    <s v="Large"/>
  </r>
  <r>
    <s v="Van Tuxwell"/>
    <s v="India"/>
    <s v="Smooth Sliky Salty"/>
    <x v="341"/>
    <n v="6429.35"/>
    <n v="40"/>
    <n v="160.73375000000001"/>
    <s v="June"/>
    <s v="Q2"/>
    <s v="Large"/>
  </r>
  <r>
    <s v="Oby Sorrel"/>
    <s v="UK"/>
    <s v="99% Dark &amp; Pure"/>
    <x v="342"/>
    <n v="15900.6"/>
    <n v="188"/>
    <n v="84.577659574468086"/>
    <s v="January"/>
    <s v="Q1"/>
    <s v="Large"/>
  </r>
  <r>
    <s v="Gunar Cockshoot"/>
    <s v="Australia"/>
    <s v="After Nines"/>
    <x v="343"/>
    <n v="3400.26"/>
    <n v="77"/>
    <n v="44.159220779220782"/>
    <s v="March"/>
    <s v="Q1"/>
    <s v="Large"/>
  </r>
  <r>
    <s v="Jehu Rudeforth"/>
    <s v="New Zealand"/>
    <s v="50% Dark Bites"/>
    <x v="344"/>
    <n v="4357.76"/>
    <n v="63"/>
    <n v="69.170793650793655"/>
    <s v="April"/>
    <s v="Q2"/>
    <s v="Large"/>
  </r>
  <r>
    <s v="Brien Boise"/>
    <s v="Australia"/>
    <s v="99% Dark &amp; Pure"/>
    <x v="345"/>
    <n v="3356.17"/>
    <n v="111"/>
    <n v="30.235765765765766"/>
    <s v="July"/>
    <s v="Q3"/>
    <s v="Large"/>
  </r>
  <r>
    <s v="Rafaelita Blaksland"/>
    <s v="UK"/>
    <s v="Smooth Sliky Salty"/>
    <x v="346"/>
    <n v="5287.86"/>
    <n v="67"/>
    <n v="78.923283582089553"/>
    <s v="January"/>
    <s v="Q1"/>
    <s v="Large"/>
  </r>
  <r>
    <s v="Barr Faughny"/>
    <s v="USA"/>
    <s v="Orange Choco"/>
    <x v="347"/>
    <n v="4244.3599999999997"/>
    <n v="11"/>
    <n v="385.85090909090906"/>
    <s v="March"/>
    <s v="Q1"/>
    <s v="Large"/>
  </r>
  <r>
    <s v="Mallorie Waber"/>
    <s v="Canada"/>
    <s v="Eclairs"/>
    <x v="346"/>
    <n v="1671.64"/>
    <n v="277"/>
    <n v="6.034801444043322"/>
    <s v="January"/>
    <s v="Q1"/>
    <s v="Large"/>
  </r>
  <r>
    <s v="Karlen McCaffrey"/>
    <s v="New Zealand"/>
    <s v="Drinking Coco"/>
    <x v="348"/>
    <n v="181.84"/>
    <n v="167"/>
    <n v="1.0888622754491017"/>
    <s v="July"/>
    <s v="Q3"/>
    <s v="Small"/>
  </r>
  <r>
    <s v="Marney O'Breen"/>
    <s v="New Zealand"/>
    <s v="Peanut Butter Cubes"/>
    <x v="349"/>
    <n v="8950.59"/>
    <n v="189"/>
    <n v="47.357619047619046"/>
    <s v="August"/>
    <s v="Q3"/>
    <s v="Large"/>
  </r>
  <r>
    <s v="Beverie Moffet"/>
    <s v="Australia"/>
    <s v="Organic Choco Syrup"/>
    <x v="350"/>
    <n v="7271.76"/>
    <n v="385"/>
    <n v="18.887688311688311"/>
    <s v="January"/>
    <s v="Q1"/>
    <s v="Large"/>
  </r>
  <r>
    <s v="Van Tuxwell"/>
    <s v="Canada"/>
    <s v="Organic Choco Syrup"/>
    <x v="351"/>
    <n v="4864.83"/>
    <n v="42"/>
    <n v="115.82928571428572"/>
    <s v="February"/>
    <s v="Q1"/>
    <s v="Large"/>
  </r>
  <r>
    <s v="Roddy Speechley"/>
    <s v="USA"/>
    <s v="Smooth Sliky Salty"/>
    <x v="352"/>
    <n v="3175.11"/>
    <n v="149"/>
    <n v="21.309463087248322"/>
    <s v="April"/>
    <s v="Q2"/>
    <s v="Large"/>
  </r>
  <r>
    <s v="Beverie Moffet"/>
    <s v="Canada"/>
    <s v="Milk Bars"/>
    <x v="353"/>
    <n v="10137.790000000001"/>
    <n v="250"/>
    <n v="40.551160000000003"/>
    <s v="February"/>
    <s v="Q1"/>
    <s v="Large"/>
  </r>
  <r>
    <s v="Curtice Advani"/>
    <s v="UK"/>
    <s v="85% Dark Bars"/>
    <x v="354"/>
    <n v="1206.95"/>
    <n v="174"/>
    <n v="6.9364942528735636"/>
    <s v="June"/>
    <s v="Q2"/>
    <s v="Large"/>
  </r>
  <r>
    <s v="Brien Boise"/>
    <s v="Australia"/>
    <s v="Eclairs"/>
    <x v="355"/>
    <n v="8222.65"/>
    <n v="92"/>
    <n v="89.376630434782598"/>
    <s v="June"/>
    <s v="Q2"/>
    <s v="Large"/>
  </r>
  <r>
    <s v="Gunar Cockshoot"/>
    <s v="USA"/>
    <s v="Spicy Special Slims"/>
    <x v="356"/>
    <n v="1440.85"/>
    <n v="152"/>
    <n v="9.4792763157894733"/>
    <s v="February"/>
    <s v="Q1"/>
    <s v="Large"/>
  </r>
  <r>
    <s v="Marney O'Breen"/>
    <s v="USA"/>
    <s v="After Nines"/>
    <x v="357"/>
    <n v="5611.65"/>
    <n v="159"/>
    <n v="35.293396226415091"/>
    <s v="May"/>
    <s v="Q2"/>
    <s v="Large"/>
  </r>
  <r>
    <s v="Husein Augar"/>
    <s v="UK"/>
    <s v="Drinking Coco"/>
    <x v="358"/>
    <n v="3562.44"/>
    <n v="111"/>
    <n v="32.094054054054055"/>
    <s v="March"/>
    <s v="Q1"/>
    <s v="Large"/>
  </r>
  <r>
    <s v="Kaine Padly"/>
    <s v="Australia"/>
    <s v="Eclairs"/>
    <x v="359"/>
    <n v="8385.26"/>
    <n v="122"/>
    <n v="68.731639344262291"/>
    <s v="February"/>
    <s v="Q1"/>
    <s v="Large"/>
  </r>
  <r>
    <s v="Karlen McCaffrey"/>
    <s v="India"/>
    <s v="Fruit &amp; Nut Bars"/>
    <x v="350"/>
    <n v="181.31"/>
    <n v="330"/>
    <n v="0.54942424242424248"/>
    <s v="January"/>
    <s v="Q1"/>
    <s v="Small"/>
  </r>
  <r>
    <s v="Roddy Speechley"/>
    <s v="Canada"/>
    <s v="Spicy Special Slims"/>
    <x v="360"/>
    <n v="1800.27"/>
    <n v="191"/>
    <n v="9.4254973821989534"/>
    <s v="February"/>
    <s v="Q1"/>
    <s v="Large"/>
  </r>
  <r>
    <s v="Husein Augar"/>
    <s v="USA"/>
    <s v="Eclairs"/>
    <x v="338"/>
    <n v="4449.37"/>
    <n v="113"/>
    <n v="39.374955752212387"/>
    <s v="July"/>
    <s v="Q3"/>
    <s v="Large"/>
  </r>
  <r>
    <s v="Dennison Crosswaite"/>
    <s v="New Zealand"/>
    <s v="White Choc"/>
    <x v="361"/>
    <n v="10113.4"/>
    <n v="155"/>
    <n v="65.247741935483873"/>
    <s v="July"/>
    <s v="Q3"/>
    <s v="Large"/>
  </r>
  <r>
    <s v="Dennison Crosswaite"/>
    <s v="New Zealand"/>
    <s v="Manuka Honey Choco"/>
    <x v="362"/>
    <n v="5932.84"/>
    <n v="303"/>
    <n v="19.5803300330033"/>
    <s v="June"/>
    <s v="Q2"/>
    <s v="Large"/>
  </r>
  <r>
    <s v="Van Tuxwell"/>
    <s v="New Zealand"/>
    <s v="85% Dark Bars"/>
    <x v="363"/>
    <n v="2006.71"/>
    <n v="124"/>
    <n v="16.183145161290323"/>
    <s v="May"/>
    <s v="Q2"/>
    <s v="Large"/>
  </r>
  <r>
    <s v="Rafaelita Blaksland"/>
    <s v="UK"/>
    <s v="99% Dark &amp; Pure"/>
    <x v="364"/>
    <n v="14086.69"/>
    <n v="157"/>
    <n v="89.724140127388537"/>
    <s v="June"/>
    <s v="Q2"/>
    <s v="Large"/>
  </r>
  <r>
    <s v="Wilone O'Kielt"/>
    <s v="Australia"/>
    <s v="Manuka Honey Choco"/>
    <x v="365"/>
    <n v="4799.54"/>
    <n v="90"/>
    <n v="53.328222222222223"/>
    <s v="May"/>
    <s v="Q2"/>
    <s v="Large"/>
  </r>
  <r>
    <s v="Karlen McCaffrey"/>
    <s v="UK"/>
    <s v="Almond Choco"/>
    <x v="366"/>
    <n v="8101.98"/>
    <n v="138"/>
    <n v="58.709999999999994"/>
    <s v="June"/>
    <s v="Q2"/>
    <s v="Large"/>
  </r>
  <r>
    <s v="Andria Kimpton"/>
    <s v="Canada"/>
    <s v="After Nines"/>
    <x v="365"/>
    <n v="2321.9699999999998"/>
    <n v="71"/>
    <n v="32.703802816901408"/>
    <s v="May"/>
    <s v="Q2"/>
    <s v="Large"/>
  </r>
  <r>
    <s v="Roddy Speechley"/>
    <s v="USA"/>
    <s v="Manuka Honey Choco"/>
    <x v="367"/>
    <n v="10245"/>
    <n v="329"/>
    <n v="31.13981762917933"/>
    <s v="July"/>
    <s v="Q3"/>
    <s v="Large"/>
  </r>
  <r>
    <s v="Andria Kimpton"/>
    <s v="UK"/>
    <s v="50% Dark Bites"/>
    <x v="368"/>
    <n v="2930.4"/>
    <n v="344"/>
    <n v="8.5186046511627911"/>
    <s v="August"/>
    <s v="Q3"/>
    <s v="Large"/>
  </r>
  <r>
    <s v="Kelci Walkden"/>
    <s v="New Zealand"/>
    <s v="After Nines"/>
    <x v="338"/>
    <n v="170.24"/>
    <n v="75"/>
    <n v="2.2698666666666667"/>
    <s v="July"/>
    <s v="Q3"/>
    <s v="Small"/>
  </r>
  <r>
    <s v="Camilla Castle"/>
    <s v="Australia"/>
    <s v="85% Dark Bars"/>
    <x v="369"/>
    <n v="4247.49"/>
    <n v="14"/>
    <n v="303.39214285714286"/>
    <s v="May"/>
    <s v="Q2"/>
    <s v="Large"/>
  </r>
  <r>
    <s v="Karlen McCaffrey"/>
    <s v="India"/>
    <s v="Manuka Honey Choco"/>
    <x v="345"/>
    <n v="2696.1"/>
    <n v="605"/>
    <n v="4.4563636363636361"/>
    <s v="July"/>
    <s v="Q3"/>
    <s v="Large"/>
  </r>
  <r>
    <s v="Kelci Walkden"/>
    <s v="USA"/>
    <s v="After Nines"/>
    <x v="370"/>
    <n v="1083.76"/>
    <n v="16"/>
    <n v="67.734999999999999"/>
    <s v="June"/>
    <s v="Q2"/>
    <s v="Large"/>
  </r>
  <r>
    <s v="Karlen McCaffrey"/>
    <s v="USA"/>
    <s v="Raspberry Choco"/>
    <x v="371"/>
    <n v="17037.09"/>
    <n v="347"/>
    <n v="49.098242074927953"/>
    <s v="April"/>
    <s v="Q2"/>
    <s v="Large"/>
  </r>
  <r>
    <s v="Mallorie Waber"/>
    <s v="Canada"/>
    <s v="Choco Coated Almonds"/>
    <x v="372"/>
    <n v="5706.43"/>
    <n v="247"/>
    <n v="23.102955465587044"/>
    <s v="July"/>
    <s v="Q3"/>
    <s v="Large"/>
  </r>
  <r>
    <s v="Andria Kimpton"/>
    <s v="India"/>
    <s v="Spicy Special Slims"/>
    <x v="373"/>
    <n v="6682.34"/>
    <n v="139"/>
    <n v="48.074388489208637"/>
    <s v="February"/>
    <s v="Q1"/>
    <s v="Large"/>
  </r>
  <r>
    <s v="Madelene Upcott"/>
    <s v="Canada"/>
    <s v="Almond Choco"/>
    <x v="374"/>
    <n v="8192.6"/>
    <n v="100"/>
    <n v="81.926000000000002"/>
    <s v="August"/>
    <s v="Q3"/>
    <s v="Large"/>
  </r>
  <r>
    <s v="Kaine Padly"/>
    <s v="USA"/>
    <s v="Peanut Butter Cubes"/>
    <x v="353"/>
    <n v="7568.16"/>
    <n v="206"/>
    <n v="36.738640776699029"/>
    <s v="February"/>
    <s v="Q1"/>
    <s v="Large"/>
  </r>
  <r>
    <s v="Van Tuxwell"/>
    <s v="USA"/>
    <s v="50% Dark Bites"/>
    <x v="346"/>
    <n v="10772.33"/>
    <n v="156"/>
    <n v="69.053397435897438"/>
    <s v="January"/>
    <s v="Q1"/>
    <s v="Large"/>
  </r>
  <r>
    <s v="Curtice Advani"/>
    <s v="Australia"/>
    <s v="Milk Bars"/>
    <x v="351"/>
    <n v="7467.12"/>
    <n v="18"/>
    <n v="414.84"/>
    <s v="February"/>
    <s v="Q1"/>
    <s v="Large"/>
  </r>
  <r>
    <s v="Roddy Speechley"/>
    <s v="India"/>
    <s v="Eclairs"/>
    <x v="375"/>
    <n v="4985.8999999999996"/>
    <n v="311"/>
    <n v="16.031832797427651"/>
    <s v="June"/>
    <s v="Q2"/>
    <s v="Large"/>
  </r>
  <r>
    <s v="Curtice Advani"/>
    <s v="India"/>
    <s v="Fruit &amp; Nut Bars"/>
    <x v="338"/>
    <n v="5693.6"/>
    <n v="177"/>
    <n v="32.16723163841808"/>
    <s v="July"/>
    <s v="Q3"/>
    <s v="Large"/>
  </r>
  <r>
    <s v="Curtice Advani"/>
    <s v="Canada"/>
    <s v="Almond Choco"/>
    <x v="343"/>
    <n v="5879.1"/>
    <n v="75"/>
    <n v="78.388000000000005"/>
    <s v="March"/>
    <s v="Q1"/>
    <s v="Large"/>
  </r>
  <r>
    <s v="Brien Boise"/>
    <s v="Australia"/>
    <s v="Fruit &amp; Nut Bars"/>
    <x v="341"/>
    <n v="9771.93"/>
    <n v="22"/>
    <n v="444.17863636363637"/>
    <s v="June"/>
    <s v="Q2"/>
    <s v="Large"/>
  </r>
  <r>
    <s v="Dotty Strutley"/>
    <s v="Australia"/>
    <s v="Drinking Coco"/>
    <x v="376"/>
    <n v="105.06"/>
    <n v="140"/>
    <n v="0.75042857142857144"/>
    <s v="July"/>
    <s v="Q3"/>
    <s v="Small"/>
  </r>
  <r>
    <s v="Beverie Moffet"/>
    <s v="USA"/>
    <s v="Raspberry Choco"/>
    <x v="377"/>
    <n v="16414.689999999999"/>
    <n v="80"/>
    <n v="205.18362499999998"/>
    <s v="April"/>
    <s v="Q2"/>
    <s v="Large"/>
  </r>
  <r>
    <s v="Marney O'Breen"/>
    <s v="India"/>
    <s v="85% Dark Bars"/>
    <x v="376"/>
    <n v="2553.41"/>
    <n v="183"/>
    <n v="13.953060109289616"/>
    <s v="July"/>
    <s v="Q3"/>
    <s v="Large"/>
  </r>
  <r>
    <s v="Jehu Rudeforth"/>
    <s v="Canada"/>
    <s v="Drinking Coco"/>
    <x v="378"/>
    <n v="473.99"/>
    <n v="25"/>
    <n v="18.959600000000002"/>
    <s v="July"/>
    <s v="Q3"/>
    <s v="Small"/>
  </r>
  <r>
    <s v="Ches Bonnell"/>
    <s v="New Zealand"/>
    <s v="Spicy Special Slims"/>
    <x v="351"/>
    <n v="3873.98"/>
    <n v="19"/>
    <n v="203.89368421052632"/>
    <s v="February"/>
    <s v="Q1"/>
    <s v="Large"/>
  </r>
  <r>
    <s v="Brien Boise"/>
    <s v="Canada"/>
    <s v="99% Dark &amp; Pure"/>
    <x v="379"/>
    <n v="17718.25"/>
    <n v="430"/>
    <n v="41.205232558139535"/>
    <s v="May"/>
    <s v="Q2"/>
    <s v="Large"/>
  </r>
  <r>
    <s v="Barr Faughny"/>
    <s v="Australia"/>
    <s v="Fruit &amp; Nut Bars"/>
    <x v="366"/>
    <n v="16572.07"/>
    <n v="57"/>
    <n v="290.73807017543857"/>
    <s v="June"/>
    <s v="Q2"/>
    <s v="Large"/>
  </r>
  <r>
    <s v="Andria Kimpton"/>
    <s v="Australia"/>
    <s v="50% Dark Bites"/>
    <x v="370"/>
    <n v="5220.1899999999996"/>
    <n v="216"/>
    <n v="24.167546296296294"/>
    <s v="June"/>
    <s v="Q2"/>
    <s v="Large"/>
  </r>
  <r>
    <s v="Andria Kimpton"/>
    <s v="Australia"/>
    <s v="Drinking Coco"/>
    <x v="380"/>
    <n v="1797.26"/>
    <n v="49"/>
    <n v="36.678775510204083"/>
    <s v="June"/>
    <s v="Q2"/>
    <s v="Large"/>
  </r>
  <r>
    <s v="Marney O'Breen"/>
    <s v="Australia"/>
    <s v="Organic Choco Syrup"/>
    <x v="381"/>
    <n v="295.62"/>
    <n v="182"/>
    <n v="1.6242857142857143"/>
    <s v="May"/>
    <s v="Q2"/>
    <s v="Small"/>
  </r>
  <r>
    <s v="Kelci Walkden"/>
    <s v="Canada"/>
    <s v="Baker's Choco Chips"/>
    <x v="382"/>
    <n v="3597.37"/>
    <n v="288"/>
    <n v="12.490868055555556"/>
    <s v="May"/>
    <s v="Q2"/>
    <s v="Large"/>
  </r>
  <r>
    <s v="Karlen McCaffrey"/>
    <s v="India"/>
    <s v="Almond Choco"/>
    <x v="383"/>
    <n v="6580.43"/>
    <n v="147"/>
    <n v="44.764829931972791"/>
    <s v="July"/>
    <s v="Q3"/>
    <s v="Large"/>
  </r>
  <r>
    <s v="Oby Sorrel"/>
    <s v="India"/>
    <s v="99% Dark &amp; Pure"/>
    <x v="384"/>
    <n v="12232.97"/>
    <n v="11"/>
    <n v="1112.0881818181817"/>
    <s v="May"/>
    <s v="Q2"/>
    <s v="Large"/>
  </r>
  <r>
    <s v="Wilone O'Kielt"/>
    <s v="Australia"/>
    <s v="Caramel Stuffed Bars"/>
    <x v="385"/>
    <n v="2243.44"/>
    <n v="11"/>
    <n v="203.94909090909093"/>
    <s v="April"/>
    <s v="Q2"/>
    <s v="Large"/>
  </r>
  <r>
    <s v="Van Tuxwell"/>
    <s v="Australia"/>
    <s v="Organic Choco Syrup"/>
    <x v="386"/>
    <n v="22943.37"/>
    <n v="14"/>
    <n v="1638.8121428571428"/>
    <s v="August"/>
    <s v="Q3"/>
    <s v="Large"/>
  </r>
  <r>
    <s v="Camilla Castle"/>
    <s v="India"/>
    <s v="50% Dark Bites"/>
    <x v="345"/>
    <n v="10590.61"/>
    <n v="430"/>
    <n v="24.629325581395349"/>
    <s v="July"/>
    <s v="Q3"/>
    <s v="Large"/>
  </r>
  <r>
    <s v="Oby Sorrel"/>
    <s v="India"/>
    <s v="Organic Choco Syrup"/>
    <x v="387"/>
    <n v="6468.82"/>
    <n v="59"/>
    <n v="109.64101694915254"/>
    <s v="July"/>
    <s v="Q3"/>
    <s v="Large"/>
  </r>
  <r>
    <s v="Jan Morforth"/>
    <s v="USA"/>
    <s v="Peanut Butter Cubes"/>
    <x v="367"/>
    <n v="10463.57"/>
    <n v="109"/>
    <n v="95.996055045871557"/>
    <s v="July"/>
    <s v="Q3"/>
    <s v="Large"/>
  </r>
  <r>
    <s v="Gigi Bohling"/>
    <s v="USA"/>
    <s v="Choco Coated Almonds"/>
    <x v="388"/>
    <n v="14154.35"/>
    <n v="105"/>
    <n v="134.80333333333334"/>
    <s v="March"/>
    <s v="Q1"/>
    <s v="Large"/>
  </r>
  <r>
    <s v="Gigi Bohling"/>
    <s v="UK"/>
    <s v="Almond Choco"/>
    <x v="389"/>
    <n v="6031.14"/>
    <n v="9"/>
    <n v="670.12666666666667"/>
    <s v="January"/>
    <s v="Q1"/>
    <s v="Large"/>
  </r>
  <r>
    <s v="Jehu Rudeforth"/>
    <s v="New Zealand"/>
    <s v="White Choc"/>
    <x v="390"/>
    <n v="3308.4"/>
    <n v="258"/>
    <n v="12.823255813953489"/>
    <s v="March"/>
    <s v="Q1"/>
    <s v="Large"/>
  </r>
  <r>
    <s v="Andria Kimpton"/>
    <s v="New Zealand"/>
    <s v="Peanut Butter Cubes"/>
    <x v="391"/>
    <n v="1119.94"/>
    <n v="283"/>
    <n v="3.9573851590106011"/>
    <s v="June"/>
    <s v="Q2"/>
    <s v="Large"/>
  </r>
  <r>
    <s v="Van Tuxwell"/>
    <s v="UK"/>
    <s v="Organic Choco Syrup"/>
    <x v="392"/>
    <n v="2303.39"/>
    <n v="222"/>
    <n v="10.37563063063063"/>
    <s v="August"/>
    <s v="Q3"/>
    <s v="Large"/>
  </r>
  <r>
    <s v="Roddy Speechley"/>
    <s v="Canada"/>
    <s v="Milk Bars"/>
    <x v="393"/>
    <n v="723.37"/>
    <n v="33"/>
    <n v="21.920303030303032"/>
    <s v="July"/>
    <s v="Q3"/>
    <s v="Large"/>
  </r>
  <r>
    <s v="Camilla Castle"/>
    <s v="USA"/>
    <s v="Spicy Special Slims"/>
    <x v="394"/>
    <n v="1413.64"/>
    <n v="261"/>
    <n v="5.4162452107279702"/>
    <s v="February"/>
    <s v="Q1"/>
    <s v="Large"/>
  </r>
  <r>
    <s v="Marney O'Breen"/>
    <s v="USA"/>
    <s v="Orange Choco"/>
    <x v="395"/>
    <n v="9001.89"/>
    <n v="193"/>
    <n v="46.641917098445596"/>
    <s v="January"/>
    <s v="Q1"/>
    <s v="Large"/>
  </r>
  <r>
    <s v="Van Tuxwell"/>
    <s v="UK"/>
    <s v="99% Dark &amp; Pure"/>
    <x v="396"/>
    <n v="5283.91"/>
    <n v="136"/>
    <n v="38.852279411764705"/>
    <s v="January"/>
    <s v="Q1"/>
    <s v="Large"/>
  </r>
  <r>
    <s v="Camilla Castle"/>
    <s v="USA"/>
    <s v="White Choc"/>
    <x v="397"/>
    <n v="10958.51"/>
    <n v="23"/>
    <n v="476.45695652173913"/>
    <s v="August"/>
    <s v="Q3"/>
    <s v="Large"/>
  </r>
  <r>
    <s v="Andria Kimpton"/>
    <s v="USA"/>
    <s v="Raspberry Choco"/>
    <x v="366"/>
    <n v="15531.78"/>
    <n v="22"/>
    <n v="705.99"/>
    <s v="June"/>
    <s v="Q2"/>
    <s v="Large"/>
  </r>
  <r>
    <s v="Dotty Strutley"/>
    <s v="Australia"/>
    <s v="Fruit &amp; Nut Bars"/>
    <x v="398"/>
    <n v="317.36"/>
    <n v="337"/>
    <n v="0.94172106824925816"/>
    <s v="August"/>
    <s v="Q3"/>
    <s v="Small"/>
  </r>
  <r>
    <s v="Brien Boise"/>
    <s v="New Zealand"/>
    <s v="Mint Chip Choco"/>
    <x v="337"/>
    <n v="71.41"/>
    <n v="188"/>
    <n v="0.37984042553191488"/>
    <s v="August"/>
    <s v="Q3"/>
    <s v="Small"/>
  </r>
  <r>
    <s v="Roddy Speechley"/>
    <s v="New Zealand"/>
    <s v="After Nines"/>
    <x v="399"/>
    <n v="9317.33"/>
    <n v="11"/>
    <n v="847.03"/>
    <s v="May"/>
    <s v="Q2"/>
    <s v="Large"/>
  </r>
  <r>
    <s v="Roddy Speechley"/>
    <s v="Canada"/>
    <s v="Organic Choco Syrup"/>
    <x v="389"/>
    <n v="4790.71"/>
    <n v="86"/>
    <n v="55.705930232558138"/>
    <s v="January"/>
    <s v="Q1"/>
    <s v="Large"/>
  </r>
  <r>
    <s v="Dennison Crosswaite"/>
    <s v="Australia"/>
    <s v="70% Dark Bites"/>
    <x v="400"/>
    <n v="6166.8"/>
    <n v="114"/>
    <n v="54.094736842105263"/>
    <s v="February"/>
    <s v="Q1"/>
    <s v="Large"/>
  </r>
  <r>
    <s v="Karlen McCaffrey"/>
    <s v="USA"/>
    <s v="Orange Choco"/>
    <x v="401"/>
    <n v="11741.46"/>
    <n v="433"/>
    <n v="27.11653579676674"/>
    <s v="May"/>
    <s v="Q2"/>
    <s v="Large"/>
  </r>
  <r>
    <s v="Madelene Upcott"/>
    <s v="Australia"/>
    <s v="Spicy Special Slims"/>
    <x v="402"/>
    <n v="8519.77"/>
    <n v="443"/>
    <n v="19.231986455981943"/>
    <s v="March"/>
    <s v="Q1"/>
    <s v="Large"/>
  </r>
  <r>
    <s v="Dennison Crosswaite"/>
    <s v="Australia"/>
    <s v="85% Dark Bars"/>
    <x v="352"/>
    <n v="8278.86"/>
    <n v="453"/>
    <n v="18.275629139072848"/>
    <s v="April"/>
    <s v="Q2"/>
    <s v="Large"/>
  </r>
  <r>
    <s v="Andria Kimpton"/>
    <s v="Canada"/>
    <s v="Caramel Stuffed Bars"/>
    <x v="403"/>
    <n v="7560.62"/>
    <n v="336"/>
    <n v="22.501845238095239"/>
    <s v="January"/>
    <s v="Q1"/>
    <s v="Large"/>
  </r>
  <r>
    <s v="Dennison Crosswaite"/>
    <s v="UK"/>
    <s v="Eclairs"/>
    <x v="343"/>
    <n v="6702.11"/>
    <n v="285"/>
    <n v="23.516175438596491"/>
    <s v="March"/>
    <s v="Q1"/>
    <s v="Large"/>
  </r>
  <r>
    <s v="Madelene Upcott"/>
    <s v="India"/>
    <s v="Raspberry Choco"/>
    <x v="338"/>
    <n v="4758.6899999999996"/>
    <n v="10"/>
    <n v="475.86899999999997"/>
    <s v="July"/>
    <s v="Q3"/>
    <s v="Large"/>
  </r>
  <r>
    <s v="Van Tuxwell"/>
    <s v="USA"/>
    <s v="After Nines"/>
    <x v="404"/>
    <n v="709.25"/>
    <n v="263"/>
    <n v="2.6967680608365021"/>
    <s v="July"/>
    <s v="Q3"/>
    <s v="Large"/>
  </r>
  <r>
    <s v="Wilone O'Kielt"/>
    <s v="Australia"/>
    <s v="Organic Choco Syrup"/>
    <x v="338"/>
    <n v="2003.05"/>
    <n v="110"/>
    <n v="18.209545454545456"/>
    <s v="July"/>
    <s v="Q3"/>
    <s v="Large"/>
  </r>
  <r>
    <s v="Karlen McCaffrey"/>
    <s v="Canada"/>
    <s v="50% Dark Bites"/>
    <x v="378"/>
    <n v="3248"/>
    <n v="64"/>
    <n v="50.75"/>
    <s v="July"/>
    <s v="Q3"/>
    <s v="Large"/>
  </r>
  <r>
    <s v="Roddy Speechley"/>
    <s v="New Zealand"/>
    <s v="Orange Choco"/>
    <x v="405"/>
    <n v="51.98"/>
    <n v="95"/>
    <n v="0.54715789473684207"/>
    <s v="April"/>
    <s v="Q2"/>
    <s v="Small"/>
  </r>
  <r>
    <s v="Beverie Moffet"/>
    <s v="Australia"/>
    <s v="Eclairs"/>
    <x v="391"/>
    <n v="2134.65"/>
    <n v="6"/>
    <n v="355.77500000000003"/>
    <s v="June"/>
    <s v="Q2"/>
    <s v="Large"/>
  </r>
  <r>
    <s v="Kelci Walkden"/>
    <s v="UK"/>
    <s v="Fruit &amp; Nut Bars"/>
    <x v="364"/>
    <n v="15540.41"/>
    <n v="520"/>
    <n v="29.885403846153846"/>
    <s v="June"/>
    <s v="Q2"/>
    <s v="Large"/>
  </r>
  <r>
    <s v="Marney O'Breen"/>
    <s v="USA"/>
    <s v="50% Dark Bites"/>
    <x v="362"/>
    <n v="1117.77"/>
    <n v="114"/>
    <n v="9.8049999999999997"/>
    <s v="June"/>
    <s v="Q2"/>
    <s v="Large"/>
  </r>
  <r>
    <s v="Husein Augar"/>
    <s v="USA"/>
    <s v="After Nines"/>
    <x v="406"/>
    <n v="13999.05"/>
    <n v="179"/>
    <n v="78.206983240223465"/>
    <s v="April"/>
    <s v="Q2"/>
    <s v="Large"/>
  </r>
  <r>
    <s v="Dennison Crosswaite"/>
    <s v="Australia"/>
    <s v="Raspberry Choco"/>
    <x v="358"/>
    <n v="6265.59"/>
    <n v="31"/>
    <n v="202.11580645161291"/>
    <s v="March"/>
    <s v="Q1"/>
    <s v="Large"/>
  </r>
  <r>
    <s v="Andria Kimpton"/>
    <s v="USA"/>
    <s v="Fruit &amp; Nut Bars"/>
    <x v="378"/>
    <n v="1536.82"/>
    <n v="386"/>
    <n v="3.9813989637305696"/>
    <s v="July"/>
    <s v="Q3"/>
    <s v="Large"/>
  </r>
  <r>
    <s v="Kelci Walkden"/>
    <s v="India"/>
    <s v="Eclairs"/>
    <x v="377"/>
    <n v="6069.93"/>
    <n v="80"/>
    <n v="75.874125000000006"/>
    <s v="April"/>
    <s v="Q2"/>
    <s v="Large"/>
  </r>
  <r>
    <s v="Marney O'Breen"/>
    <s v="USA"/>
    <s v="99% Dark &amp; Pure"/>
    <x v="407"/>
    <n v="4861.33"/>
    <n v="286"/>
    <n v="16.997657342657341"/>
    <s v="March"/>
    <s v="Q1"/>
    <s v="Large"/>
  </r>
  <r>
    <s v="Brien Boise"/>
    <s v="Canada"/>
    <s v="Spicy Special Slims"/>
    <x v="408"/>
    <n v="8993.24"/>
    <n v="97"/>
    <n v="92.713814432989693"/>
    <s v="March"/>
    <s v="Q1"/>
    <s v="Large"/>
  </r>
  <r>
    <s v="Karlen McCaffrey"/>
    <s v="New Zealand"/>
    <s v="70% Dark Bites"/>
    <x v="409"/>
    <n v="150.41999999999999"/>
    <n v="40"/>
    <n v="3.7604999999999995"/>
    <s v="August"/>
    <s v="Q3"/>
    <s v="Small"/>
  </r>
  <r>
    <s v="Husein Augar"/>
    <s v="UK"/>
    <s v="Spicy Special Slims"/>
    <x v="410"/>
    <n v="5593.68"/>
    <n v="41"/>
    <n v="136.43121951219513"/>
    <s v="August"/>
    <s v="Q3"/>
    <s v="Large"/>
  </r>
  <r>
    <s v="Marney O'Breen"/>
    <s v="USA"/>
    <s v="Almond Choco"/>
    <x v="411"/>
    <n v="9376.61"/>
    <n v="167"/>
    <n v="56.147365269461083"/>
    <s v="February"/>
    <s v="Q1"/>
    <s v="Large"/>
  </r>
  <r>
    <s v="Kelci Walkden"/>
    <s v="India"/>
    <s v="Orange Choco"/>
    <x v="412"/>
    <n v="11315.16"/>
    <n v="134"/>
    <n v="84.441492537313437"/>
    <s v="June"/>
    <s v="Q2"/>
    <s v="Large"/>
  </r>
  <r>
    <s v="Jan Morforth"/>
    <s v="India"/>
    <s v="Spicy Special Slims"/>
    <x v="413"/>
    <n v="2048.34"/>
    <n v="506"/>
    <n v="4.0481027667984195"/>
    <s v="April"/>
    <s v="Q2"/>
    <s v="Large"/>
  </r>
  <r>
    <s v="Ches Bonnell"/>
    <s v="India"/>
    <s v="Spicy Special Slims"/>
    <x v="383"/>
    <n v="12562.81"/>
    <n v="101"/>
    <n v="124.38425742574258"/>
    <s v="July"/>
    <s v="Q3"/>
    <s v="Large"/>
  </r>
  <r>
    <s v="Kelci Walkden"/>
    <s v="UK"/>
    <s v="Smooth Sliky Salty"/>
    <x v="414"/>
    <n v="6883.75"/>
    <n v="182"/>
    <n v="37.822802197802197"/>
    <s v="January"/>
    <s v="Q1"/>
    <s v="Large"/>
  </r>
  <r>
    <s v="Madelene Upcott"/>
    <s v="Australia"/>
    <s v="Fruit &amp; Nut Bars"/>
    <x v="415"/>
    <n v="6105.6"/>
    <n v="90"/>
    <n v="67.84"/>
    <s v="January"/>
    <s v="Q1"/>
    <s v="Large"/>
  </r>
  <r>
    <s v="Madelene Upcott"/>
    <s v="Canada"/>
    <s v="70% Dark Bites"/>
    <x v="416"/>
    <n v="12634.72"/>
    <n v="145"/>
    <n v="87.135999999999996"/>
    <s v="January"/>
    <s v="Q1"/>
    <s v="Large"/>
  </r>
  <r>
    <s v="Wilone O'Kielt"/>
    <s v="Australia"/>
    <s v="Drinking Coco"/>
    <x v="417"/>
    <n v="663.74"/>
    <n v="285"/>
    <n v="2.3289122807017546"/>
    <s v="April"/>
    <s v="Q2"/>
    <s v="Large"/>
  </r>
  <r>
    <s v="Gunar Cockshoot"/>
    <s v="Australia"/>
    <s v="Fruit &amp; Nut Bars"/>
    <x v="362"/>
    <n v="7044.68"/>
    <n v="21"/>
    <n v="335.46095238095239"/>
    <s v="June"/>
    <s v="Q2"/>
    <s v="Large"/>
  </r>
  <r>
    <s v="Gigi Bohling"/>
    <s v="Canada"/>
    <s v="Baker's Choco Chips"/>
    <x v="418"/>
    <n v="1804.9"/>
    <n v="47"/>
    <n v="38.402127659574468"/>
    <s v="January"/>
    <s v="Q1"/>
    <s v="Large"/>
  </r>
  <r>
    <s v="Kelci Walkden"/>
    <s v="India"/>
    <s v="Caramel Stuffed Bars"/>
    <x v="419"/>
    <n v="513.42999999999995"/>
    <n v="131"/>
    <n v="3.9193129770992363"/>
    <s v="March"/>
    <s v="Q1"/>
    <s v="Large"/>
  </r>
  <r>
    <s v="Rafaelita Blaksland"/>
    <s v="Australia"/>
    <s v="Drinking Coco"/>
    <x v="420"/>
    <n v="13699.76"/>
    <n v="389"/>
    <n v="35.217892030848333"/>
    <s v="February"/>
    <s v="Q1"/>
    <s v="Large"/>
  </r>
  <r>
    <s v="Kelci Walkden"/>
    <s v="USA"/>
    <s v="Manuka Honey Choco"/>
    <x v="353"/>
    <n v="19995.68"/>
    <n v="94"/>
    <n v="212.72"/>
    <s v="February"/>
    <s v="Q1"/>
    <s v="Large"/>
  </r>
  <r>
    <s v="Jehu Rudeforth"/>
    <s v="Canada"/>
    <s v="Spicy Special Slims"/>
    <x v="346"/>
    <n v="2189.6999999999998"/>
    <n v="29"/>
    <n v="75.506896551724125"/>
    <s v="January"/>
    <s v="Q1"/>
    <s v="Large"/>
  </r>
  <r>
    <s v="Kelci Walkden"/>
    <s v="Australia"/>
    <s v="Eclairs"/>
    <x v="421"/>
    <n v="8727.09"/>
    <n v="523"/>
    <n v="16.686596558317401"/>
    <s v="March"/>
    <s v="Q1"/>
    <s v="Large"/>
  </r>
  <r>
    <s v="Curtice Advani"/>
    <s v="Canada"/>
    <s v="Spicy Special Slims"/>
    <x v="422"/>
    <n v="911.46"/>
    <n v="126"/>
    <n v="7.2338095238095237"/>
    <s v="June"/>
    <s v="Q2"/>
    <s v="Large"/>
  </r>
  <r>
    <s v="Oby Sorrel"/>
    <s v="India"/>
    <s v="Raspberry Choco"/>
    <x v="385"/>
    <n v="7620.86"/>
    <n v="46"/>
    <n v="165.67086956521737"/>
    <s v="April"/>
    <s v="Q2"/>
    <s v="Large"/>
  </r>
  <r>
    <s v="Kelci Walkden"/>
    <s v="UK"/>
    <s v="Eclairs"/>
    <x v="342"/>
    <n v="5054.5600000000004"/>
    <n v="60"/>
    <n v="84.242666666666679"/>
    <s v="January"/>
    <s v="Q1"/>
    <s v="Large"/>
  </r>
  <r>
    <s v="Jan Morforth"/>
    <s v="India"/>
    <s v="Almond Choco"/>
    <x v="390"/>
    <n v="5230.5"/>
    <n v="23"/>
    <n v="227.41304347826087"/>
    <s v="March"/>
    <s v="Q1"/>
    <s v="Large"/>
  </r>
  <r>
    <s v="Dotty Strutley"/>
    <s v="UK"/>
    <s v="Almond Choco"/>
    <x v="348"/>
    <n v="17104.04"/>
    <n v="103"/>
    <n v="166.05864077669904"/>
    <s v="July"/>
    <s v="Q3"/>
    <s v="Large"/>
  </r>
  <r>
    <s v="Marney O'Breen"/>
    <s v="New Zealand"/>
    <s v="After Nines"/>
    <x v="423"/>
    <n v="1642.32"/>
    <n v="43"/>
    <n v="38.193488372093022"/>
    <s v="March"/>
    <s v="Q1"/>
    <s v="Large"/>
  </r>
  <r>
    <s v="Husein Augar"/>
    <s v="Australia"/>
    <s v="Orange Choco"/>
    <x v="380"/>
    <n v="10322.19"/>
    <n v="182"/>
    <n v="56.715329670329673"/>
    <s v="June"/>
    <s v="Q2"/>
    <s v="Large"/>
  </r>
  <r>
    <s v="Marney O'Breen"/>
    <s v="Australia"/>
    <s v="Milk Bars"/>
    <x v="348"/>
    <n v="2715.92"/>
    <n v="423"/>
    <n v="6.4206146572104021"/>
    <s v="July"/>
    <s v="Q3"/>
    <s v="Large"/>
  </r>
  <r>
    <s v="Kelci Walkden"/>
    <s v="Canada"/>
    <s v="99% Dark &amp; Pure"/>
    <x v="424"/>
    <n v="5598.05"/>
    <n v="51"/>
    <n v="109.7656862745098"/>
    <s v="August"/>
    <s v="Q3"/>
    <s v="Large"/>
  </r>
  <r>
    <s v="Kaine Padly"/>
    <s v="Australia"/>
    <s v="Manuka Honey Choco"/>
    <x v="425"/>
    <n v="2996.99"/>
    <n v="280"/>
    <n v="10.703535714285714"/>
    <s v="January"/>
    <s v="Q1"/>
    <s v="Large"/>
  </r>
  <r>
    <s v="Beverie Moffet"/>
    <s v="New Zealand"/>
    <s v="White Choc"/>
    <x v="343"/>
    <n v="7946.49"/>
    <n v="7"/>
    <n v="1135.212857142857"/>
    <s v="March"/>
    <s v="Q1"/>
    <s v="Large"/>
  </r>
  <r>
    <s v="Van Tuxwell"/>
    <s v="UK"/>
    <s v="Milk Bars"/>
    <x v="426"/>
    <n v="4991.22"/>
    <n v="92"/>
    <n v="54.252391304347832"/>
    <s v="July"/>
    <s v="Q3"/>
    <s v="Large"/>
  </r>
  <r>
    <s v="Oby Sorrel"/>
    <s v="Canada"/>
    <s v="99% Dark &amp; Pure"/>
    <x v="337"/>
    <n v="4151.7"/>
    <n v="424"/>
    <n v="9.7917452830188676"/>
    <s v="August"/>
    <s v="Q3"/>
    <s v="Large"/>
  </r>
  <r>
    <s v="Van Tuxwell"/>
    <s v="India"/>
    <s v="Organic Choco Syrup"/>
    <x v="381"/>
    <n v="22701.85"/>
    <n v="168"/>
    <n v="135.13005952380951"/>
    <s v="May"/>
    <s v="Q2"/>
    <s v="Large"/>
  </r>
  <r>
    <s v="Roddy Speechley"/>
    <s v="India"/>
    <s v="Smooth Sliky Salty"/>
    <x v="386"/>
    <n v="6014.3"/>
    <n v="141"/>
    <n v="42.654609929078013"/>
    <s v="August"/>
    <s v="Q3"/>
    <s v="Large"/>
  </r>
  <r>
    <s v="Jan Morforth"/>
    <s v="India"/>
    <s v="Eclairs"/>
    <x v="415"/>
    <n v="2788.6"/>
    <n v="27"/>
    <n v="103.28148148148148"/>
    <s v="January"/>
    <s v="Q1"/>
    <s v="Large"/>
  </r>
  <r>
    <s v="Ches Bonnell"/>
    <s v="UK"/>
    <s v="Smooth Sliky Salty"/>
    <x v="372"/>
    <n v="6503.75"/>
    <n v="116"/>
    <n v="56.066810344827587"/>
    <s v="July"/>
    <s v="Q3"/>
    <s v="Large"/>
  </r>
  <r>
    <s v="Wilone O'Kielt"/>
    <s v="USA"/>
    <s v="After Nines"/>
    <x v="427"/>
    <n v="433.92"/>
    <n v="31"/>
    <n v="13.99741935483871"/>
    <s v="April"/>
    <s v="Q2"/>
    <s v="Small"/>
  </r>
  <r>
    <s v="Gigi Bohling"/>
    <s v="New Zealand"/>
    <s v="Fruit &amp; Nut Bars"/>
    <x v="428"/>
    <n v="12314.13"/>
    <n v="129"/>
    <n v="95.458372093023243"/>
    <s v="April"/>
    <s v="Q2"/>
    <s v="Large"/>
  </r>
  <r>
    <s v="Barr Faughny"/>
    <s v="USA"/>
    <s v="Raspberry Choco"/>
    <x v="413"/>
    <n v="9876.86"/>
    <n v="106"/>
    <n v="93.177924528301887"/>
    <s v="April"/>
    <s v="Q2"/>
    <s v="Large"/>
  </r>
  <r>
    <s v="Wilone O'Kielt"/>
    <s v="New Zealand"/>
    <s v="85% Dark Bars"/>
    <x v="409"/>
    <n v="2043.06"/>
    <n v="121"/>
    <n v="16.884793388429753"/>
    <s v="August"/>
    <s v="Q3"/>
    <s v="Large"/>
  </r>
  <r>
    <s v="Gigi Bohling"/>
    <s v="New Zealand"/>
    <s v="Manuka Honey Choco"/>
    <x v="380"/>
    <n v="8728.7999999999993"/>
    <n v="272"/>
    <n v="32.091176470588231"/>
    <s v="June"/>
    <s v="Q2"/>
    <s v="Large"/>
  </r>
  <r>
    <s v="Ches Bonnell"/>
    <s v="Australia"/>
    <s v="Eclairs"/>
    <x v="361"/>
    <n v="4906.57"/>
    <n v="128"/>
    <n v="38.332578124999998"/>
    <s v="July"/>
    <s v="Q3"/>
    <s v="Large"/>
  </r>
  <r>
    <s v="Rafaelita Blaksland"/>
    <s v="New Zealand"/>
    <s v="Choco Coated Almonds"/>
    <x v="412"/>
    <n v="2278.06"/>
    <n v="49"/>
    <n v="46.491020408163266"/>
    <s v="June"/>
    <s v="Q2"/>
    <s v="Large"/>
  </r>
  <r>
    <s v="Brien Boise"/>
    <s v="New Zealand"/>
    <s v="Smooth Sliky Salty"/>
    <x v="429"/>
    <n v="1108.18"/>
    <n v="27"/>
    <n v="41.043703703703706"/>
    <s v="January"/>
    <s v="Q1"/>
    <s v="Large"/>
  </r>
  <r>
    <s v="Brien Boise"/>
    <s v="Australia"/>
    <s v="Baker's Choco Chips"/>
    <x v="336"/>
    <n v="14957.65"/>
    <n v="206"/>
    <n v="72.609951456310682"/>
    <s v="January"/>
    <s v="Q1"/>
    <s v="Large"/>
  </r>
  <r>
    <s v="Dennison Crosswaite"/>
    <s v="Australia"/>
    <s v="99% Dark &amp; Pure"/>
    <x v="396"/>
    <n v="3020.67"/>
    <n v="19"/>
    <n v="158.98263157894738"/>
    <s v="January"/>
    <s v="Q1"/>
    <s v="Large"/>
  </r>
  <r>
    <s v="Kelci Walkden"/>
    <s v="India"/>
    <s v="Almond Choco"/>
    <x v="358"/>
    <n v="3677.47"/>
    <n v="152"/>
    <n v="24.193881578947366"/>
    <s v="March"/>
    <s v="Q1"/>
    <s v="Large"/>
  </r>
  <r>
    <s v="Camilla Castle"/>
    <s v="Australia"/>
    <s v="70% Dark Bites"/>
    <x v="430"/>
    <n v="6999.62"/>
    <n v="500"/>
    <n v="13.99924"/>
    <s v="April"/>
    <s v="Q2"/>
    <s v="Large"/>
  </r>
  <r>
    <s v="Oby Sorrel"/>
    <s v="India"/>
    <s v="Smooth Sliky Salty"/>
    <x v="400"/>
    <n v="10901.65"/>
    <n v="116"/>
    <n v="93.97974137931034"/>
    <s v="February"/>
    <s v="Q1"/>
    <s v="Large"/>
  </r>
  <r>
    <s v="Kaine Padly"/>
    <s v="UK"/>
    <s v="Organic Choco Syrup"/>
    <x v="431"/>
    <n v="2586.62"/>
    <n v="172"/>
    <n v="15.038488372093022"/>
    <s v="March"/>
    <s v="Q1"/>
    <s v="Large"/>
  </r>
  <r>
    <s v="Marney O'Breen"/>
    <s v="India"/>
    <s v="Caramel Stuffed Bars"/>
    <x v="419"/>
    <n v="5077.5"/>
    <n v="81"/>
    <n v="62.685185185185183"/>
    <s v="March"/>
    <s v="Q1"/>
    <s v="Large"/>
  </r>
  <r>
    <s v="Karlen McCaffrey"/>
    <s v="UK"/>
    <s v="Eclairs"/>
    <x v="342"/>
    <n v="8360.11"/>
    <n v="203"/>
    <n v="41.1828078817734"/>
    <s v="January"/>
    <s v="Q1"/>
    <s v="Large"/>
  </r>
  <r>
    <s v="Van Tuxwell"/>
    <s v="India"/>
    <s v="Baker's Choco Chips"/>
    <x v="391"/>
    <n v="3566.77"/>
    <n v="426"/>
    <n v="8.3726995305164316"/>
    <s v="June"/>
    <s v="Q2"/>
    <s v="Large"/>
  </r>
  <r>
    <s v="Gigi Bohling"/>
    <s v="UK"/>
    <s v="After Nines"/>
    <x v="432"/>
    <n v="9186.69"/>
    <n v="173"/>
    <n v="53.10225433526012"/>
    <s v="March"/>
    <s v="Q1"/>
    <s v="Large"/>
  </r>
  <r>
    <s v="Curtice Advani"/>
    <s v="Australia"/>
    <s v="Orange Choco"/>
    <x v="433"/>
    <n v="917.35"/>
    <n v="140"/>
    <n v="6.5525000000000002"/>
    <s v="July"/>
    <s v="Q3"/>
    <s v="Large"/>
  </r>
  <r>
    <s v="Jehu Rudeforth"/>
    <s v="Canada"/>
    <s v="Smooth Sliky Salty"/>
    <x v="372"/>
    <n v="6199.12"/>
    <n v="132"/>
    <n v="46.963030303030301"/>
    <s v="July"/>
    <s v="Q3"/>
    <s v="Large"/>
  </r>
  <r>
    <s v="Karlen McCaffrey"/>
    <s v="Canada"/>
    <s v="Smooth Sliky Salty"/>
    <x v="414"/>
    <n v="3368.63"/>
    <n v="180"/>
    <n v="18.714611111111111"/>
    <s v="January"/>
    <s v="Q1"/>
    <s v="Large"/>
  </r>
  <r>
    <s v="Andria Kimpton"/>
    <s v="USA"/>
    <s v="85% Dark Bars"/>
    <x v="352"/>
    <n v="10527.23"/>
    <n v="82"/>
    <n v="128.38085365853658"/>
    <s v="April"/>
    <s v="Q2"/>
    <s v="Large"/>
  </r>
  <r>
    <s v="Jehu Rudeforth"/>
    <s v="Canada"/>
    <s v="Milk Bars"/>
    <x v="420"/>
    <n v="7927.57"/>
    <n v="12"/>
    <n v="660.63083333333327"/>
    <s v="February"/>
    <s v="Q1"/>
    <s v="Large"/>
  </r>
  <r>
    <s v="Rafaelita Blaksland"/>
    <s v="New Zealand"/>
    <s v="Caramel Stuffed Bars"/>
    <x v="434"/>
    <n v="14493.5"/>
    <n v="15"/>
    <n v="966.23333333333335"/>
    <s v="May"/>
    <s v="Q2"/>
    <s v="Large"/>
  </r>
  <r>
    <s v="Mallorie Waber"/>
    <s v="Australia"/>
    <s v="Milk Bars"/>
    <x v="435"/>
    <n v="3112.2"/>
    <n v="107"/>
    <n v="29.085981308411213"/>
    <s v="July"/>
    <s v="Q3"/>
    <s v="Large"/>
  </r>
  <r>
    <s v="Barr Faughny"/>
    <s v="USA"/>
    <s v="Fruit &amp; Nut Bars"/>
    <x v="418"/>
    <n v="9617.64"/>
    <n v="44"/>
    <n v="218.58272727272725"/>
    <s v="January"/>
    <s v="Q1"/>
    <s v="Large"/>
  </r>
  <r>
    <s v="Marney O'Breen"/>
    <s v="UK"/>
    <s v="Caramel Stuffed Bars"/>
    <x v="376"/>
    <n v="4198.08"/>
    <n v="107"/>
    <n v="39.234392523364484"/>
    <s v="July"/>
    <s v="Q3"/>
    <s v="Large"/>
  </r>
  <r>
    <s v="Mallorie Waber"/>
    <s v="New Zealand"/>
    <s v="Manuka Honey Choco"/>
    <x v="436"/>
    <n v="10927.22"/>
    <n v="11"/>
    <n v="993.38363636363636"/>
    <s v="April"/>
    <s v="Q2"/>
    <s v="Large"/>
  </r>
  <r>
    <s v="Roddy Speechley"/>
    <s v="India"/>
    <s v="Peanut Butter Cubes"/>
    <x v="394"/>
    <n v="10759.18"/>
    <n v="20"/>
    <n v="537.95900000000006"/>
    <s v="February"/>
    <s v="Q1"/>
    <s v="Large"/>
  </r>
  <r>
    <s v="Roddy Speechley"/>
    <s v="New Zealand"/>
    <s v="Milk Bars"/>
    <x v="388"/>
    <n v="6250.42"/>
    <n v="111"/>
    <n v="56.310090090090092"/>
    <s v="March"/>
    <s v="Q1"/>
    <s v="Large"/>
  </r>
  <r>
    <s v="Ches Bonnell"/>
    <s v="Australia"/>
    <s v="White Choc"/>
    <x v="388"/>
    <n v="1103.54"/>
    <n v="195"/>
    <n v="5.6591794871794869"/>
    <s v="March"/>
    <s v="Q1"/>
    <s v="Large"/>
  </r>
  <r>
    <s v="Van Tuxwell"/>
    <s v="USA"/>
    <s v="99% Dark &amp; Pure"/>
    <x v="348"/>
    <n v="13435.98"/>
    <n v="6"/>
    <n v="2239.33"/>
    <s v="July"/>
    <s v="Q3"/>
    <s v="Large"/>
  </r>
  <r>
    <s v="Kelci Walkden"/>
    <s v="India"/>
    <s v="After Nines"/>
    <x v="437"/>
    <n v="1855.03"/>
    <n v="563"/>
    <n v="3.2949023090586147"/>
    <s v="January"/>
    <s v="Q1"/>
    <s v="Large"/>
  </r>
  <r>
    <s v="Brien Boise"/>
    <s v="UK"/>
    <s v="White Choc"/>
    <x v="413"/>
    <n v="5799.09"/>
    <n v="169"/>
    <n v="34.314142011834321"/>
    <s v="April"/>
    <s v="Q2"/>
    <s v="Large"/>
  </r>
  <r>
    <s v="Van Tuxwell"/>
    <s v="Canada"/>
    <s v="Almond Choco"/>
    <x v="355"/>
    <n v="3631.78"/>
    <n v="71"/>
    <n v="51.151830985915495"/>
    <s v="June"/>
    <s v="Q2"/>
    <s v="Large"/>
  </r>
  <r>
    <s v="Jehu Rudeforth"/>
    <s v="Australia"/>
    <s v="50% Dark Bites"/>
    <x v="438"/>
    <n v="5461.43"/>
    <n v="456"/>
    <n v="11.976820175438597"/>
    <s v="January"/>
    <s v="Q1"/>
    <s v="Large"/>
  </r>
  <r>
    <s v="Karlen McCaffrey"/>
    <s v="UK"/>
    <s v="Baker's Choco Chips"/>
    <x v="400"/>
    <n v="5315.95"/>
    <n v="389"/>
    <n v="13.665681233933162"/>
    <s v="February"/>
    <s v="Q1"/>
    <s v="Large"/>
  </r>
  <r>
    <s v="Jehu Rudeforth"/>
    <s v="Australia"/>
    <s v="Orange Choco"/>
    <x v="421"/>
    <n v="16059.94"/>
    <n v="28"/>
    <n v="573.56928571428568"/>
    <s v="March"/>
    <s v="Q1"/>
    <s v="Large"/>
  </r>
  <r>
    <s v="Marney O'Breen"/>
    <s v="India"/>
    <s v="Peanut Butter Cubes"/>
    <x v="389"/>
    <n v="7803.84"/>
    <n v="157"/>
    <n v="49.705987261146497"/>
    <s v="January"/>
    <s v="Q1"/>
    <s v="Large"/>
  </r>
  <r>
    <s v="Oby Sorrel"/>
    <s v="UK"/>
    <s v="Choco Coated Almonds"/>
    <x v="439"/>
    <n v="10751.19"/>
    <n v="44"/>
    <n v="244.34522727272727"/>
    <s v="March"/>
    <s v="Q1"/>
    <s v="Large"/>
  </r>
  <r>
    <s v="Gigi Bohling"/>
    <s v="USA"/>
    <s v="Spicy Special Slims"/>
    <x v="440"/>
    <n v="12156.54"/>
    <n v="54"/>
    <n v="225.12111111111113"/>
    <s v="January"/>
    <s v="Q1"/>
    <s v="Large"/>
  </r>
  <r>
    <s v="Barr Faughny"/>
    <s v="Australia"/>
    <s v="White Choc"/>
    <x v="345"/>
    <n v="9402.26"/>
    <n v="401"/>
    <n v="23.44703241895262"/>
    <s v="July"/>
    <s v="Q3"/>
    <s v="Large"/>
  </r>
  <r>
    <s v="Kaine Padly"/>
    <s v="Canada"/>
    <s v="Peanut Butter Cubes"/>
    <x v="345"/>
    <n v="3653.39"/>
    <n v="185"/>
    <n v="19.748054054054052"/>
    <s v="July"/>
    <s v="Q3"/>
    <s v="Large"/>
  </r>
  <r>
    <s v="Dotty Strutley"/>
    <s v="USA"/>
    <s v="Manuka Honey Choco"/>
    <x v="386"/>
    <n v="320.11"/>
    <n v="201"/>
    <n v="1.5925870646766169"/>
    <s v="August"/>
    <s v="Q3"/>
    <s v="Small"/>
  </r>
  <r>
    <s v="Dennison Crosswaite"/>
    <s v="Australia"/>
    <s v="50% Dark Bites"/>
    <x v="405"/>
    <n v="7618.91"/>
    <n v="12"/>
    <n v="634.90916666666669"/>
    <s v="April"/>
    <s v="Q2"/>
    <s v="Large"/>
  </r>
  <r>
    <s v="Gigi Bohling"/>
    <s v="India"/>
    <s v="Raspberry Choco"/>
    <x v="441"/>
    <n v="2843.9"/>
    <n v="158"/>
    <n v="17.999367088607595"/>
    <s v="February"/>
    <s v="Q1"/>
    <s v="Large"/>
  </r>
  <r>
    <s v="Camilla Castle"/>
    <s v="UK"/>
    <s v="White Choc"/>
    <x v="403"/>
    <n v="11946.4"/>
    <n v="192"/>
    <n v="62.220833333333331"/>
    <s v="January"/>
    <s v="Q1"/>
    <s v="Large"/>
  </r>
  <r>
    <s v="Karlen McCaffrey"/>
    <s v="India"/>
    <s v="Drinking Coco"/>
    <x v="442"/>
    <n v="5055.05"/>
    <n v="241"/>
    <n v="20.975311203319503"/>
    <s v="May"/>
    <s v="Q2"/>
    <s v="Large"/>
  </r>
  <r>
    <s v="Dotty Strutley"/>
    <s v="UK"/>
    <s v="99% Dark &amp; Pure"/>
    <x v="403"/>
    <n v="10378.36"/>
    <n v="301"/>
    <n v="34.479601328903655"/>
    <s v="January"/>
    <s v="Q1"/>
    <s v="Large"/>
  </r>
  <r>
    <s v="Husein Augar"/>
    <s v="New Zealand"/>
    <s v="Caramel Stuffed Bars"/>
    <x v="395"/>
    <n v="595.16"/>
    <n v="461"/>
    <n v="1.2910195227765726"/>
    <s v="January"/>
    <s v="Q1"/>
    <s v="Large"/>
  </r>
  <r>
    <s v="Barr Faughny"/>
    <s v="UK"/>
    <s v="50% Dark Bites"/>
    <x v="418"/>
    <n v="639.95000000000005"/>
    <n v="71"/>
    <n v="9.0133802816901412"/>
    <s v="January"/>
    <s v="Q1"/>
    <s v="Large"/>
  </r>
  <r>
    <s v="Curtice Advani"/>
    <s v="Australia"/>
    <s v="Organic Choco Syrup"/>
    <x v="380"/>
    <n v="3717.35"/>
    <n v="322"/>
    <n v="11.544565217391304"/>
    <s v="June"/>
    <s v="Q2"/>
    <s v="Large"/>
  </r>
  <r>
    <s v="Husein Augar"/>
    <s v="UK"/>
    <s v="Choco Coated Almonds"/>
    <x v="388"/>
    <n v="5057.1000000000004"/>
    <n v="41"/>
    <n v="123.3439024390244"/>
    <s v="March"/>
    <s v="Q1"/>
    <s v="Large"/>
  </r>
  <r>
    <s v="Wilone O'Kielt"/>
    <s v="Australia"/>
    <s v="After Nines"/>
    <x v="384"/>
    <n v="3729.83"/>
    <n v="27"/>
    <n v="138.14185185185184"/>
    <s v="May"/>
    <s v="Q2"/>
    <s v="Large"/>
  </r>
  <r>
    <s v="Dennison Crosswaite"/>
    <s v="USA"/>
    <s v="Almond Choco"/>
    <x v="366"/>
    <n v="13786.87"/>
    <n v="85"/>
    <n v="162.1984705882353"/>
    <s v="June"/>
    <s v="Q2"/>
    <s v="Large"/>
  </r>
  <r>
    <s v="Barr Faughny"/>
    <s v="Canada"/>
    <s v="Peanut Butter Cubes"/>
    <x v="412"/>
    <n v="2206.2800000000002"/>
    <n v="79"/>
    <n v="27.927594936708864"/>
    <s v="June"/>
    <s v="Q2"/>
    <s v="Large"/>
  </r>
  <r>
    <s v="Kaine Padly"/>
    <s v="USA"/>
    <s v="70% Dark Bites"/>
    <x v="401"/>
    <n v="4672.25"/>
    <n v="103"/>
    <n v="45.36165048543689"/>
    <s v="May"/>
    <s v="Q2"/>
    <s v="Large"/>
  </r>
  <r>
    <s v="Barr Faughny"/>
    <s v="New Zealand"/>
    <s v="Raspberry Choco"/>
    <x v="435"/>
    <n v="7667.99"/>
    <n v="69"/>
    <n v="111.13028985507246"/>
    <s v="July"/>
    <s v="Q3"/>
    <s v="Large"/>
  </r>
  <r>
    <s v="Dennison Crosswaite"/>
    <s v="UK"/>
    <s v="White Choc"/>
    <x v="349"/>
    <n v="8338.51"/>
    <n v="270"/>
    <n v="30.883370370370372"/>
    <s v="August"/>
    <s v="Q3"/>
    <s v="Large"/>
  </r>
  <r>
    <s v="Barr Faughny"/>
    <s v="India"/>
    <s v="Baker's Choco Chips"/>
    <x v="397"/>
    <n v="7548.62"/>
    <n v="153"/>
    <n v="49.337385620915029"/>
    <s v="August"/>
    <s v="Q3"/>
    <s v="Large"/>
  </r>
  <r>
    <s v="Van Tuxwell"/>
    <s v="New Zealand"/>
    <s v="Smooth Sliky Salty"/>
    <x v="443"/>
    <n v="3608.83"/>
    <n v="46"/>
    <n v="78.45282608695652"/>
    <s v="June"/>
    <s v="Q2"/>
    <s v="Large"/>
  </r>
  <r>
    <s v="Beverie Moffet"/>
    <s v="UK"/>
    <s v="White Choc"/>
    <x v="366"/>
    <n v="7108.96"/>
    <n v="80"/>
    <n v="88.861999999999995"/>
    <s v="June"/>
    <s v="Q2"/>
    <s v="Large"/>
  </r>
  <r>
    <s v="Camilla Castle"/>
    <s v="New Zealand"/>
    <s v="Mint Chip Choco"/>
    <x v="444"/>
    <n v="1293.02"/>
    <n v="201"/>
    <n v="6.4329353233830844"/>
    <s v="June"/>
    <s v="Q2"/>
    <s v="Large"/>
  </r>
  <r>
    <s v="Ches Bonnell"/>
    <s v="UK"/>
    <s v="Orange Choco"/>
    <x v="339"/>
    <n v="15365.78"/>
    <n v="57"/>
    <n v="269.57508771929827"/>
    <s v="April"/>
    <s v="Q2"/>
    <s v="Large"/>
  </r>
  <r>
    <s v="Jan Morforth"/>
    <s v="Australia"/>
    <s v="White Choc"/>
    <x v="445"/>
    <n v="3766.49"/>
    <n v="33"/>
    <n v="114.1360606060606"/>
    <s v="July"/>
    <s v="Q3"/>
    <s v="Large"/>
  </r>
  <r>
    <s v="Mallorie Waber"/>
    <s v="Canada"/>
    <s v="85% Dark Bars"/>
    <x v="344"/>
    <n v="1664.68"/>
    <n v="465"/>
    <n v="3.5799569892473118"/>
    <s v="April"/>
    <s v="Q2"/>
    <s v="Large"/>
  </r>
  <r>
    <s v="Rafaelita Blaksland"/>
    <s v="India"/>
    <s v="Spicy Special Slims"/>
    <x v="336"/>
    <n v="8972.7900000000009"/>
    <n v="134"/>
    <n v="66.961119402985076"/>
    <s v="January"/>
    <s v="Q1"/>
    <s v="Large"/>
  </r>
  <r>
    <s v="Ches Bonnell"/>
    <s v="Australia"/>
    <s v="Mint Chip Choco"/>
    <x v="420"/>
    <n v="10576.55"/>
    <n v="96"/>
    <n v="110.17239583333333"/>
    <s v="February"/>
    <s v="Q1"/>
    <s v="Large"/>
  </r>
  <r>
    <s v="Karlen McCaffrey"/>
    <s v="Australia"/>
    <s v="White Choc"/>
    <x v="415"/>
    <n v="8857.15"/>
    <n v="50"/>
    <n v="177.143"/>
    <s v="January"/>
    <s v="Q1"/>
    <s v="Large"/>
  </r>
  <r>
    <s v="Beverie Moffet"/>
    <s v="India"/>
    <s v="Drinking Coco"/>
    <x v="378"/>
    <n v="6756.17"/>
    <n v="45"/>
    <n v="150.13711111111112"/>
    <s v="July"/>
    <s v="Q3"/>
    <s v="Large"/>
  </r>
  <r>
    <s v="Brien Boise"/>
    <s v="Australia"/>
    <s v="Choco Coated Almonds"/>
    <x v="399"/>
    <n v="5532.85"/>
    <n v="63"/>
    <n v="87.823015873015876"/>
    <s v="May"/>
    <s v="Q2"/>
    <s v="Large"/>
  </r>
  <r>
    <s v="Karlen McCaffrey"/>
    <s v="Canada"/>
    <s v="Eclairs"/>
    <x v="344"/>
    <n v="3713.66"/>
    <n v="352"/>
    <n v="10.550170454545453"/>
    <s v="April"/>
    <s v="Q2"/>
    <s v="Large"/>
  </r>
  <r>
    <s v="Gigi Bohling"/>
    <s v="USA"/>
    <s v="99% Dark &amp; Pure"/>
    <x v="370"/>
    <n v="906.85"/>
    <n v="246"/>
    <n v="3.6863821138211383"/>
    <s v="June"/>
    <s v="Q2"/>
    <s v="Large"/>
  </r>
  <r>
    <s v="Marney O'Breen"/>
    <s v="UK"/>
    <s v="Smooth Sliky Salty"/>
    <x v="446"/>
    <n v="22558.880000000001"/>
    <n v="84"/>
    <n v="268.55809523809523"/>
    <s v="May"/>
    <s v="Q2"/>
    <s v="Large"/>
  </r>
  <r>
    <s v="Beverie Moffet"/>
    <s v="New Zealand"/>
    <s v="Baker's Choco Chips"/>
    <x v="349"/>
    <n v="1517.05"/>
    <n v="147"/>
    <n v="10.320068027210883"/>
    <s v="August"/>
    <s v="Q3"/>
    <s v="Large"/>
  </r>
  <r>
    <s v="Beverie Moffet"/>
    <s v="Australia"/>
    <s v="Milk Bars"/>
    <x v="399"/>
    <n v="770.45"/>
    <n v="389"/>
    <n v="1.980591259640103"/>
    <s v="May"/>
    <s v="Q2"/>
    <s v="Large"/>
  </r>
  <r>
    <s v="Van Tuxwell"/>
    <s v="UK"/>
    <s v="Raspberry Choco"/>
    <x v="419"/>
    <n v="7623.35"/>
    <n v="80"/>
    <n v="95.291875000000005"/>
    <s v="March"/>
    <s v="Q1"/>
    <s v="Large"/>
  </r>
  <r>
    <s v="Jan Morforth"/>
    <s v="Australia"/>
    <s v="Orange Choco"/>
    <x v="345"/>
    <n v="3418.05"/>
    <n v="117"/>
    <n v="29.214102564102564"/>
    <s v="July"/>
    <s v="Q3"/>
    <s v="Large"/>
  </r>
  <r>
    <s v="Jehu Rudeforth"/>
    <s v="India"/>
    <s v="50% Dark Bites"/>
    <x v="361"/>
    <n v="4055.71"/>
    <n v="137"/>
    <n v="29.603722627737227"/>
    <s v="July"/>
    <s v="Q3"/>
    <s v="Large"/>
  </r>
  <r>
    <s v="Madelene Upcott"/>
    <s v="USA"/>
    <s v="After Nines"/>
    <x v="447"/>
    <n v="5432.84"/>
    <n v="450"/>
    <n v="12.072977777777778"/>
    <s v="March"/>
    <s v="Q1"/>
    <s v="Large"/>
  </r>
  <r>
    <s v="Barr Faughny"/>
    <s v="UK"/>
    <s v="Raspberry Choco"/>
    <x v="374"/>
    <n v="6016.8"/>
    <n v="71"/>
    <n v="84.743661971830988"/>
    <s v="August"/>
    <s v="Q3"/>
    <s v="Large"/>
  </r>
  <r>
    <s v="Ches Bonnell"/>
    <s v="Australia"/>
    <s v="70% Dark Bites"/>
    <x v="425"/>
    <n v="3609.76"/>
    <n v="122"/>
    <n v="29.588196721311476"/>
    <s v="January"/>
    <s v="Q1"/>
    <s v="Large"/>
  </r>
  <r>
    <s v="Marney O'Breen"/>
    <s v="UK"/>
    <s v="Baker's Choco Chips"/>
    <x v="375"/>
    <n v="302.25"/>
    <n v="154"/>
    <n v="1.9626623376623376"/>
    <s v="June"/>
    <s v="Q2"/>
    <s v="Small"/>
  </r>
  <r>
    <s v="Kaine Padly"/>
    <s v="Australia"/>
    <s v="Peanut Butter Cubes"/>
    <x v="448"/>
    <n v="6062.87"/>
    <n v="290"/>
    <n v="20.906448275862068"/>
    <s v="March"/>
    <s v="Q1"/>
    <s v="Large"/>
  </r>
  <r>
    <s v="Rafaelita Blaksland"/>
    <s v="India"/>
    <s v="Almond Choco"/>
    <x v="445"/>
    <n v="3589.91"/>
    <n v="106"/>
    <n v="33.867075471698115"/>
    <s v="July"/>
    <s v="Q3"/>
    <s v="Large"/>
  </r>
  <r>
    <s v="Husein Augar"/>
    <s v="UK"/>
    <s v="Caramel Stuffed Bars"/>
    <x v="371"/>
    <n v="16457.28"/>
    <n v="442"/>
    <n v="37.233665158371039"/>
    <s v="April"/>
    <s v="Q2"/>
    <s v="Large"/>
  </r>
  <r>
    <s v="Roddy Speechley"/>
    <s v="India"/>
    <s v="Orange Choco"/>
    <x v="355"/>
    <n v="4813.53"/>
    <n v="19"/>
    <n v="253.34368421052631"/>
    <s v="June"/>
    <s v="Q2"/>
    <s v="Large"/>
  </r>
  <r>
    <s v="Jehu Rudeforth"/>
    <s v="UK"/>
    <s v="70% Dark Bites"/>
    <x v="385"/>
    <n v="5819.17"/>
    <n v="270"/>
    <n v="21.552481481481482"/>
    <s v="April"/>
    <s v="Q2"/>
    <s v="Large"/>
  </r>
  <r>
    <s v="Husein Augar"/>
    <s v="Australia"/>
    <s v="Manuka Honey Choco"/>
    <x v="447"/>
    <n v="7824.91"/>
    <n v="100"/>
    <n v="78.249099999999999"/>
    <s v="March"/>
    <s v="Q1"/>
    <s v="Large"/>
  </r>
  <r>
    <s v="Madelene Upcott"/>
    <s v="USA"/>
    <s v="Eclairs"/>
    <x v="449"/>
    <n v="9446.67"/>
    <n v="193"/>
    <n v="48.946476683937824"/>
    <s v="March"/>
    <s v="Q1"/>
    <s v="Large"/>
  </r>
  <r>
    <s v="Brien Boise"/>
    <s v="India"/>
    <s v="Eclairs"/>
    <x v="430"/>
    <n v="1447.58"/>
    <n v="67"/>
    <n v="21.605671641791044"/>
    <s v="April"/>
    <s v="Q2"/>
    <s v="Large"/>
  </r>
  <r>
    <s v="Mallorie Waber"/>
    <s v="New Zealand"/>
    <s v="White Choc"/>
    <x v="411"/>
    <n v="3356.27"/>
    <n v="238"/>
    <n v="14.101974789915966"/>
    <s v="February"/>
    <s v="Q1"/>
    <s v="Large"/>
  </r>
  <r>
    <s v="Husein Augar"/>
    <s v="USA"/>
    <s v="Milk Bars"/>
    <x v="388"/>
    <n v="1031.25"/>
    <n v="55"/>
    <n v="18.75"/>
    <s v="March"/>
    <s v="Q1"/>
    <s v="Large"/>
  </r>
  <r>
    <s v="Van Tuxwell"/>
    <s v="Australia"/>
    <s v="Milk Bars"/>
    <x v="391"/>
    <n v="9471.51"/>
    <n v="95"/>
    <n v="99.700105263157894"/>
    <s v="June"/>
    <s v="Q2"/>
    <s v="Large"/>
  </r>
  <r>
    <s v="Beverie Moffet"/>
    <s v="Canada"/>
    <s v="White Choc"/>
    <x v="378"/>
    <n v="10573.29"/>
    <n v="179"/>
    <n v="59.068659217877098"/>
    <s v="July"/>
    <s v="Q3"/>
    <s v="Large"/>
  </r>
  <r>
    <s v="Dotty Strutley"/>
    <s v="Australia"/>
    <s v="50% Dark Bites"/>
    <x v="401"/>
    <n v="3321.9"/>
    <n v="247"/>
    <n v="13.448987854251012"/>
    <s v="May"/>
    <s v="Q2"/>
    <s v="Large"/>
  </r>
  <r>
    <s v="Mallorie Waber"/>
    <s v="New Zealand"/>
    <s v="Organic Choco Syrup"/>
    <x v="450"/>
    <n v="5318"/>
    <n v="281"/>
    <n v="18.92526690391459"/>
    <s v="July"/>
    <s v="Q3"/>
    <s v="Large"/>
  </r>
  <r>
    <s v="Husein Augar"/>
    <s v="USA"/>
    <s v="85% Dark Bars"/>
    <x v="451"/>
    <n v="415.67"/>
    <n v="59"/>
    <n v="7.0452542372881357"/>
    <s v="August"/>
    <s v="Q3"/>
    <s v="Small"/>
  </r>
  <r>
    <s v="Madelene Upcott"/>
    <s v="Australia"/>
    <s v="50% Dark Bites"/>
    <x v="426"/>
    <n v="8295.8799999999992"/>
    <n v="6"/>
    <n v="1382.6466666666665"/>
    <s v="July"/>
    <s v="Q3"/>
    <s v="Large"/>
  </r>
  <r>
    <s v="Wilone O'Kielt"/>
    <s v="UK"/>
    <s v="Drinking Coco"/>
    <x v="379"/>
    <n v="3857.25"/>
    <n v="54"/>
    <n v="71.430555555555557"/>
    <s v="May"/>
    <s v="Q2"/>
    <s v="Large"/>
  </r>
  <r>
    <s v="Camilla Castle"/>
    <s v="India"/>
    <s v="Peanut Butter Cubes"/>
    <x v="378"/>
    <n v="14102.83"/>
    <n v="291"/>
    <n v="48.463333333333331"/>
    <s v="July"/>
    <s v="Q3"/>
    <s v="Large"/>
  </r>
  <r>
    <s v="Curtice Advani"/>
    <s v="India"/>
    <s v="70% Dark Bites"/>
    <x v="361"/>
    <n v="2453.44"/>
    <n v="43"/>
    <n v="57.056744186046515"/>
    <s v="July"/>
    <s v="Q3"/>
    <s v="Large"/>
  </r>
  <r>
    <s v="Mallorie Waber"/>
    <s v="USA"/>
    <s v="Manuka Honey Choco"/>
    <x v="345"/>
    <n v="5910.67"/>
    <n v="100"/>
    <n v="59.106700000000004"/>
    <s v="July"/>
    <s v="Q3"/>
    <s v="Large"/>
  </r>
  <r>
    <s v="Dotty Strutley"/>
    <s v="UK"/>
    <s v="70% Dark Bites"/>
    <x v="391"/>
    <n v="1515.42"/>
    <n v="230"/>
    <n v="6.5887826086956522"/>
    <s v="June"/>
    <s v="Q2"/>
    <s v="Large"/>
  </r>
  <r>
    <s v="Gunar Cockshoot"/>
    <s v="Australia"/>
    <s v="Almond Choco"/>
    <x v="342"/>
    <n v="4498.05"/>
    <n v="464"/>
    <n v="9.6940732758620687"/>
    <s v="January"/>
    <s v="Q1"/>
    <s v="Large"/>
  </r>
  <r>
    <s v="Kaine Padly"/>
    <s v="New Zealand"/>
    <s v="Spicy Special Slims"/>
    <x v="450"/>
    <n v="8755.31"/>
    <n v="38"/>
    <n v="230.40289473684209"/>
    <s v="July"/>
    <s v="Q3"/>
    <s v="Large"/>
  </r>
  <r>
    <s v="Gigi Bohling"/>
    <s v="USA"/>
    <s v="50% Dark Bites"/>
    <x v="436"/>
    <n v="2651.48"/>
    <n v="60"/>
    <n v="44.191333333333333"/>
    <s v="April"/>
    <s v="Q2"/>
    <s v="Large"/>
  </r>
  <r>
    <s v="Beverie Moffet"/>
    <s v="UK"/>
    <s v="Smooth Sliky Salty"/>
    <x v="452"/>
    <n v="5119.3500000000004"/>
    <n v="77"/>
    <n v="66.485064935064941"/>
    <s v="May"/>
    <s v="Q2"/>
    <s v="Large"/>
  </r>
  <r>
    <s v="Beverie Moffet"/>
    <s v="Australia"/>
    <s v="Baker's Choco Chips"/>
    <x v="453"/>
    <n v="3360.74"/>
    <n v="119"/>
    <n v="28.241512605042015"/>
    <s v="August"/>
    <s v="Q3"/>
    <s v="Large"/>
  </r>
  <r>
    <s v="Beverie Moffet"/>
    <s v="India"/>
    <s v="70% Dark Bites"/>
    <x v="454"/>
    <n v="495.65"/>
    <n v="146"/>
    <n v="3.3948630136986302"/>
    <s v="June"/>
    <s v="Q2"/>
    <s v="Small"/>
  </r>
  <r>
    <s v="Jehu Rudeforth"/>
    <s v="UK"/>
    <s v="Choco Coated Almonds"/>
    <x v="455"/>
    <n v="5108.8500000000004"/>
    <n v="187"/>
    <n v="27.320053475935829"/>
    <s v="April"/>
    <s v="Q2"/>
    <s v="Large"/>
  </r>
  <r>
    <s v="Kaine Padly"/>
    <s v="USA"/>
    <s v="50% Dark Bites"/>
    <x v="349"/>
    <n v="77.099999999999994"/>
    <n v="26"/>
    <n v="2.9653846153846151"/>
    <s v="August"/>
    <s v="Q3"/>
    <s v="Small"/>
  </r>
  <r>
    <s v="Ches Bonnell"/>
    <s v="USA"/>
    <s v="Orange Choco"/>
    <x v="375"/>
    <n v="1860.29"/>
    <n v="71"/>
    <n v="26.201267605633802"/>
    <s v="June"/>
    <s v="Q2"/>
    <s v="Large"/>
  </r>
  <r>
    <s v="Gunar Cockshoot"/>
    <s v="UK"/>
    <s v="Manuka Honey Choco"/>
    <x v="355"/>
    <n v="7917.76"/>
    <n v="50"/>
    <n v="158.3552"/>
    <s v="June"/>
    <s v="Q2"/>
    <s v="Large"/>
  </r>
  <r>
    <s v="Marney O'Breen"/>
    <s v="Australia"/>
    <s v="Smooth Sliky Salty"/>
    <x v="403"/>
    <n v="4059.92"/>
    <n v="179"/>
    <n v="22.681117318435753"/>
    <s v="January"/>
    <s v="Q1"/>
    <s v="Large"/>
  </r>
  <r>
    <s v="Marney O'Breen"/>
    <s v="India"/>
    <s v="After Nines"/>
    <x v="372"/>
    <n v="2816.85"/>
    <n v="188"/>
    <n v="14.983244680851064"/>
    <s v="July"/>
    <s v="Q3"/>
    <s v="Large"/>
  </r>
  <r>
    <s v="Ches Bonnell"/>
    <s v="New Zealand"/>
    <s v="Milk Bars"/>
    <x v="456"/>
    <n v="5306.48"/>
    <n v="128"/>
    <n v="41.456874999999997"/>
    <s v="August"/>
    <s v="Q3"/>
    <s v="Large"/>
  </r>
  <r>
    <s v="Rafaelita Blaksland"/>
    <s v="USA"/>
    <s v="Fruit &amp; Nut Bars"/>
    <x v="429"/>
    <n v="2756.63"/>
    <n v="66"/>
    <n v="41.767121212121211"/>
    <s v="January"/>
    <s v="Q1"/>
    <s v="Large"/>
  </r>
  <r>
    <s v="Ches Bonnell"/>
    <s v="India"/>
    <s v="Organic Choco Syrup"/>
    <x v="457"/>
    <n v="17903.7"/>
    <n v="107"/>
    <n v="167.32429906542058"/>
    <s v="March"/>
    <s v="Q1"/>
    <s v="Large"/>
  </r>
  <r>
    <s v="Mallorie Waber"/>
    <s v="Australia"/>
    <s v="Orange Choco"/>
    <x v="402"/>
    <n v="15825.08"/>
    <n v="284"/>
    <n v="55.722112676056341"/>
    <s v="March"/>
    <s v="Q1"/>
    <s v="Large"/>
  </r>
  <r>
    <s v="Husein Augar"/>
    <s v="India"/>
    <s v="70% Dark Bites"/>
    <x v="458"/>
    <n v="7745.33"/>
    <n v="164"/>
    <n v="47.227621951219511"/>
    <s v="May"/>
    <s v="Q2"/>
    <s v="Large"/>
  </r>
  <r>
    <s v="Barr Faughny"/>
    <s v="New Zealand"/>
    <s v="85% Dark Bars"/>
    <x v="459"/>
    <n v="2214.91"/>
    <n v="161"/>
    <n v="13.757204968944098"/>
    <s v="May"/>
    <s v="Q2"/>
    <s v="Large"/>
  </r>
  <r>
    <s v="Madelene Upcott"/>
    <s v="UK"/>
    <s v="Caramel Stuffed Bars"/>
    <x v="371"/>
    <n v="190.24"/>
    <n v="156"/>
    <n v="1.2194871794871796"/>
    <s v="April"/>
    <s v="Q2"/>
    <s v="Small"/>
  </r>
  <r>
    <s v="Gigi Bohling"/>
    <s v="Australia"/>
    <s v="Drinking Coco"/>
    <x v="445"/>
    <n v="2960"/>
    <n v="141"/>
    <n v="20.99290780141844"/>
    <s v="July"/>
    <s v="Q3"/>
    <s v="Large"/>
  </r>
  <r>
    <s v="Marney O'Breen"/>
    <s v="Canada"/>
    <s v="Choco Coated Almonds"/>
    <x v="374"/>
    <n v="2937.62"/>
    <n v="389"/>
    <n v="7.5517223650385601"/>
    <s v="August"/>
    <s v="Q3"/>
    <s v="Large"/>
  </r>
  <r>
    <s v="Ches Bonnell"/>
    <s v="USA"/>
    <s v="70% Dark Bites"/>
    <x v="365"/>
    <n v="4778.3599999999997"/>
    <n v="124"/>
    <n v="38.535161290322577"/>
    <s v="May"/>
    <s v="Q2"/>
    <s v="Large"/>
  </r>
  <r>
    <s v="Madelene Upcott"/>
    <s v="India"/>
    <s v="Organic Choco Syrup"/>
    <x v="350"/>
    <n v="5401.01"/>
    <n v="41"/>
    <n v="131.73195121951221"/>
    <s v="January"/>
    <s v="Q1"/>
    <s v="Large"/>
  </r>
  <r>
    <s v="Barr Faughny"/>
    <s v="USA"/>
    <s v="50% Dark Bites"/>
    <x v="385"/>
    <n v="15372.94"/>
    <n v="124"/>
    <n v="123.97532258064517"/>
    <s v="April"/>
    <s v="Q2"/>
    <s v="Large"/>
  </r>
  <r>
    <s v="Dennison Crosswaite"/>
    <s v="New Zealand"/>
    <s v="Mint Chip Choco"/>
    <x v="352"/>
    <n v="7121.02"/>
    <n v="433"/>
    <n v="16.445773672055427"/>
    <s v="April"/>
    <s v="Q2"/>
    <s v="Large"/>
  </r>
  <r>
    <s v="Marney O'Breen"/>
    <s v="New Zealand"/>
    <s v="Smooth Sliky Salty"/>
    <x v="443"/>
    <n v="9057.64"/>
    <n v="56"/>
    <n v="161.74357142857141"/>
    <s v="June"/>
    <s v="Q2"/>
    <s v="Large"/>
  </r>
  <r>
    <s v="Brien Boise"/>
    <s v="Canada"/>
    <s v="Almond Choco"/>
    <x v="436"/>
    <n v="5439.43"/>
    <n v="125"/>
    <n v="43.515440000000005"/>
    <s v="April"/>
    <s v="Q2"/>
    <s v="Large"/>
  </r>
  <r>
    <s v="Beverie Moffet"/>
    <s v="Australia"/>
    <s v="White Choc"/>
    <x v="355"/>
    <n v="2659.78"/>
    <n v="178"/>
    <n v="14.942584269662923"/>
    <s v="June"/>
    <s v="Q2"/>
    <s v="Large"/>
  </r>
  <r>
    <s v="Dotty Strutley"/>
    <s v="Australia"/>
    <s v="Eclairs"/>
    <x v="350"/>
    <n v="7897.59"/>
    <n v="3"/>
    <n v="2632.53"/>
    <s v="January"/>
    <s v="Q1"/>
    <s v="Large"/>
  </r>
  <r>
    <s v="Barr Faughny"/>
    <s v="UK"/>
    <s v="White Choc"/>
    <x v="361"/>
    <n v="1959.22"/>
    <n v="70"/>
    <n v="27.988857142857142"/>
    <s v="July"/>
    <s v="Q3"/>
    <s v="Large"/>
  </r>
  <r>
    <s v="Beverie Moffet"/>
    <s v="Canada"/>
    <s v="Baker's Choco Chips"/>
    <x v="460"/>
    <n v="15305.32"/>
    <n v="91"/>
    <n v="168.19032967032967"/>
    <s v="January"/>
    <s v="Q1"/>
    <s v="Large"/>
  </r>
  <r>
    <s v="Kelci Walkden"/>
    <s v="USA"/>
    <s v="White Choc"/>
    <x v="402"/>
    <n v="11257.11"/>
    <n v="21"/>
    <n v="536.05285714285719"/>
    <s v="March"/>
    <s v="Q1"/>
    <s v="Large"/>
  </r>
  <r>
    <s v="Kaine Padly"/>
    <s v="Canada"/>
    <s v="50% Dark Bites"/>
    <x v="408"/>
    <n v="9207.09"/>
    <n v="109"/>
    <n v="84.46871559633027"/>
    <s v="March"/>
    <s v="Q1"/>
    <s v="Large"/>
  </r>
  <r>
    <s v="Karlen McCaffrey"/>
    <s v="Canada"/>
    <s v="Organic Choco Syrup"/>
    <x v="378"/>
    <n v="2769.94"/>
    <n v="302"/>
    <n v="9.1719867549668876"/>
    <s v="July"/>
    <s v="Q3"/>
    <s v="Large"/>
  </r>
  <r>
    <s v="Kaine Padly"/>
    <s v="UK"/>
    <s v="Peanut Butter Cubes"/>
    <x v="365"/>
    <n v="7477.56"/>
    <n v="85"/>
    <n v="87.971294117647062"/>
    <s v="May"/>
    <s v="Q2"/>
    <s v="Large"/>
  </r>
  <r>
    <s v="Karlen McCaffrey"/>
    <s v="USA"/>
    <s v="Milk Bars"/>
    <x v="395"/>
    <n v="5231.54"/>
    <n v="8"/>
    <n v="653.9425"/>
    <s v="January"/>
    <s v="Q1"/>
    <s v="Large"/>
  </r>
  <r>
    <s v="Karlen McCaffrey"/>
    <s v="India"/>
    <s v="Orange Choco"/>
    <x v="355"/>
    <n v="3745.21"/>
    <n v="161"/>
    <n v="23.26217391304348"/>
    <s v="June"/>
    <s v="Q2"/>
    <s v="Large"/>
  </r>
  <r>
    <s v="Ches Bonnell"/>
    <s v="India"/>
    <s v="Smooth Sliky Salty"/>
    <x v="349"/>
    <n v="8503.93"/>
    <n v="19"/>
    <n v="447.57526315789477"/>
    <s v="August"/>
    <s v="Q3"/>
    <s v="Large"/>
  </r>
  <r>
    <s v="Wilone O'Kielt"/>
    <s v="New Zealand"/>
    <s v="Mint Chip Choco"/>
    <x v="461"/>
    <n v="12524.3"/>
    <n v="251"/>
    <n v="49.897609561752986"/>
    <s v="August"/>
    <s v="Q3"/>
    <s v="Large"/>
  </r>
  <r>
    <s v="Wilone O'Kielt"/>
    <s v="Australia"/>
    <s v="Fruit &amp; Nut Bars"/>
    <x v="362"/>
    <n v="472.27"/>
    <n v="101"/>
    <n v="4.6759405940594059"/>
    <s v="June"/>
    <s v="Q2"/>
    <s v="Small"/>
  </r>
  <r>
    <s v="Dennison Crosswaite"/>
    <s v="UK"/>
    <s v="Peanut Butter Cubes"/>
    <x v="400"/>
    <n v="9771.8700000000008"/>
    <n v="158"/>
    <n v="61.847278481012665"/>
    <s v="February"/>
    <s v="Q1"/>
    <s v="Large"/>
  </r>
  <r>
    <s v="Karlen McCaffrey"/>
    <s v="Australia"/>
    <s v="Almond Choco"/>
    <x v="387"/>
    <n v="8130.06"/>
    <n v="140"/>
    <n v="58.071857142857148"/>
    <s v="July"/>
    <s v="Q3"/>
    <s v="Large"/>
  </r>
  <r>
    <s v="Dennison Crosswaite"/>
    <s v="India"/>
    <s v="Milk Bars"/>
    <x v="462"/>
    <n v="1624.06"/>
    <n v="96"/>
    <n v="16.917291666666667"/>
    <s v="April"/>
    <s v="Q2"/>
    <s v="Large"/>
  </r>
  <r>
    <s v="Ches Bonnell"/>
    <s v="UK"/>
    <s v="Mint Chip Choco"/>
    <x v="406"/>
    <n v="2984.4"/>
    <n v="214"/>
    <n v="13.945794392523364"/>
    <s v="April"/>
    <s v="Q2"/>
    <s v="Large"/>
  </r>
  <r>
    <s v="Husein Augar"/>
    <s v="Australia"/>
    <s v="50% Dark Bites"/>
    <x v="461"/>
    <n v="15593.5"/>
    <n v="56"/>
    <n v="278.45535714285717"/>
    <s v="August"/>
    <s v="Q3"/>
    <s v="Large"/>
  </r>
  <r>
    <s v="Jan Morforth"/>
    <s v="India"/>
    <s v="Fruit &amp; Nut Bars"/>
    <x v="452"/>
    <n v="3387.76"/>
    <n v="60"/>
    <n v="56.462666666666671"/>
    <s v="May"/>
    <s v="Q2"/>
    <s v="Large"/>
  </r>
  <r>
    <s v="Mallorie Waber"/>
    <s v="USA"/>
    <s v="85% Dark Bars"/>
    <x v="365"/>
    <n v="2847.18"/>
    <n v="115"/>
    <n v="24.758086956521737"/>
    <s v="May"/>
    <s v="Q2"/>
    <s v="Large"/>
  </r>
  <r>
    <s v="Mallorie Waber"/>
    <s v="USA"/>
    <s v="Eclairs"/>
    <x v="463"/>
    <n v="7511.77"/>
    <n v="49"/>
    <n v="153.30142857142857"/>
    <s v="March"/>
    <s v="Q1"/>
    <s v="Large"/>
  </r>
  <r>
    <s v="Dennison Crosswaite"/>
    <s v="Canada"/>
    <s v="Spicy Special Slims"/>
    <x v="386"/>
    <n v="2711.58"/>
    <n v="216"/>
    <n v="12.553611111111111"/>
    <s v="August"/>
    <s v="Q3"/>
    <s v="Large"/>
  </r>
  <r>
    <s v="Dennison Crosswaite"/>
    <s v="USA"/>
    <s v="Fruit &amp; Nut Bars"/>
    <x v="452"/>
    <n v="1673.44"/>
    <n v="314"/>
    <n v="5.329426751592357"/>
    <s v="May"/>
    <s v="Q2"/>
    <s v="Large"/>
  </r>
  <r>
    <s v="Kelci Walkden"/>
    <s v="USA"/>
    <s v="99% Dark &amp; Pure"/>
    <x v="397"/>
    <n v="8853.16"/>
    <n v="261"/>
    <n v="33.920153256704978"/>
    <s v="August"/>
    <s v="Q3"/>
    <s v="Large"/>
  </r>
  <r>
    <s v="Dotty Strutley"/>
    <s v="Canada"/>
    <s v="Raspberry Choco"/>
    <x v="349"/>
    <n v="4722.3900000000003"/>
    <n v="258"/>
    <n v="18.303837209302326"/>
    <s v="August"/>
    <s v="Q3"/>
    <s v="Large"/>
  </r>
  <r>
    <s v="Marney O'Breen"/>
    <s v="New Zealand"/>
    <s v="Milk Bars"/>
    <x v="438"/>
    <n v="8408.1200000000008"/>
    <n v="318"/>
    <n v="26.440628930817613"/>
    <s v="January"/>
    <s v="Q1"/>
    <s v="Large"/>
  </r>
  <r>
    <s v="Madelene Upcott"/>
    <s v="Australia"/>
    <s v="Choco Coated Almonds"/>
    <x v="406"/>
    <n v="2442.36"/>
    <n v="78"/>
    <n v="31.312307692307694"/>
    <s v="April"/>
    <s v="Q2"/>
    <s v="Large"/>
  </r>
  <r>
    <s v="Kelci Walkden"/>
    <s v="UK"/>
    <s v="Orange Choco"/>
    <x v="337"/>
    <n v="4010.08"/>
    <n v="3"/>
    <n v="1336.6933333333334"/>
    <s v="August"/>
    <s v="Q3"/>
    <s v="Large"/>
  </r>
  <r>
    <s v="Dennison Crosswaite"/>
    <s v="Canada"/>
    <s v="Eclairs"/>
    <x v="447"/>
    <n v="492.21"/>
    <n v="45"/>
    <n v="10.937999999999999"/>
    <s v="March"/>
    <s v="Q1"/>
    <s v="Small"/>
  </r>
  <r>
    <s v="Karlen McCaffrey"/>
    <s v="India"/>
    <s v="Mint Chip Choco"/>
    <x v="378"/>
    <n v="11650.88"/>
    <n v="192"/>
    <n v="60.681666666666665"/>
    <s v="July"/>
    <s v="Q3"/>
    <s v="Large"/>
  </r>
  <r>
    <s v="Barr Faughny"/>
    <s v="New Zealand"/>
    <s v="Almond Choco"/>
    <x v="346"/>
    <n v="6426.04"/>
    <n v="132"/>
    <n v="48.68212121212121"/>
    <s v="January"/>
    <s v="Q1"/>
    <s v="Large"/>
  </r>
  <r>
    <s v="Mallorie Waber"/>
    <s v="Australia"/>
    <s v="85% Dark Bars"/>
    <x v="392"/>
    <n v="2665.28"/>
    <n v="54"/>
    <n v="49.357037037037038"/>
    <s v="August"/>
    <s v="Q3"/>
    <s v="Large"/>
  </r>
  <r>
    <s v="Ches Bonnell"/>
    <s v="Canada"/>
    <s v="Eclairs"/>
    <x v="389"/>
    <n v="2048.58"/>
    <n v="170"/>
    <n v="12.050470588235294"/>
    <s v="January"/>
    <s v="Q1"/>
    <s v="Large"/>
  </r>
  <r>
    <s v="Gigi Bohling"/>
    <s v="Australia"/>
    <s v="White Choc"/>
    <x v="365"/>
    <n v="6267.19"/>
    <n v="83"/>
    <n v="75.508313253012048"/>
    <s v="May"/>
    <s v="Q2"/>
    <s v="Large"/>
  </r>
  <r>
    <s v="Beverie Moffet"/>
    <s v="New Zealand"/>
    <s v="85% Dark Bars"/>
    <x v="464"/>
    <n v="12886.26"/>
    <n v="21"/>
    <n v="613.63142857142861"/>
    <s v="August"/>
    <s v="Q3"/>
    <s v="Large"/>
  </r>
  <r>
    <s v="Kaine Padly"/>
    <s v="USA"/>
    <s v="Caramel Stuffed Bars"/>
    <x v="465"/>
    <n v="6143.64"/>
    <n v="117"/>
    <n v="52.509743589743593"/>
    <s v="July"/>
    <s v="Q3"/>
    <s v="Large"/>
  </r>
  <r>
    <s v="Mallorie Waber"/>
    <s v="Australia"/>
    <s v="Almond Choco"/>
    <x v="337"/>
    <n v="8273.83"/>
    <n v="130"/>
    <n v="63.644846153846153"/>
    <s v="August"/>
    <s v="Q3"/>
    <s v="Large"/>
  </r>
  <r>
    <s v="Brien Boise"/>
    <s v="Canada"/>
    <s v="85% Dark Bars"/>
    <x v="356"/>
    <n v="12163.59"/>
    <n v="264"/>
    <n v="46.074204545454549"/>
    <s v="February"/>
    <s v="Q1"/>
    <s v="Large"/>
  </r>
  <r>
    <s v="Brien Boise"/>
    <s v="Australia"/>
    <s v="Drinking Coco"/>
    <x v="445"/>
    <n v="7192.41"/>
    <n v="159"/>
    <n v="45.235283018867925"/>
    <s v="July"/>
    <s v="Q3"/>
    <s v="Large"/>
  </r>
  <r>
    <s v="Dotty Strutley"/>
    <s v="USA"/>
    <s v="Orange Choco"/>
    <x v="373"/>
    <n v="1452.94"/>
    <n v="112"/>
    <n v="12.972678571428572"/>
    <s v="February"/>
    <s v="Q1"/>
    <s v="Large"/>
  </r>
  <r>
    <s v="Rafaelita Blaksland"/>
    <s v="Australia"/>
    <s v="50% Dark Bites"/>
    <x v="463"/>
    <n v="3375.83"/>
    <n v="41"/>
    <n v="82.337317073170723"/>
    <s v="March"/>
    <s v="Q1"/>
    <s v="Large"/>
  </r>
  <r>
    <s v="Dennison Crosswaite"/>
    <s v="India"/>
    <s v="99% Dark &amp; Pure"/>
    <x v="466"/>
    <n v="8328.7999999999993"/>
    <n v="327"/>
    <n v="25.470336391437307"/>
    <s v="June"/>
    <s v="Q2"/>
    <s v="Large"/>
  </r>
  <r>
    <s v="Curtice Advani"/>
    <s v="UK"/>
    <s v="White Choc"/>
    <x v="467"/>
    <n v="1634.54"/>
    <n v="70"/>
    <n v="23.350571428571428"/>
    <s v="February"/>
    <s v="Q1"/>
    <s v="Large"/>
  </r>
  <r>
    <s v="Kelci Walkden"/>
    <s v="Australia"/>
    <s v="After Nines"/>
    <x v="388"/>
    <n v="8265.41"/>
    <n v="298"/>
    <n v="27.736275167785234"/>
    <s v="March"/>
    <s v="Q1"/>
    <s v="Large"/>
  </r>
  <r>
    <s v="Gigi Bohling"/>
    <s v="UK"/>
    <s v="Fruit &amp; Nut Bars"/>
    <x v="417"/>
    <n v="1448.1"/>
    <n v="92"/>
    <n v="15.740217391304347"/>
    <s v="April"/>
    <s v="Q2"/>
    <s v="Large"/>
  </r>
  <r>
    <s v="Gunar Cockshoot"/>
    <s v="Australia"/>
    <s v="Raspberry Choco"/>
    <x v="439"/>
    <n v="709.53"/>
    <n v="77"/>
    <n v="9.2146753246753246"/>
    <s v="March"/>
    <s v="Q1"/>
    <s v="Large"/>
  </r>
  <r>
    <s v="Curtice Advani"/>
    <s v="UK"/>
    <s v="Fruit &amp; Nut Bars"/>
    <x v="468"/>
    <n v="12197.19"/>
    <n v="135"/>
    <n v="90.349555555555554"/>
    <s v="June"/>
    <s v="Q2"/>
    <s v="Large"/>
  </r>
  <r>
    <s v="Barr Faughny"/>
    <s v="Canada"/>
    <s v="50% Dark Bites"/>
    <x v="376"/>
    <n v="10917.59"/>
    <n v="302"/>
    <n v="36.150960264900661"/>
    <s v="July"/>
    <s v="Q3"/>
    <s v="Large"/>
  </r>
  <r>
    <s v="Curtice Advani"/>
    <s v="USA"/>
    <s v="Spicy Special Slims"/>
    <x v="372"/>
    <n v="1679.89"/>
    <n v="287"/>
    <n v="5.8532752613240424"/>
    <s v="July"/>
    <s v="Q3"/>
    <s v="Large"/>
  </r>
  <r>
    <s v="Brien Boise"/>
    <s v="India"/>
    <s v="Almond Choco"/>
    <x v="346"/>
    <n v="2303.17"/>
    <n v="225"/>
    <n v="10.236311111111112"/>
    <s v="January"/>
    <s v="Q1"/>
    <s v="Large"/>
  </r>
  <r>
    <s v="Oby Sorrel"/>
    <s v="New Zealand"/>
    <s v="Smooth Sliky Salty"/>
    <x v="338"/>
    <n v="9261.26"/>
    <n v="65"/>
    <n v="142.48092307692309"/>
    <s v="July"/>
    <s v="Q3"/>
    <s v="Large"/>
  </r>
  <r>
    <s v="Jan Morforth"/>
    <s v="India"/>
    <s v="85% Dark Bars"/>
    <x v="399"/>
    <n v="5252.8"/>
    <n v="415"/>
    <n v="12.657349397590362"/>
    <s v="May"/>
    <s v="Q2"/>
    <s v="Large"/>
  </r>
  <r>
    <s v="Marney O'Breen"/>
    <s v="India"/>
    <s v="Fruit &amp; Nut Bars"/>
    <x v="436"/>
    <n v="5385.55"/>
    <n v="161"/>
    <n v="33.450621118012421"/>
    <s v="April"/>
    <s v="Q2"/>
    <s v="Large"/>
  </r>
  <r>
    <s v="Andria Kimpton"/>
    <s v="New Zealand"/>
    <s v="50% Dark Bites"/>
    <x v="388"/>
    <n v="3741.19"/>
    <n v="222"/>
    <n v="16.852207207207208"/>
    <s v="March"/>
    <s v="Q1"/>
    <s v="Large"/>
  </r>
  <r>
    <s v="Gunar Cockshoot"/>
    <s v="Canada"/>
    <s v="Raspberry Choco"/>
    <x v="466"/>
    <n v="2223.4899999999998"/>
    <n v="127"/>
    <n v="17.507795275590549"/>
    <s v="June"/>
    <s v="Q2"/>
    <s v="Large"/>
  </r>
  <r>
    <s v="Kelci Walkden"/>
    <s v="USA"/>
    <s v="Drinking Coco"/>
    <x v="404"/>
    <n v="7720.37"/>
    <n v="156"/>
    <n v="49.489551282051281"/>
    <s v="July"/>
    <s v="Q3"/>
    <s v="Large"/>
  </r>
  <r>
    <s v="Van Tuxwell"/>
    <s v="Canada"/>
    <s v="White Choc"/>
    <x v="463"/>
    <n v="468.09"/>
    <n v="3"/>
    <n v="156.03"/>
    <s v="March"/>
    <s v="Q1"/>
    <s v="Small"/>
  </r>
  <r>
    <s v="Rafaelita Blaksland"/>
    <s v="USA"/>
    <s v="Baker's Choco Chips"/>
    <x v="469"/>
    <n v="3083.39"/>
    <n v="55"/>
    <n v="56.06163636363636"/>
    <s v="June"/>
    <s v="Q2"/>
    <s v="Large"/>
  </r>
  <r>
    <s v="Van Tuxwell"/>
    <s v="Australia"/>
    <s v="Caramel Stuffed Bars"/>
    <x v="470"/>
    <n v="6898.94"/>
    <n v="58"/>
    <n v="118.94724137931034"/>
    <s v="May"/>
    <s v="Q2"/>
    <s v="Large"/>
  </r>
  <r>
    <s v="Ches Bonnell"/>
    <s v="New Zealand"/>
    <s v="Peanut Butter Cubes"/>
    <x v="408"/>
    <n v="1036.05"/>
    <n v="291"/>
    <n v="3.5603092783505152"/>
    <s v="March"/>
    <s v="Q1"/>
    <s v="Large"/>
  </r>
  <r>
    <s v="Kelci Walkden"/>
    <s v="Canada"/>
    <s v="Milk Bars"/>
    <x v="338"/>
    <n v="17518.04"/>
    <n v="28"/>
    <n v="625.64428571428573"/>
    <s v="July"/>
    <s v="Q3"/>
    <s v="Large"/>
  </r>
  <r>
    <s v="Dennison Crosswaite"/>
    <s v="Canada"/>
    <s v="Choco Coated Almonds"/>
    <x v="346"/>
    <n v="11691.86"/>
    <n v="128"/>
    <n v="91.342656250000005"/>
    <s v="January"/>
    <s v="Q1"/>
    <s v="Large"/>
  </r>
  <r>
    <s v="Curtice Advani"/>
    <s v="Australia"/>
    <s v="Almond Choco"/>
    <x v="393"/>
    <n v="3136.53"/>
    <n v="74"/>
    <n v="42.385540540540546"/>
    <s v="July"/>
    <s v="Q3"/>
    <s v="Large"/>
  </r>
  <r>
    <s v="Madelene Upcott"/>
    <s v="Australia"/>
    <s v="85% Dark Bars"/>
    <x v="422"/>
    <n v="1677.71"/>
    <n v="325"/>
    <n v="5.1621846153846151"/>
    <s v="June"/>
    <s v="Q2"/>
    <s v="Large"/>
  </r>
  <r>
    <s v="Gigi Bohling"/>
    <s v="UK"/>
    <s v="50% Dark Bites"/>
    <x v="471"/>
    <n v="8937.3700000000008"/>
    <n v="66"/>
    <n v="135.41469696969699"/>
    <s v="July"/>
    <s v="Q3"/>
    <s v="Large"/>
  </r>
  <r>
    <s v="Ches Bonnell"/>
    <s v="UK"/>
    <s v="Manuka Honey Choco"/>
    <x v="357"/>
    <n v="4761.38"/>
    <n v="406"/>
    <n v="11.727536945812808"/>
    <s v="May"/>
    <s v="Q2"/>
    <s v="Large"/>
  </r>
  <r>
    <s v="Gigi Bohling"/>
    <s v="UK"/>
    <s v="70% Dark Bites"/>
    <x v="472"/>
    <n v="942.02"/>
    <n v="84"/>
    <n v="11.21452380952381"/>
    <s v="June"/>
    <s v="Q2"/>
    <s v="Large"/>
  </r>
  <r>
    <s v="Jehu Rudeforth"/>
    <s v="Australia"/>
    <s v="Peanut Butter Cubes"/>
    <x v="468"/>
    <n v="6623.03"/>
    <n v="39"/>
    <n v="169.82128205128205"/>
    <s v="June"/>
    <s v="Q2"/>
    <s v="Large"/>
  </r>
  <r>
    <s v="Marney O'Breen"/>
    <s v="India"/>
    <s v="Eclairs"/>
    <x v="346"/>
    <n v="4067.36"/>
    <n v="94"/>
    <n v="43.269787234042553"/>
    <s v="January"/>
    <s v="Q1"/>
    <s v="Large"/>
  </r>
  <r>
    <s v="Curtice Advani"/>
    <s v="Canada"/>
    <s v="Fruit &amp; Nut Bars"/>
    <x v="428"/>
    <n v="4712.55"/>
    <n v="211"/>
    <n v="22.334360189573459"/>
    <s v="April"/>
    <s v="Q2"/>
    <s v="Large"/>
  </r>
  <r>
    <s v="Kaine Padly"/>
    <s v="UK"/>
    <s v="Smooth Sliky Salty"/>
    <x v="354"/>
    <n v="9571.2999999999993"/>
    <n v="594"/>
    <n v="16.113299663299664"/>
    <s v="June"/>
    <s v="Q2"/>
    <s v="Large"/>
  </r>
  <r>
    <s v="Karlen McCaffrey"/>
    <s v="Canada"/>
    <s v="Spicy Special Slims"/>
    <x v="409"/>
    <n v="6779.99"/>
    <n v="46"/>
    <n v="147.39108695652175"/>
    <s v="August"/>
    <s v="Q3"/>
    <s v="Large"/>
  </r>
  <r>
    <s v="Kelci Walkden"/>
    <s v="USA"/>
    <s v="Organic Choco Syrup"/>
    <x v="465"/>
    <n v="10772.46"/>
    <n v="150"/>
    <n v="71.816399999999987"/>
    <s v="July"/>
    <s v="Q3"/>
    <s v="Large"/>
  </r>
  <r>
    <s v="Curtice Advani"/>
    <s v="India"/>
    <s v="Spicy Special Slims"/>
    <x v="391"/>
    <n v="189.34"/>
    <n v="140"/>
    <n v="1.3524285714285715"/>
    <s v="June"/>
    <s v="Q2"/>
    <s v="Small"/>
  </r>
  <r>
    <s v="Roddy Speechley"/>
    <s v="India"/>
    <s v="After Nines"/>
    <x v="473"/>
    <n v="3015.47"/>
    <n v="115"/>
    <n v="26.221478260869564"/>
    <s v="June"/>
    <s v="Q2"/>
    <s v="Large"/>
  </r>
  <r>
    <s v="Camilla Castle"/>
    <s v="Australia"/>
    <s v="Caramel Stuffed Bars"/>
    <x v="474"/>
    <n v="3538.27"/>
    <n v="16"/>
    <n v="221.141875"/>
    <s v="May"/>
    <s v="Q2"/>
    <s v="Large"/>
  </r>
  <r>
    <s v="Curtice Advani"/>
    <s v="Australia"/>
    <s v="99% Dark &amp; Pure"/>
    <x v="437"/>
    <n v="5196.97"/>
    <n v="87"/>
    <n v="59.735287356321841"/>
    <s v="January"/>
    <s v="Q1"/>
    <s v="Large"/>
  </r>
  <r>
    <s v="Mallorie Waber"/>
    <s v="UK"/>
    <s v="50% Dark Bites"/>
    <x v="420"/>
    <n v="6654.14"/>
    <n v="102"/>
    <n v="65.236666666666665"/>
    <s v="February"/>
    <s v="Q1"/>
    <s v="Large"/>
  </r>
  <r>
    <s v="Ches Bonnell"/>
    <s v="Canada"/>
    <s v="Baker's Choco Chips"/>
    <x v="475"/>
    <n v="8639.19"/>
    <n v="402"/>
    <n v="21.490522388059702"/>
    <s v="March"/>
    <s v="Q1"/>
    <s v="Large"/>
  </r>
  <r>
    <s v="Van Tuxwell"/>
    <s v="UK"/>
    <s v="Drinking Coco"/>
    <x v="428"/>
    <n v="6397.05"/>
    <n v="136"/>
    <n v="47.037132352941178"/>
    <s v="April"/>
    <s v="Q2"/>
    <s v="Large"/>
  </r>
  <r>
    <s v="Gunar Cockshoot"/>
    <s v="Canada"/>
    <s v="Fruit &amp; Nut Bars"/>
    <x v="343"/>
    <n v="14596.37"/>
    <n v="196"/>
    <n v="74.47127551020408"/>
    <s v="March"/>
    <s v="Q1"/>
    <s v="Large"/>
  </r>
  <r>
    <s v="Gunar Cockshoot"/>
    <s v="New Zealand"/>
    <s v="Spicy Special Slims"/>
    <x v="380"/>
    <n v="7712.91"/>
    <n v="192"/>
    <n v="40.171406249999997"/>
    <s v="June"/>
    <s v="Q2"/>
    <s v="Large"/>
  </r>
  <r>
    <s v="Gunar Cockshoot"/>
    <s v="Australia"/>
    <s v="Drinking Coco"/>
    <x v="438"/>
    <n v="2456.77"/>
    <n v="188"/>
    <n v="13.067925531914893"/>
    <s v="January"/>
    <s v="Q1"/>
    <s v="Large"/>
  </r>
  <r>
    <s v="Karlen McCaffrey"/>
    <s v="New Zealand"/>
    <s v="Fruit &amp; Nut Bars"/>
    <x v="400"/>
    <n v="1435.27"/>
    <n v="138"/>
    <n v="10.400507246376812"/>
    <s v="February"/>
    <s v="Q1"/>
    <s v="Large"/>
  </r>
  <r>
    <s v="Dennison Crosswaite"/>
    <s v="New Zealand"/>
    <s v="Drinking Coco"/>
    <x v="460"/>
    <n v="4324.4799999999996"/>
    <n v="202"/>
    <n v="21.408316831683166"/>
    <s v="January"/>
    <s v="Q1"/>
    <s v="Large"/>
  </r>
  <r>
    <s v="Jehu Rudeforth"/>
    <s v="India"/>
    <s v="99% Dark &amp; Pure"/>
    <x v="411"/>
    <n v="2207.7600000000002"/>
    <n v="247"/>
    <n v="8.9382995951417019"/>
    <s v="February"/>
    <s v="Q1"/>
    <s v="Large"/>
  </r>
  <r>
    <s v="Dotty Strutley"/>
    <s v="Australia"/>
    <s v="Mint Chip Choco"/>
    <x v="337"/>
    <n v="7571.51"/>
    <n v="26"/>
    <n v="291.21192307692309"/>
    <s v="August"/>
    <s v="Q3"/>
    <s v="Large"/>
  </r>
  <r>
    <s v="Roddy Speechley"/>
    <s v="Australia"/>
    <s v="Mint Chip Choco"/>
    <x v="476"/>
    <n v="7189.76"/>
    <n v="262"/>
    <n v="27.441832061068702"/>
    <s v="May"/>
    <s v="Q2"/>
    <s v="Large"/>
  </r>
  <r>
    <s v="Madelene Upcott"/>
    <s v="New Zealand"/>
    <s v="Raspberry Choco"/>
    <x v="379"/>
    <n v="10858.21"/>
    <n v="451"/>
    <n v="24.075853658536584"/>
    <s v="May"/>
    <s v="Q2"/>
    <s v="Large"/>
  </r>
  <r>
    <s v="Dotty Strutley"/>
    <s v="New Zealand"/>
    <s v="Choco Coated Almonds"/>
    <x v="336"/>
    <n v="6524.65"/>
    <n v="369"/>
    <n v="17.681978319783198"/>
    <s v="January"/>
    <s v="Q1"/>
    <s v="Large"/>
  </r>
  <r>
    <s v="Roddy Speechley"/>
    <s v="New Zealand"/>
    <s v="50% Dark Bites"/>
    <x v="458"/>
    <n v="4624.45"/>
    <n v="212"/>
    <n v="21.813443396226415"/>
    <s v="May"/>
    <s v="Q2"/>
    <s v="Large"/>
  </r>
  <r>
    <s v="Rafaelita Blaksland"/>
    <s v="India"/>
    <s v="Smooth Sliky Salty"/>
    <x v="477"/>
    <n v="1961.82"/>
    <n v="80"/>
    <n v="24.522749999999998"/>
    <s v="May"/>
    <s v="Q2"/>
    <s v="Large"/>
  </r>
  <r>
    <s v="Husein Augar"/>
    <s v="UK"/>
    <s v="White Choc"/>
    <x v="346"/>
    <n v="12782.63"/>
    <n v="158"/>
    <n v="80.902721518987335"/>
    <s v="January"/>
    <s v="Q1"/>
    <s v="Large"/>
  </r>
  <r>
    <s v="Roddy Speechley"/>
    <s v="Australia"/>
    <s v="Almond Choco"/>
    <x v="468"/>
    <n v="4928.3"/>
    <n v="71"/>
    <n v="69.412676056338029"/>
    <s v="June"/>
    <s v="Q2"/>
    <s v="Large"/>
  </r>
  <r>
    <s v="Van Tuxwell"/>
    <s v="USA"/>
    <s v="Caramel Stuffed Bars"/>
    <x v="351"/>
    <n v="1115.8399999999999"/>
    <n v="22"/>
    <n v="50.72"/>
    <s v="February"/>
    <s v="Q1"/>
    <s v="Large"/>
  </r>
  <r>
    <s v="Camilla Castle"/>
    <s v="Australia"/>
    <s v="99% Dark &amp; Pure"/>
    <x v="429"/>
    <n v="5346.62"/>
    <n v="109"/>
    <n v="49.051559633027523"/>
    <s v="January"/>
    <s v="Q1"/>
    <s v="Large"/>
  </r>
  <r>
    <s v="Kaine Padly"/>
    <s v="India"/>
    <s v="Milk Bars"/>
    <x v="474"/>
    <n v="3168.11"/>
    <n v="93"/>
    <n v="34.065698924731187"/>
    <s v="May"/>
    <s v="Q2"/>
    <s v="Large"/>
  </r>
  <r>
    <s v="Ches Bonnell"/>
    <s v="Australia"/>
    <s v="Smooth Sliky Salty"/>
    <x v="381"/>
    <n v="9007.92"/>
    <n v="52"/>
    <n v="173.22923076923078"/>
    <s v="May"/>
    <s v="Q2"/>
    <s v="Large"/>
  </r>
  <r>
    <s v="Mallorie Waber"/>
    <s v="USA"/>
    <s v="Almond Choco"/>
    <x v="418"/>
    <n v="7400.07"/>
    <n v="383"/>
    <n v="19.321331592689294"/>
    <s v="January"/>
    <s v="Q1"/>
    <s v="Large"/>
  </r>
  <r>
    <s v="Kaine Padly"/>
    <s v="Canada"/>
    <s v="99% Dark &amp; Pure"/>
    <x v="468"/>
    <n v="1420.22"/>
    <n v="422"/>
    <n v="3.3654502369668249"/>
    <s v="June"/>
    <s v="Q2"/>
    <s v="Large"/>
  </r>
  <r>
    <s v="Oby Sorrel"/>
    <s v="UK"/>
    <s v="After Nines"/>
    <x v="471"/>
    <n v="2555.9499999999998"/>
    <n v="109"/>
    <n v="23.449082568807338"/>
    <s v="July"/>
    <s v="Q3"/>
    <s v="Large"/>
  </r>
  <r>
    <s v="Gunar Cockshoot"/>
    <s v="UK"/>
    <s v="Eclairs"/>
    <x v="436"/>
    <n v="4059.65"/>
    <n v="175"/>
    <n v="23.198"/>
    <s v="April"/>
    <s v="Q2"/>
    <s v="Large"/>
  </r>
  <r>
    <s v="Dotty Strutley"/>
    <s v="USA"/>
    <s v="Caramel Stuffed Bars"/>
    <x v="371"/>
    <n v="18581.37"/>
    <n v="83"/>
    <n v="223.87192771084335"/>
    <s v="April"/>
    <s v="Q2"/>
    <s v="Large"/>
  </r>
  <r>
    <s v="Jan Morforth"/>
    <s v="India"/>
    <s v="Peanut Butter Cubes"/>
    <x v="336"/>
    <n v="8813.58"/>
    <n v="182"/>
    <n v="48.426263736263735"/>
    <s v="January"/>
    <s v="Q1"/>
    <s v="Large"/>
  </r>
  <r>
    <s v="Husein Augar"/>
    <s v="Australia"/>
    <s v="Eclairs"/>
    <x v="345"/>
    <n v="7914.74"/>
    <n v="31"/>
    <n v="255.3141935483871"/>
    <s v="July"/>
    <s v="Q3"/>
    <s v="Large"/>
  </r>
  <r>
    <s v="Beverie Moffet"/>
    <s v="USA"/>
    <s v="Smooth Sliky Salty"/>
    <x v="343"/>
    <n v="2787.72"/>
    <n v="342"/>
    <n v="8.1512280701754385"/>
    <s v="March"/>
    <s v="Q1"/>
    <s v="Large"/>
  </r>
  <r>
    <s v="Camilla Castle"/>
    <s v="Australia"/>
    <s v="Manuka Honey Choco"/>
    <x v="439"/>
    <n v="681.71"/>
    <n v="170"/>
    <n v="4.0100588235294117"/>
    <s v="March"/>
    <s v="Q1"/>
    <s v="Large"/>
  </r>
  <r>
    <s v="Oby Sorrel"/>
    <s v="Australia"/>
    <s v="Almond Choco"/>
    <x v="478"/>
    <n v="6827.53"/>
    <n v="241"/>
    <n v="28.33"/>
    <s v="February"/>
    <s v="Q1"/>
    <s v="Large"/>
  </r>
  <r>
    <s v="Jan Morforth"/>
    <s v="USA"/>
    <s v="Orange Choco"/>
    <x v="364"/>
    <n v="1082"/>
    <n v="158"/>
    <n v="6.8481012658227849"/>
    <s v="June"/>
    <s v="Q2"/>
    <s v="Large"/>
  </r>
  <r>
    <s v="Gigi Bohling"/>
    <s v="USA"/>
    <s v="Fruit &amp; Nut Bars"/>
    <x v="363"/>
    <n v="2966.98"/>
    <n v="121"/>
    <n v="24.520495867768595"/>
    <s v="May"/>
    <s v="Q2"/>
    <s v="Large"/>
  </r>
  <r>
    <s v="Mallorie Waber"/>
    <s v="UK"/>
    <s v="Milk Bars"/>
    <x v="389"/>
    <n v="3951.74"/>
    <n v="287"/>
    <n v="13.769128919860627"/>
    <s v="January"/>
    <s v="Q1"/>
    <s v="Large"/>
  </r>
  <r>
    <s v="Curtice Advani"/>
    <s v="USA"/>
    <s v="Raspberry Choco"/>
    <x v="447"/>
    <n v="3151.23"/>
    <n v="144"/>
    <n v="21.883541666666666"/>
    <s v="March"/>
    <s v="Q1"/>
    <s v="Large"/>
  </r>
  <r>
    <s v="Marney O'Breen"/>
    <s v="Canada"/>
    <s v="Milk Bars"/>
    <x v="479"/>
    <n v="2672.67"/>
    <n v="317"/>
    <n v="8.4311356466876965"/>
    <s v="February"/>
    <s v="Q1"/>
    <s v="Large"/>
  </r>
  <r>
    <s v="Brien Boise"/>
    <s v="India"/>
    <s v="Caramel Stuffed Bars"/>
    <x v="411"/>
    <n v="1742.37"/>
    <n v="106"/>
    <n v="16.437452830188679"/>
    <s v="February"/>
    <s v="Q1"/>
    <s v="Large"/>
  </r>
  <r>
    <s v="Gunar Cockshoot"/>
    <s v="USA"/>
    <s v="Eclairs"/>
    <x v="480"/>
    <n v="7301.31"/>
    <n v="42"/>
    <n v="173.84071428571428"/>
    <s v="May"/>
    <s v="Q2"/>
    <s v="Large"/>
  </r>
  <r>
    <s v="Roddy Speechley"/>
    <s v="USA"/>
    <s v="Fruit &amp; Nut Bars"/>
    <x v="443"/>
    <n v="6322.14"/>
    <n v="26"/>
    <n v="243.15923076923079"/>
    <s v="June"/>
    <s v="Q2"/>
    <s v="Large"/>
  </r>
  <r>
    <s v="Gunar Cockshoot"/>
    <s v="India"/>
    <s v="50% Dark Bites"/>
    <x v="481"/>
    <n v="13731.44"/>
    <n v="82"/>
    <n v="167.45658536585367"/>
    <s v="August"/>
    <s v="Q3"/>
    <s v="Large"/>
  </r>
  <r>
    <s v="Wilone O'Kielt"/>
    <s v="New Zealand"/>
    <s v="Manuka Honey Choco"/>
    <x v="372"/>
    <n v="4051.88"/>
    <n v="253"/>
    <n v="16.015335968379446"/>
    <s v="July"/>
    <s v="Q3"/>
    <s v="Large"/>
  </r>
  <r>
    <s v="Kaine Padly"/>
    <s v="UK"/>
    <s v="Manuka Honey Choco"/>
    <x v="438"/>
    <n v="8474.69"/>
    <n v="115"/>
    <n v="73.692956521739134"/>
    <s v="January"/>
    <s v="Q1"/>
    <s v="Large"/>
  </r>
  <r>
    <s v="Van Tuxwell"/>
    <s v="Canada"/>
    <s v="Manuka Honey Choco"/>
    <x v="340"/>
    <n v="9426.56"/>
    <n v="49"/>
    <n v="192.37877551020406"/>
    <s v="February"/>
    <s v="Q1"/>
    <s v="Large"/>
  </r>
  <r>
    <s v="Wilone O'Kielt"/>
    <s v="New Zealand"/>
    <s v="Almond Choco"/>
    <x v="447"/>
    <n v="9770.2800000000007"/>
    <n v="154"/>
    <n v="63.443376623376629"/>
    <s v="March"/>
    <s v="Q1"/>
    <s v="Large"/>
  </r>
  <r>
    <s v="Oby Sorrel"/>
    <s v="New Zealand"/>
    <s v="Baker's Choco Chips"/>
    <x v="427"/>
    <n v="14234.61"/>
    <n v="45"/>
    <n v="316.3246666666667"/>
    <s v="April"/>
    <s v="Q2"/>
    <s v="Large"/>
  </r>
  <r>
    <s v="Dennison Crosswaite"/>
    <s v="Australia"/>
    <s v="Organic Choco Syrup"/>
    <x v="482"/>
    <n v="6885.01"/>
    <n v="40"/>
    <n v="172.12524999999999"/>
    <s v="May"/>
    <s v="Q2"/>
    <s v="Large"/>
  </r>
  <r>
    <s v="Marney O'Breen"/>
    <s v="Australia"/>
    <s v="Spicy Special Slims"/>
    <x v="466"/>
    <n v="14687.62"/>
    <n v="293"/>
    <n v="50.128395904436864"/>
    <s v="June"/>
    <s v="Q2"/>
    <s v="Large"/>
  </r>
  <r>
    <s v="Beverie Moffet"/>
    <s v="Canada"/>
    <s v="Smooth Sliky Salty"/>
    <x v="359"/>
    <n v="16585.43"/>
    <n v="388"/>
    <n v="42.745953608247426"/>
    <s v="February"/>
    <s v="Q1"/>
    <s v="Large"/>
  </r>
  <r>
    <s v="Brien Boise"/>
    <s v="USA"/>
    <s v="Organic Choco Syrup"/>
    <x v="399"/>
    <n v="17415.669999999998"/>
    <n v="148"/>
    <n v="117.67344594594593"/>
    <s v="May"/>
    <s v="Q2"/>
    <s v="Large"/>
  </r>
  <r>
    <s v="Roddy Speechley"/>
    <s v="New Zealand"/>
    <s v="Baker's Choco Chips"/>
    <x v="441"/>
    <n v="5954.47"/>
    <n v="236"/>
    <n v="25.230805084745764"/>
    <s v="February"/>
    <s v="Q1"/>
    <s v="Large"/>
  </r>
  <r>
    <s v="Van Tuxwell"/>
    <s v="UK"/>
    <s v="85% Dark Bars"/>
    <x v="372"/>
    <n v="4179.91"/>
    <n v="140"/>
    <n v="29.8565"/>
    <s v="July"/>
    <s v="Q3"/>
    <s v="Large"/>
  </r>
  <r>
    <s v="Marney O'Breen"/>
    <s v="Canada"/>
    <s v="Spicy Special Slims"/>
    <x v="403"/>
    <n v="3939.95"/>
    <n v="365"/>
    <n v="10.794383561643835"/>
    <s v="January"/>
    <s v="Q1"/>
    <s v="Large"/>
  </r>
  <r>
    <s v="Rafaelita Blaksland"/>
    <s v="New Zealand"/>
    <s v="70% Dark Bites"/>
    <x v="368"/>
    <n v="791.19"/>
    <n v="280"/>
    <n v="2.8256785714285715"/>
    <s v="August"/>
    <s v="Q3"/>
    <s v="Large"/>
  </r>
  <r>
    <s v="Beverie Moffet"/>
    <s v="USA"/>
    <s v="50% Dark Bites"/>
    <x v="348"/>
    <n v="2941.65"/>
    <n v="360"/>
    <n v="8.1712500000000006"/>
    <s v="July"/>
    <s v="Q3"/>
    <s v="Large"/>
  </r>
  <r>
    <s v="Brien Boise"/>
    <s v="USA"/>
    <s v="Mint Chip Choco"/>
    <x v="399"/>
    <n v="12476.68"/>
    <n v="162"/>
    <n v="77.016543209876545"/>
    <s v="May"/>
    <s v="Q2"/>
    <s v="Large"/>
  </r>
  <r>
    <s v="Karlen McCaffrey"/>
    <s v="New Zealand"/>
    <s v="Eclairs"/>
    <x v="477"/>
    <n v="2817.14"/>
    <n v="191"/>
    <n v="14.749424083769632"/>
    <s v="May"/>
    <s v="Q2"/>
    <s v="Large"/>
  </r>
  <r>
    <s v="Barr Faughny"/>
    <s v="India"/>
    <s v="Drinking Coco"/>
    <x v="418"/>
    <n v="2411.52"/>
    <n v="144"/>
    <n v="16.746666666666666"/>
    <s v="January"/>
    <s v="Q1"/>
    <s v="Large"/>
  </r>
  <r>
    <s v="Marney O'Breen"/>
    <s v="UK"/>
    <s v="Orange Choco"/>
    <x v="341"/>
    <n v="13072.74"/>
    <n v="11"/>
    <n v="1188.4309090909092"/>
    <s v="June"/>
    <s v="Q2"/>
    <s v="Large"/>
  </r>
  <r>
    <s v="Brien Boise"/>
    <s v="New Zealand"/>
    <s v="Baker's Choco Chips"/>
    <x v="433"/>
    <n v="6790.41"/>
    <n v="26"/>
    <n v="261.16961538461538"/>
    <s v="July"/>
    <s v="Q3"/>
    <s v="Large"/>
  </r>
  <r>
    <s v="Ches Bonnell"/>
    <s v="Canada"/>
    <s v="Spicy Special Slims"/>
    <x v="483"/>
    <n v="6092.47"/>
    <n v="201"/>
    <n v="30.310796019900497"/>
    <s v="August"/>
    <s v="Q3"/>
    <s v="Large"/>
  </r>
  <r>
    <s v="Brien Boise"/>
    <s v="USA"/>
    <s v="Orange Choco"/>
    <x v="418"/>
    <n v="7185.5"/>
    <n v="152"/>
    <n v="47.273026315789473"/>
    <s v="January"/>
    <s v="Q1"/>
    <s v="Large"/>
  </r>
  <r>
    <s v="Kaine Padly"/>
    <s v="India"/>
    <s v="Spicy Special Slims"/>
    <x v="484"/>
    <n v="6170.8"/>
    <n v="138"/>
    <n v="44.715942028985509"/>
    <s v="August"/>
    <s v="Q3"/>
    <s v="Large"/>
  </r>
  <r>
    <s v="Mallorie Waber"/>
    <s v="USA"/>
    <s v="50% Dark Bites"/>
    <x v="377"/>
    <n v="1945.05"/>
    <n v="14"/>
    <n v="138.93214285714285"/>
    <s v="April"/>
    <s v="Q2"/>
    <s v="Large"/>
  </r>
  <r>
    <s v="Mallorie Waber"/>
    <s v="UK"/>
    <s v="Mint Chip Choco"/>
    <x v="364"/>
    <n v="6767.42"/>
    <n v="2"/>
    <n v="3383.71"/>
    <s v="June"/>
    <s v="Q2"/>
    <s v="Large"/>
  </r>
  <r>
    <s v="Beverie Moffet"/>
    <s v="India"/>
    <s v="Choco Coated Almonds"/>
    <x v="340"/>
    <n v="3911.69"/>
    <n v="254"/>
    <n v="15.400354330708662"/>
    <s v="February"/>
    <s v="Q1"/>
    <s v="Large"/>
  </r>
  <r>
    <s v="Madelene Upcott"/>
    <s v="UK"/>
    <s v="Smooth Sliky Salty"/>
    <x v="408"/>
    <n v="16733.759999999998"/>
    <n v="88"/>
    <n v="190.15636363636361"/>
    <s v="March"/>
    <s v="Q1"/>
    <s v="Large"/>
  </r>
  <r>
    <s v="Gigi Bohling"/>
    <s v="India"/>
    <s v="Eclairs"/>
    <x v="472"/>
    <n v="3916.92"/>
    <n v="74"/>
    <n v="52.931351351351353"/>
    <s v="June"/>
    <s v="Q2"/>
    <s v="Large"/>
  </r>
  <r>
    <s v="Rafaelita Blaksland"/>
    <s v="Australia"/>
    <s v="Organic Choco Syrup"/>
    <x v="350"/>
    <n v="1082.69"/>
    <n v="106"/>
    <n v="10.214056603773585"/>
    <s v="January"/>
    <s v="Q1"/>
    <s v="Large"/>
  </r>
  <r>
    <s v="Oby Sorrel"/>
    <s v="New Zealand"/>
    <s v="White Choc"/>
    <x v="375"/>
    <n v="4822.33"/>
    <n v="42"/>
    <n v="114.81738095238094"/>
    <s v="June"/>
    <s v="Q2"/>
    <s v="Large"/>
  </r>
  <r>
    <s v="Andria Kimpton"/>
    <s v="UK"/>
    <s v="Drinking Coco"/>
    <x v="459"/>
    <n v="1827.45"/>
    <n v="66"/>
    <n v="27.688636363636363"/>
    <s v="May"/>
    <s v="Q2"/>
    <s v="Large"/>
  </r>
  <r>
    <s v="Kelci Walkden"/>
    <s v="India"/>
    <s v="Milk Bars"/>
    <x v="371"/>
    <n v="1142.4100000000001"/>
    <n v="111"/>
    <n v="10.291981981981984"/>
    <s v="April"/>
    <s v="Q2"/>
    <s v="Large"/>
  </r>
  <r>
    <s v="Karlen McCaffrey"/>
    <s v="New Zealand"/>
    <s v="Caramel Stuffed Bars"/>
    <x v="396"/>
    <n v="6290.89"/>
    <n v="232"/>
    <n v="27.115905172413793"/>
    <s v="January"/>
    <s v="Q1"/>
    <s v="Large"/>
  </r>
  <r>
    <s v="Andria Kimpton"/>
    <s v="New Zealand"/>
    <s v="Organic Choco Syrup"/>
    <x v="408"/>
    <n v="5616.01"/>
    <n v="43"/>
    <n v="130.60488372093025"/>
    <s v="March"/>
    <s v="Q1"/>
    <s v="Large"/>
  </r>
  <r>
    <s v="Barr Faughny"/>
    <s v="New Zealand"/>
    <s v="After Nines"/>
    <x v="377"/>
    <n v="11250.69"/>
    <n v="91"/>
    <n v="123.63395604395605"/>
    <s v="April"/>
    <s v="Q2"/>
    <s v="Large"/>
  </r>
  <r>
    <s v="Beverie Moffet"/>
    <s v="UK"/>
    <s v="Almond Choco"/>
    <x v="381"/>
    <n v="2799.42"/>
    <n v="104"/>
    <n v="26.9175"/>
    <s v="May"/>
    <s v="Q2"/>
    <s v="Large"/>
  </r>
  <r>
    <s v="Oby Sorrel"/>
    <s v="Australia"/>
    <s v="Raspberry Choco"/>
    <x v="356"/>
    <n v="1157.8800000000001"/>
    <n v="114"/>
    <n v="10.156842105263159"/>
    <s v="February"/>
    <s v="Q1"/>
    <s v="Large"/>
  </r>
  <r>
    <s v="Dennison Crosswaite"/>
    <s v="USA"/>
    <s v="Raspberry Choco"/>
    <x v="429"/>
    <n v="7049.32"/>
    <n v="273"/>
    <n v="25.821684981684982"/>
    <s v="January"/>
    <s v="Q1"/>
    <s v="Large"/>
  </r>
  <r>
    <s v="Roddy Speechley"/>
    <s v="Canada"/>
    <s v="Orange Choco"/>
    <x v="360"/>
    <n v="9460.5"/>
    <n v="84"/>
    <n v="112.625"/>
    <s v="February"/>
    <s v="Q1"/>
    <s v="Large"/>
  </r>
  <r>
    <s v="Mallorie Waber"/>
    <s v="Canada"/>
    <s v="Orange Choco"/>
    <x v="421"/>
    <n v="4173.7299999999996"/>
    <n v="175"/>
    <n v="23.849885714285712"/>
    <s v="March"/>
    <s v="Q1"/>
    <s v="Large"/>
  </r>
  <r>
    <s v="Madelene Upcott"/>
    <s v="New Zealand"/>
    <s v="Caramel Stuffed Bars"/>
    <x v="467"/>
    <n v="4005.08"/>
    <n v="150"/>
    <n v="26.700533333333333"/>
    <s v="February"/>
    <s v="Q1"/>
    <s v="Large"/>
  </r>
  <r>
    <s v="Mallorie Waber"/>
    <s v="India"/>
    <s v="Drinking Coco"/>
    <x v="402"/>
    <n v="4650.58"/>
    <n v="143"/>
    <n v="32.521538461538462"/>
    <s v="March"/>
    <s v="Q1"/>
    <s v="Large"/>
  </r>
  <r>
    <s v="Ches Bonnell"/>
    <s v="UK"/>
    <s v="White Choc"/>
    <x v="403"/>
    <n v="3814.56"/>
    <n v="220"/>
    <n v="17.338909090909091"/>
    <s v="January"/>
    <s v="Q1"/>
    <s v="Large"/>
  </r>
  <r>
    <s v="Ches Bonnell"/>
    <s v="USA"/>
    <s v="White Choc"/>
    <x v="394"/>
    <n v="6321.35"/>
    <n v="325"/>
    <n v="19.450307692307693"/>
    <s v="February"/>
    <s v="Q1"/>
    <s v="Large"/>
  </r>
  <r>
    <s v="Dennison Crosswaite"/>
    <s v="New Zealand"/>
    <s v="Orange Choco"/>
    <x v="419"/>
    <n v="5245.53"/>
    <n v="144"/>
    <n v="36.427291666666662"/>
    <s v="March"/>
    <s v="Q1"/>
    <s v="Large"/>
  </r>
  <r>
    <s v="Dotty Strutley"/>
    <s v="India"/>
    <s v="White Choc"/>
    <x v="424"/>
    <n v="12998.67"/>
    <n v="317"/>
    <n v="41.005268138801263"/>
    <s v="August"/>
    <s v="Q3"/>
    <s v="Large"/>
  </r>
  <r>
    <s v="Gigi Bohling"/>
    <s v="India"/>
    <s v="Manuka Honey Choco"/>
    <x v="401"/>
    <n v="5932.12"/>
    <n v="79"/>
    <n v="75.090126582278486"/>
    <s v="May"/>
    <s v="Q2"/>
    <s v="Large"/>
  </r>
  <r>
    <s v="Van Tuxwell"/>
    <s v="India"/>
    <s v="Spicy Special Slims"/>
    <x v="485"/>
    <n v="6811.55"/>
    <n v="4"/>
    <n v="1702.8875"/>
    <s v="April"/>
    <s v="Q2"/>
    <s v="Large"/>
  </r>
  <r>
    <s v="Jan Morforth"/>
    <s v="New Zealand"/>
    <s v="Mint Chip Choco"/>
    <x v="366"/>
    <n v="21381.14"/>
    <n v="311"/>
    <n v="68.749646302250795"/>
    <s v="June"/>
    <s v="Q2"/>
    <s v="Large"/>
  </r>
  <r>
    <s v="Dotty Strutley"/>
    <s v="New Zealand"/>
    <s v="White Choc"/>
    <x v="362"/>
    <n v="8423.36"/>
    <n v="63"/>
    <n v="133.70412698412699"/>
    <s v="June"/>
    <s v="Q2"/>
    <s v="Large"/>
  </r>
  <r>
    <s v="Rafaelita Blaksland"/>
    <s v="Canada"/>
    <s v="Caramel Stuffed Bars"/>
    <x v="337"/>
    <n v="7951.43"/>
    <n v="109"/>
    <n v="72.948899082568815"/>
    <s v="August"/>
    <s v="Q3"/>
    <s v="Large"/>
  </r>
  <r>
    <s v="Kaine Padly"/>
    <s v="USA"/>
    <s v="Milk Bars"/>
    <x v="362"/>
    <n v="18389.099999999999"/>
    <n v="62"/>
    <n v="296.59838709677416"/>
    <s v="June"/>
    <s v="Q2"/>
    <s v="Large"/>
  </r>
  <r>
    <s v="Brien Boise"/>
    <s v="India"/>
    <s v="After Nines"/>
    <x v="422"/>
    <n v="6555.46"/>
    <n v="45"/>
    <n v="145.6768888888889"/>
    <s v="June"/>
    <s v="Q2"/>
    <s v="Large"/>
  </r>
  <r>
    <s v="Oby Sorrel"/>
    <s v="New Zealand"/>
    <s v="Raspberry Choco"/>
    <x v="446"/>
    <n v="5129.71"/>
    <n v="270"/>
    <n v="18.998925925925928"/>
    <s v="May"/>
    <s v="Q2"/>
    <s v="Large"/>
  </r>
  <r>
    <s v="Dennison Crosswaite"/>
    <s v="USA"/>
    <s v="Drinking Coco"/>
    <x v="482"/>
    <n v="2399.02"/>
    <n v="149"/>
    <n v="16.100805369127517"/>
    <s v="May"/>
    <s v="Q2"/>
    <s v="Large"/>
  </r>
  <r>
    <s v="Oby Sorrel"/>
    <s v="India"/>
    <s v="Eclairs"/>
    <x v="410"/>
    <n v="6096.53"/>
    <n v="344"/>
    <n v="17.722470930232557"/>
    <s v="August"/>
    <s v="Q3"/>
    <s v="Large"/>
  </r>
  <r>
    <s v="Ches Bonnell"/>
    <s v="New Zealand"/>
    <s v="Organic Choco Syrup"/>
    <x v="378"/>
    <n v="8134.67"/>
    <n v="83"/>
    <n v="98.00807228915663"/>
    <s v="July"/>
    <s v="Q3"/>
    <s v="Large"/>
  </r>
  <r>
    <s v="Gigi Bohling"/>
    <s v="UK"/>
    <s v="Baker's Choco Chips"/>
    <x v="381"/>
    <n v="9969.65"/>
    <n v="449"/>
    <n v="22.204120267260578"/>
    <s v="May"/>
    <s v="Q2"/>
    <s v="Large"/>
  </r>
  <r>
    <s v="Jan Morforth"/>
    <s v="Australia"/>
    <s v="50% Dark Bites"/>
    <x v="443"/>
    <n v="3894.16"/>
    <n v="173"/>
    <n v="22.509595375722544"/>
    <s v="June"/>
    <s v="Q2"/>
    <s v="Large"/>
  </r>
  <r>
    <s v="Beverie Moffet"/>
    <s v="Australia"/>
    <s v="Smooth Sliky Salty"/>
    <x v="342"/>
    <n v="11533.35"/>
    <n v="491"/>
    <n v="23.48951120162933"/>
    <s v="January"/>
    <s v="Q1"/>
    <s v="Large"/>
  </r>
  <r>
    <s v="Ches Bonnell"/>
    <s v="USA"/>
    <s v="Organic Choco Syrup"/>
    <x v="348"/>
    <n v="8754.31"/>
    <n v="14"/>
    <n v="625.30785714285707"/>
    <s v="July"/>
    <s v="Q3"/>
    <s v="Large"/>
  </r>
  <r>
    <s v="Brien Boise"/>
    <s v="Canada"/>
    <s v="Mint Chip Choco"/>
    <x v="418"/>
    <n v="5475.65"/>
    <n v="194"/>
    <n v="28.224999999999998"/>
    <s v="January"/>
    <s v="Q1"/>
    <s v="Large"/>
  </r>
  <r>
    <s v="Kaine Padly"/>
    <s v="UK"/>
    <s v="Orange Choco"/>
    <x v="364"/>
    <n v="2252.94"/>
    <n v="196"/>
    <n v="11.494591836734694"/>
    <s v="June"/>
    <s v="Q2"/>
    <s v="Large"/>
  </r>
  <r>
    <s v="Karlen McCaffrey"/>
    <s v="Australia"/>
    <s v="70% Dark Bites"/>
    <x v="468"/>
    <n v="278.77999999999997"/>
    <n v="332"/>
    <n v="0.83969879518072277"/>
    <s v="June"/>
    <s v="Q2"/>
    <s v="Small"/>
  </r>
  <r>
    <s v="Gunar Cockshoot"/>
    <s v="Canada"/>
    <s v="Mint Chip Choco"/>
    <x v="450"/>
    <n v="8936.91"/>
    <n v="442"/>
    <n v="20.219253393665159"/>
    <s v="July"/>
    <s v="Q3"/>
    <s v="Large"/>
  </r>
  <r>
    <s v="Roddy Speechley"/>
    <s v="USA"/>
    <s v="Peanut Butter Cubes"/>
    <x v="411"/>
    <n v="2010.22"/>
    <n v="144"/>
    <n v="13.959861111111111"/>
    <s v="February"/>
    <s v="Q1"/>
    <s v="Large"/>
  </r>
  <r>
    <s v="Curtice Advani"/>
    <s v="Canada"/>
    <s v="Smooth Sliky Salty"/>
    <x v="337"/>
    <n v="2901.91"/>
    <n v="12"/>
    <n v="241.82583333333332"/>
    <s v="August"/>
    <s v="Q3"/>
    <s v="Large"/>
  </r>
  <r>
    <s v="Oby Sorrel"/>
    <s v="Australia"/>
    <s v="Milk Bars"/>
    <x v="472"/>
    <n v="9231.31"/>
    <n v="278"/>
    <n v="33.206151079136689"/>
    <s v="June"/>
    <s v="Q2"/>
    <s v="Large"/>
  </r>
  <r>
    <s v="Camilla Castle"/>
    <s v="New Zealand"/>
    <s v="Spicy Special Slims"/>
    <x v="342"/>
    <n v="12744.67"/>
    <n v="26"/>
    <n v="490.17961538461537"/>
    <s v="January"/>
    <s v="Q1"/>
    <s v="Large"/>
  </r>
  <r>
    <s v="Gigi Bohling"/>
    <s v="UK"/>
    <s v="Milk Bars"/>
    <x v="470"/>
    <n v="1436.97"/>
    <n v="248"/>
    <n v="5.7942338709677417"/>
    <s v="May"/>
    <s v="Q2"/>
    <s v="Large"/>
  </r>
  <r>
    <s v="Andria Kimpton"/>
    <s v="Australia"/>
    <s v="85% Dark Bars"/>
    <x v="398"/>
    <n v="4900.32"/>
    <n v="254"/>
    <n v="19.29259842519685"/>
    <s v="August"/>
    <s v="Q3"/>
    <s v="Large"/>
  </r>
  <r>
    <s v="Camilla Castle"/>
    <s v="Australia"/>
    <s v="Smooth Sliky Salty"/>
    <x v="486"/>
    <n v="8263.11"/>
    <n v="129"/>
    <n v="64.055116279069779"/>
    <s v="March"/>
    <s v="Q1"/>
    <s v="Large"/>
  </r>
  <r>
    <s v="Roddy Speechley"/>
    <s v="India"/>
    <s v="Caramel Stuffed Bars"/>
    <x v="357"/>
    <n v="10139.68"/>
    <n v="552"/>
    <n v="18.368985507246379"/>
    <s v="May"/>
    <s v="Q2"/>
    <s v="Large"/>
  </r>
  <r>
    <s v="Karlen McCaffrey"/>
    <s v="USA"/>
    <s v="Drinking Coco"/>
    <x v="364"/>
    <n v="132.68"/>
    <n v="243"/>
    <n v="0.54600823045267488"/>
    <s v="June"/>
    <s v="Q2"/>
    <s v="Small"/>
  </r>
  <r>
    <s v="Andria Kimpton"/>
    <s v="Canada"/>
    <s v="Organic Choco Syrup"/>
    <x v="336"/>
    <n v="9479.6299999999992"/>
    <n v="217"/>
    <n v="43.684930875576036"/>
    <s v="January"/>
    <s v="Q1"/>
    <s v="Large"/>
  </r>
  <r>
    <s v="Jehu Rudeforth"/>
    <s v="Australia"/>
    <s v="Drinking Coco"/>
    <x v="438"/>
    <n v="3114.84"/>
    <n v="65"/>
    <n v="47.920615384615388"/>
    <s v="January"/>
    <s v="Q1"/>
    <s v="Large"/>
  </r>
  <r>
    <s v="Karlen McCaffrey"/>
    <s v="USA"/>
    <s v="Mint Chip Choco"/>
    <x v="478"/>
    <n v="17866.48"/>
    <n v="58"/>
    <n v="308.04275862068965"/>
    <s v="February"/>
    <s v="Q1"/>
    <s v="Large"/>
  </r>
  <r>
    <s v="Curtice Advani"/>
    <s v="New Zealand"/>
    <s v="Spicy Special Slims"/>
    <x v="389"/>
    <n v="4651.03"/>
    <n v="494"/>
    <n v="9.4150404858299588"/>
    <s v="January"/>
    <s v="Q1"/>
    <s v="Large"/>
  </r>
  <r>
    <s v="Madelene Upcott"/>
    <s v="USA"/>
    <s v="White Choc"/>
    <x v="452"/>
    <n v="14360.42"/>
    <n v="218"/>
    <n v="65.873486238532109"/>
    <s v="May"/>
    <s v="Q2"/>
    <s v="Large"/>
  </r>
  <r>
    <s v="Andria Kimpton"/>
    <s v="USA"/>
    <s v="Spicy Special Slims"/>
    <x v="459"/>
    <n v="2595.52"/>
    <n v="5"/>
    <n v="519.10400000000004"/>
    <s v="May"/>
    <s v="Q2"/>
    <s v="Large"/>
  </r>
  <r>
    <s v="Barr Faughny"/>
    <s v="New Zealand"/>
    <s v="Fruit &amp; Nut Bars"/>
    <x v="487"/>
    <n v="1853.03"/>
    <n v="153"/>
    <n v="12.111307189542483"/>
    <s v="April"/>
    <s v="Q2"/>
    <s v="Large"/>
  </r>
  <r>
    <s v="Oby Sorrel"/>
    <s v="Canada"/>
    <s v="Organic Choco Syrup"/>
    <x v="361"/>
    <n v="1392.99"/>
    <n v="70"/>
    <n v="19.899857142857144"/>
    <s v="July"/>
    <s v="Q3"/>
    <s v="Large"/>
  </r>
  <r>
    <s v="Madelene Upcott"/>
    <s v="UK"/>
    <s v="Organic Choco Syrup"/>
    <x v="465"/>
    <n v="7943.17"/>
    <n v="174"/>
    <n v="45.650402298850572"/>
    <s v="July"/>
    <s v="Q3"/>
    <s v="Large"/>
  </r>
  <r>
    <s v="Dotty Strutley"/>
    <s v="USA"/>
    <s v="Mint Chip Choco"/>
    <x v="420"/>
    <n v="5552.79"/>
    <n v="272"/>
    <n v="20.414669117647058"/>
    <s v="February"/>
    <s v="Q1"/>
    <s v="Large"/>
  </r>
  <r>
    <s v="Kelci Walkden"/>
    <s v="USA"/>
    <s v="Orange Choco"/>
    <x v="488"/>
    <n v="1539.14"/>
    <n v="143"/>
    <n v="10.763216783216784"/>
    <s v="February"/>
    <s v="Q1"/>
    <s v="Large"/>
  </r>
  <r>
    <s v="Gigi Bohling"/>
    <s v="Australia"/>
    <s v="Caramel Stuffed Bars"/>
    <x v="387"/>
    <n v="9117.77"/>
    <n v="154"/>
    <n v="59.206298701298707"/>
    <s v="July"/>
    <s v="Q3"/>
    <s v="Large"/>
  </r>
  <r>
    <s v="Mallorie Waber"/>
    <s v="India"/>
    <s v="50% Dark Bites"/>
    <x v="442"/>
    <n v="631.02"/>
    <n v="140"/>
    <n v="4.5072857142857146"/>
    <s v="May"/>
    <s v="Q2"/>
    <s v="Large"/>
  </r>
  <r>
    <s v="Van Tuxwell"/>
    <s v="New Zealand"/>
    <s v="Mint Chip Choco"/>
    <x v="355"/>
    <n v="4486.37"/>
    <n v="104"/>
    <n v="43.138173076923074"/>
    <s v="June"/>
    <s v="Q2"/>
    <s v="Large"/>
  </r>
  <r>
    <s v="Van Tuxwell"/>
    <s v="India"/>
    <s v="50% Dark Bites"/>
    <x v="446"/>
    <n v="5591.29"/>
    <n v="132"/>
    <n v="42.358257575757577"/>
    <s v="May"/>
    <s v="Q2"/>
    <s v="Large"/>
  </r>
  <r>
    <s v="Van Tuxwell"/>
    <s v="USA"/>
    <s v="Manuka Honey Choco"/>
    <x v="442"/>
    <n v="2662.54"/>
    <n v="102"/>
    <n v="26.103333333333332"/>
    <s v="May"/>
    <s v="Q2"/>
    <s v="Large"/>
  </r>
  <r>
    <s v="Wilone O'Kielt"/>
    <s v="USA"/>
    <s v="Orange Choco"/>
    <x v="359"/>
    <n v="7481.93"/>
    <n v="38"/>
    <n v="196.89289473684212"/>
    <s v="February"/>
    <s v="Q1"/>
    <s v="Large"/>
  </r>
  <r>
    <s v="Barr Faughny"/>
    <s v="New Zealand"/>
    <s v="Eclairs"/>
    <x v="407"/>
    <n v="7418.41"/>
    <n v="31"/>
    <n v="239.30354838709678"/>
    <s v="March"/>
    <s v="Q1"/>
    <s v="Large"/>
  </r>
  <r>
    <s v="Gigi Bohling"/>
    <s v="USA"/>
    <s v="After Nines"/>
    <x v="438"/>
    <n v="1969.06"/>
    <n v="235"/>
    <n v="8.3789787234042556"/>
    <s v="January"/>
    <s v="Q1"/>
    <s v="Large"/>
  </r>
  <r>
    <s v="Barr Faughny"/>
    <s v="New Zealand"/>
    <s v="Mint Chip Choco"/>
    <x v="420"/>
    <n v="7197.75"/>
    <n v="159"/>
    <n v="45.268867924528301"/>
    <s v="February"/>
    <s v="Q1"/>
    <s v="Large"/>
  </r>
  <r>
    <s v="Dennison Crosswaite"/>
    <s v="Canada"/>
    <s v="85% Dark Bars"/>
    <x v="337"/>
    <n v="11719.06"/>
    <n v="87"/>
    <n v="134.70183908045976"/>
    <s v="August"/>
    <s v="Q3"/>
    <s v="Large"/>
  </r>
  <r>
    <s v="Beverie Moffet"/>
    <s v="New Zealand"/>
    <s v="Smooth Sliky Salty"/>
    <x v="369"/>
    <n v="2755.14"/>
    <n v="63"/>
    <n v="43.73238095238095"/>
    <s v="May"/>
    <s v="Q2"/>
    <s v="Large"/>
  </r>
  <r>
    <s v="Husein Augar"/>
    <s v="USA"/>
    <s v="White Choc"/>
    <x v="393"/>
    <n v="2438.56"/>
    <n v="61"/>
    <n v="39.97639344262295"/>
    <s v="July"/>
    <s v="Q3"/>
    <s v="Large"/>
  </r>
  <r>
    <s v="Andria Kimpton"/>
    <s v="Australia"/>
    <s v="Peanut Butter Cubes"/>
    <x v="344"/>
    <n v="7661.86"/>
    <n v="144"/>
    <n v="53.207361111111112"/>
    <s v="April"/>
    <s v="Q2"/>
    <s v="Large"/>
  </r>
  <r>
    <s v="Dennison Crosswaite"/>
    <s v="India"/>
    <s v="85% Dark Bars"/>
    <x v="366"/>
    <n v="4886.1499999999996"/>
    <n v="23"/>
    <n v="212.44130434782608"/>
    <s v="June"/>
    <s v="Q2"/>
    <s v="Large"/>
  </r>
  <r>
    <s v="Curtice Advani"/>
    <s v="UK"/>
    <s v="50% Dark Bites"/>
    <x v="457"/>
    <n v="3572.26"/>
    <n v="156"/>
    <n v="22.899102564102567"/>
    <s v="March"/>
    <s v="Q1"/>
    <s v="Large"/>
  </r>
  <r>
    <s v="Gunar Cockshoot"/>
    <s v="USA"/>
    <s v="Fruit &amp; Nut Bars"/>
    <x v="423"/>
    <n v="6937.75"/>
    <n v="94"/>
    <n v="73.805851063829792"/>
    <s v="March"/>
    <s v="Q1"/>
    <s v="Large"/>
  </r>
  <r>
    <s v="Oby Sorrel"/>
    <s v="Canada"/>
    <s v="Raspberry Choco"/>
    <x v="422"/>
    <n v="1941.25"/>
    <n v="221"/>
    <n v="8.7839366515837103"/>
    <s v="June"/>
    <s v="Q2"/>
    <s v="Large"/>
  </r>
  <r>
    <s v="Gigi Bohling"/>
    <s v="UK"/>
    <s v="Drinking Coco"/>
    <x v="366"/>
    <n v="6173.15"/>
    <n v="46"/>
    <n v="134.19891304347826"/>
    <s v="June"/>
    <s v="Q2"/>
    <s v="Large"/>
  </r>
  <r>
    <s v="Kelci Walkden"/>
    <s v="India"/>
    <s v="Mint Chip Choco"/>
    <x v="348"/>
    <n v="3105.45"/>
    <n v="116"/>
    <n v="26.77112068965517"/>
    <s v="July"/>
    <s v="Q3"/>
    <s v="Large"/>
  </r>
  <r>
    <s v="Karlen McCaffrey"/>
    <s v="Canada"/>
    <s v="Peanut Butter Cubes"/>
    <x v="489"/>
    <n v="3691.6"/>
    <n v="154"/>
    <n v="23.971428571428572"/>
    <s v="August"/>
    <s v="Q3"/>
    <s v="Large"/>
  </r>
  <r>
    <s v="Barr Faughny"/>
    <s v="UK"/>
    <s v="Mint Chip Choco"/>
    <x v="338"/>
    <n v="3950.65"/>
    <n v="324"/>
    <n v="12.193364197530865"/>
    <s v="July"/>
    <s v="Q3"/>
    <s v="Large"/>
  </r>
  <r>
    <s v="Barr Faughny"/>
    <s v="USA"/>
    <s v="85% Dark Bars"/>
    <x v="410"/>
    <n v="13497.17"/>
    <n v="49"/>
    <n v="275.45244897959185"/>
    <s v="August"/>
    <s v="Q3"/>
    <s v="Large"/>
  </r>
  <r>
    <s v="Husein Augar"/>
    <s v="Canada"/>
    <s v="Eclairs"/>
    <x v="490"/>
    <n v="4389.2299999999996"/>
    <n v="241"/>
    <n v="18.212572614107881"/>
    <s v="January"/>
    <s v="Q1"/>
    <s v="Large"/>
  </r>
  <r>
    <s v="Jan Morforth"/>
    <s v="Australia"/>
    <s v="70% Dark Bites"/>
    <x v="408"/>
    <n v="6310.98"/>
    <n v="366"/>
    <n v="17.243114754098361"/>
    <s v="March"/>
    <s v="Q1"/>
    <s v="Large"/>
  </r>
  <r>
    <s v="Marney O'Breen"/>
    <s v="New Zealand"/>
    <s v="Fruit &amp; Nut Bars"/>
    <x v="410"/>
    <n v="9693.3700000000008"/>
    <n v="4"/>
    <n v="2423.3425000000002"/>
    <s v="August"/>
    <s v="Q3"/>
    <s v="Large"/>
  </r>
  <r>
    <s v="Ches Bonnell"/>
    <s v="UK"/>
    <s v="Peanut Butter Cubes"/>
    <x v="371"/>
    <n v="2348.1999999999998"/>
    <n v="266"/>
    <n v="8.8278195488721796"/>
    <s v="April"/>
    <s v="Q2"/>
    <s v="Large"/>
  </r>
  <r>
    <s v="Kaine Padly"/>
    <s v="USA"/>
    <s v="Organic Choco Syrup"/>
    <x v="390"/>
    <n v="2518.5"/>
    <n v="24"/>
    <n v="104.9375"/>
    <s v="March"/>
    <s v="Q1"/>
    <s v="Large"/>
  </r>
  <r>
    <s v="Camilla Castle"/>
    <s v="USA"/>
    <s v="Raspberry Choco"/>
    <x v="434"/>
    <n v="3516.72"/>
    <n v="17"/>
    <n v="206.86588235294116"/>
    <s v="May"/>
    <s v="Q2"/>
    <s v="Large"/>
  </r>
  <r>
    <s v="Brien Boise"/>
    <s v="New Zealand"/>
    <s v="Manuka Honey Choco"/>
    <x v="443"/>
    <n v="16807.37"/>
    <n v="44"/>
    <n v="381.98568181818177"/>
    <s v="June"/>
    <s v="Q2"/>
    <s v="Large"/>
  </r>
  <r>
    <s v="Jehu Rudeforth"/>
    <s v="New Zealand"/>
    <s v="After Nines"/>
    <x v="385"/>
    <n v="1736.59"/>
    <n v="70"/>
    <n v="24.808428571428571"/>
    <s v="April"/>
    <s v="Q2"/>
    <s v="Large"/>
  </r>
  <r>
    <s v="Jehu Rudeforth"/>
    <s v="USA"/>
    <s v="Smooth Sliky Salty"/>
    <x v="338"/>
    <n v="7900.11"/>
    <n v="168"/>
    <n v="47.024464285714281"/>
    <s v="July"/>
    <s v="Q3"/>
    <s v="Large"/>
  </r>
  <r>
    <s v="Madelene Upcott"/>
    <s v="India"/>
    <s v="Mint Chip Choco"/>
    <x v="368"/>
    <n v="4016.89"/>
    <n v="71"/>
    <n v="56.575915492957748"/>
    <s v="August"/>
    <s v="Q3"/>
    <s v="Large"/>
  </r>
  <r>
    <s v="Jehu Rudeforth"/>
    <s v="India"/>
    <s v="Eclairs"/>
    <x v="340"/>
    <n v="9642.6200000000008"/>
    <n v="140"/>
    <n v="68.875857142857143"/>
    <s v="February"/>
    <s v="Q1"/>
    <s v="Large"/>
  </r>
  <r>
    <s v="Karlen McCaffrey"/>
    <s v="Canada"/>
    <s v="Raspberry Choco"/>
    <x v="458"/>
    <n v="773.7"/>
    <n v="217"/>
    <n v="3.5654377880184334"/>
    <s v="May"/>
    <s v="Q2"/>
    <s v="Large"/>
  </r>
  <r>
    <s v="Kaine Padly"/>
    <s v="Australia"/>
    <s v="70% Dark Bites"/>
    <x v="479"/>
    <n v="7852.03"/>
    <n v="240"/>
    <n v="32.716791666666666"/>
    <s v="February"/>
    <s v="Q1"/>
    <s v="Large"/>
  </r>
  <r>
    <s v="Roddy Speechley"/>
    <s v="UK"/>
    <s v="70% Dark Bites"/>
    <x v="343"/>
    <n v="1649.57"/>
    <n v="293"/>
    <n v="5.6299317406143343"/>
    <s v="March"/>
    <s v="Q1"/>
    <s v="Large"/>
  </r>
  <r>
    <s v="Rafaelita Blaksland"/>
    <s v="USA"/>
    <s v="Drinking Coco"/>
    <x v="391"/>
    <n v="9333.4500000000007"/>
    <n v="78"/>
    <n v="119.65961538461539"/>
    <s v="June"/>
    <s v="Q2"/>
    <s v="Large"/>
  </r>
  <r>
    <s v="Mallorie Waber"/>
    <s v="Canada"/>
    <s v="Manuka Honey Choco"/>
    <x v="402"/>
    <n v="1540.11"/>
    <n v="117"/>
    <n v="13.163333333333332"/>
    <s v="March"/>
    <s v="Q1"/>
    <s v="Large"/>
  </r>
  <r>
    <s v="Kaine Padly"/>
    <s v="Australia"/>
    <s v="Fruit &amp; Nut Bars"/>
    <x v="391"/>
    <n v="7840.94"/>
    <n v="82"/>
    <n v="95.621219512195111"/>
    <s v="June"/>
    <s v="Q2"/>
    <s v="Large"/>
  </r>
  <r>
    <s v="Oby Sorrel"/>
    <s v="New Zealand"/>
    <s v="Organic Choco Syrup"/>
    <x v="356"/>
    <n v="17102.97"/>
    <n v="267"/>
    <n v="64.05606741573034"/>
    <s v="February"/>
    <s v="Q1"/>
    <s v="Large"/>
  </r>
  <r>
    <s v="Madelene Upcott"/>
    <s v="UK"/>
    <s v="99% Dark &amp; Pure"/>
    <x v="350"/>
    <n v="11496.42"/>
    <n v="49"/>
    <n v="234.62081632653062"/>
    <s v="January"/>
    <s v="Q1"/>
    <s v="Large"/>
  </r>
  <r>
    <s v="Madelene Upcott"/>
    <s v="Australia"/>
    <s v="Mint Chip Choco"/>
    <x v="474"/>
    <n v="3072.89"/>
    <n v="166"/>
    <n v="18.511385542168675"/>
    <s v="May"/>
    <s v="Q2"/>
    <s v="Large"/>
  </r>
  <r>
    <s v="Curtice Advani"/>
    <s v="Canada"/>
    <s v="99% Dark &amp; Pure"/>
    <x v="338"/>
    <n v="14990.79"/>
    <n v="7"/>
    <n v="2141.5414285714287"/>
    <s v="July"/>
    <s v="Q3"/>
    <s v="Large"/>
  </r>
  <r>
    <s v="Rafaelita Blaksland"/>
    <s v="Australia"/>
    <s v="Baker's Choco Chips"/>
    <x v="374"/>
    <n v="3170.18"/>
    <n v="49"/>
    <n v="64.697551020408156"/>
    <s v="August"/>
    <s v="Q3"/>
    <s v="Large"/>
  </r>
  <r>
    <s v="Karlen McCaffrey"/>
    <s v="Australia"/>
    <s v="After Nines"/>
    <x v="491"/>
    <n v="2528.14"/>
    <n v="67"/>
    <n v="37.733432835820892"/>
    <s v="August"/>
    <s v="Q3"/>
    <s v="Large"/>
  </r>
  <r>
    <s v="Marney O'Breen"/>
    <s v="UK"/>
    <s v="99% Dark &amp; Pure"/>
    <x v="346"/>
    <n v="8551.6"/>
    <n v="208"/>
    <n v="41.113461538461543"/>
    <s v="January"/>
    <s v="Q1"/>
    <s v="Large"/>
  </r>
  <r>
    <s v="Gunar Cockshoot"/>
    <s v="Australia"/>
    <s v="50% Dark Bites"/>
    <x v="388"/>
    <n v="13072.95"/>
    <n v="119"/>
    <n v="109.85672268907564"/>
    <s v="March"/>
    <s v="Q1"/>
    <s v="Large"/>
  </r>
  <r>
    <s v="Marney O'Breen"/>
    <s v="Australia"/>
    <s v="Choco Coated Almonds"/>
    <x v="445"/>
    <n v="11987.26"/>
    <n v="41"/>
    <n v="292.37219512195122"/>
    <s v="July"/>
    <s v="Q3"/>
    <s v="Large"/>
  </r>
  <r>
    <s v="Kelci Walkden"/>
    <s v="New Zealand"/>
    <s v="Drinking Coco"/>
    <x v="347"/>
    <n v="18385.439999999999"/>
    <n v="116"/>
    <n v="158.49517241379309"/>
    <s v="March"/>
    <s v="Q1"/>
    <s v="Large"/>
  </r>
  <r>
    <s v="Beverie Moffet"/>
    <s v="USA"/>
    <s v="85% Dark Bars"/>
    <x v="398"/>
    <n v="14028.4"/>
    <n v="344"/>
    <n v="40.780232558139531"/>
    <s v="August"/>
    <s v="Q3"/>
    <s v="Large"/>
  </r>
  <r>
    <s v="Roddy Speechley"/>
    <s v="USA"/>
    <s v="Eclairs"/>
    <x v="427"/>
    <n v="4812.71"/>
    <n v="169"/>
    <n v="28.47757396449704"/>
    <s v="April"/>
    <s v="Q2"/>
    <s v="Large"/>
  </r>
  <r>
    <s v="Dennison Crosswaite"/>
    <s v="UK"/>
    <s v="Milk Bars"/>
    <x v="402"/>
    <n v="11963.91"/>
    <n v="446"/>
    <n v="26.824910313901345"/>
    <s v="March"/>
    <s v="Q1"/>
    <s v="Large"/>
  </r>
  <r>
    <s v="Wilone O'Kielt"/>
    <s v="UK"/>
    <s v="Organic Choco Syrup"/>
    <x v="433"/>
    <n v="5574.83"/>
    <n v="52"/>
    <n v="107.20826923076923"/>
    <s v="July"/>
    <s v="Q3"/>
    <s v="Large"/>
  </r>
  <r>
    <s v="Madelene Upcott"/>
    <s v="USA"/>
    <s v="Orange Choco"/>
    <x v="381"/>
    <n v="9205.15"/>
    <n v="144"/>
    <n v="63.924652777777773"/>
    <s v="May"/>
    <s v="Q2"/>
    <s v="Large"/>
  </r>
  <r>
    <s v="Gunar Cockshoot"/>
    <s v="India"/>
    <s v="Smooth Sliky Salty"/>
    <x v="388"/>
    <n v="4133.74"/>
    <n v="69"/>
    <n v="59.909275362318837"/>
    <s v="March"/>
    <s v="Q1"/>
    <s v="Large"/>
  </r>
  <r>
    <s v="Marney O'Breen"/>
    <s v="New Zealand"/>
    <s v="85% Dark Bars"/>
    <x v="357"/>
    <n v="1312.23"/>
    <n v="164"/>
    <n v="8.0014024390243907"/>
    <s v="May"/>
    <s v="Q2"/>
    <s v="Large"/>
  </r>
  <r>
    <s v="Marney O'Breen"/>
    <s v="UK"/>
    <s v="Manuka Honey Choco"/>
    <x v="375"/>
    <n v="11735.75"/>
    <n v="185"/>
    <n v="63.436486486486487"/>
    <s v="June"/>
    <s v="Q2"/>
    <s v="Large"/>
  </r>
  <r>
    <s v="Brien Boise"/>
    <s v="USA"/>
    <s v="99% Dark &amp; Pure"/>
    <x v="426"/>
    <n v="7650.76"/>
    <n v="358"/>
    <n v="21.370837988826818"/>
    <s v="July"/>
    <s v="Q3"/>
    <s v="Large"/>
  </r>
  <r>
    <s v="Beverie Moffet"/>
    <s v="New Zealand"/>
    <s v="Mint Chip Choco"/>
    <x v="469"/>
    <n v="4994.93"/>
    <n v="98"/>
    <n v="50.96867346938776"/>
    <s v="June"/>
    <s v="Q2"/>
    <s v="Large"/>
  </r>
  <r>
    <s v="Dennison Crosswaite"/>
    <s v="USA"/>
    <s v="Milk Bars"/>
    <x v="401"/>
    <n v="890.78"/>
    <n v="62"/>
    <n v="14.367419354838709"/>
    <s v="May"/>
    <s v="Q2"/>
    <s v="Large"/>
  </r>
  <r>
    <s v="Gunar Cockshoot"/>
    <s v="USA"/>
    <s v="Drinking Coco"/>
    <x v="458"/>
    <n v="4142.16"/>
    <n v="5"/>
    <n v="828.43200000000002"/>
    <s v="May"/>
    <s v="Q2"/>
    <s v="Large"/>
  </r>
  <r>
    <s v="Brien Boise"/>
    <s v="Canada"/>
    <s v="Manuka Honey Choco"/>
    <x v="481"/>
    <n v="7308.24"/>
    <n v="178"/>
    <n v="41.05752808988764"/>
    <s v="August"/>
    <s v="Q3"/>
    <s v="Large"/>
  </r>
  <r>
    <s v="Van Tuxwell"/>
    <s v="India"/>
    <s v="Choco Coated Almonds"/>
    <x v="436"/>
    <n v="6833.86"/>
    <n v="115"/>
    <n v="59.424869565217385"/>
    <s v="April"/>
    <s v="Q2"/>
    <s v="Large"/>
  </r>
  <r>
    <s v="Andria Kimpton"/>
    <s v="USA"/>
    <s v="Caramel Stuffed Bars"/>
    <x v="474"/>
    <n v="8878.27"/>
    <n v="47"/>
    <n v="188.89936170212766"/>
    <s v="May"/>
    <s v="Q2"/>
    <s v="Large"/>
  </r>
  <r>
    <s v="Dotty Strutley"/>
    <s v="USA"/>
    <s v="99% Dark &amp; Pure"/>
    <x v="481"/>
    <n v="4134.93"/>
    <n v="307"/>
    <n v="13.46882736156352"/>
    <s v="August"/>
    <s v="Q3"/>
    <s v="Large"/>
  </r>
  <r>
    <s v="Camilla Castle"/>
    <s v="Australia"/>
    <s v="Raspberry Choco"/>
    <x v="398"/>
    <n v="6641.89"/>
    <n v="188"/>
    <n v="35.329202127659578"/>
    <s v="August"/>
    <s v="Q3"/>
    <s v="Large"/>
  </r>
  <r>
    <s v="Gunar Cockshoot"/>
    <s v="India"/>
    <s v="Spicy Special Slims"/>
    <x v="446"/>
    <n v="7117.3"/>
    <n v="174"/>
    <n v="40.904022988505751"/>
    <s v="May"/>
    <s v="Q2"/>
    <s v="Large"/>
  </r>
  <r>
    <s v="Karlen McCaffrey"/>
    <s v="USA"/>
    <s v="Manuka Honey Choco"/>
    <x v="467"/>
    <n v="11815.59"/>
    <n v="68"/>
    <n v="173.75867647058823"/>
    <s v="February"/>
    <s v="Q1"/>
    <s v="Large"/>
  </r>
  <r>
    <s v="Camilla Castle"/>
    <s v="USA"/>
    <s v="50% Dark Bites"/>
    <x v="466"/>
    <n v="6962.79"/>
    <n v="303"/>
    <n v="22.979504950495048"/>
    <s v="June"/>
    <s v="Q2"/>
    <s v="Large"/>
  </r>
  <r>
    <s v="Madelene Upcott"/>
    <s v="UK"/>
    <s v="Choco Coated Almonds"/>
    <x v="363"/>
    <n v="11786.42"/>
    <n v="147"/>
    <n v="80.17972789115646"/>
    <s v="May"/>
    <s v="Q2"/>
    <s v="Large"/>
  </r>
  <r>
    <s v="Jan Morforth"/>
    <s v="Canada"/>
    <s v="Mint Chip Choco"/>
    <x v="405"/>
    <n v="1200.19"/>
    <n v="224"/>
    <n v="5.3579910714285717"/>
    <s v="April"/>
    <s v="Q2"/>
    <s v="Large"/>
  </r>
  <r>
    <s v="Camilla Castle"/>
    <s v="Canada"/>
    <s v="70% Dark Bites"/>
    <x v="445"/>
    <n v="10791.08"/>
    <n v="166"/>
    <n v="65.006506024096382"/>
    <s v="July"/>
    <s v="Q3"/>
    <s v="Large"/>
  </r>
  <r>
    <s v="Ches Bonnell"/>
    <s v="India"/>
    <s v="Peanut Butter Cubes"/>
    <x v="395"/>
    <n v="26170.95"/>
    <n v="224"/>
    <n v="116.83459821428572"/>
    <s v="January"/>
    <s v="Q1"/>
    <s v="Large"/>
  </r>
  <r>
    <s v="Jan Morforth"/>
    <s v="India"/>
    <s v="Choco Coated Almonds"/>
    <x v="489"/>
    <n v="2987.81"/>
    <n v="136"/>
    <n v="21.969191176470588"/>
    <s v="August"/>
    <s v="Q3"/>
    <s v="Large"/>
  </r>
  <r>
    <s v="Gigi Bohling"/>
    <s v="Canada"/>
    <s v="Almond Choco"/>
    <x v="467"/>
    <n v="11705.99"/>
    <n v="47"/>
    <n v="249.0636170212766"/>
    <s v="February"/>
    <s v="Q1"/>
    <s v="Large"/>
  </r>
  <r>
    <s v="Rafaelita Blaksland"/>
    <s v="India"/>
    <s v="After Nines"/>
    <x v="388"/>
    <n v="5256.03"/>
    <n v="201"/>
    <n v="26.149402985074627"/>
    <s v="March"/>
    <s v="Q1"/>
    <s v="Large"/>
  </r>
  <r>
    <s v="Kelci Walkden"/>
    <s v="Australia"/>
    <s v="99% Dark &amp; Pure"/>
    <x v="366"/>
    <n v="3794.1"/>
    <n v="36"/>
    <n v="105.39166666666667"/>
    <s v="June"/>
    <s v="Q2"/>
    <s v="Large"/>
  </r>
  <r>
    <s v="Dotty Strutley"/>
    <s v="Australia"/>
    <s v="Spicy Special Slims"/>
    <x v="490"/>
    <n v="9655.2999999999993"/>
    <n v="97"/>
    <n v="99.539175257731955"/>
    <s v="January"/>
    <s v="Q1"/>
    <s v="Large"/>
  </r>
  <r>
    <s v="Brien Boise"/>
    <s v="USA"/>
    <s v="Milk Bars"/>
    <x v="338"/>
    <n v="16001.54"/>
    <n v="133"/>
    <n v="120.31233082706767"/>
    <s v="July"/>
    <s v="Q3"/>
    <s v="Large"/>
  </r>
  <r>
    <s v="Mallorie Waber"/>
    <s v="New Zealand"/>
    <s v="Mint Chip Choco"/>
    <x v="396"/>
    <n v="1386.1"/>
    <n v="104"/>
    <n v="13.327884615384615"/>
    <s v="January"/>
    <s v="Q1"/>
    <s v="Large"/>
  </r>
  <r>
    <s v="Beverie Moffet"/>
    <s v="UK"/>
    <s v="99% Dark &amp; Pure"/>
    <x v="386"/>
    <n v="3821.76"/>
    <n v="122"/>
    <n v="31.325901639344263"/>
    <s v="August"/>
    <s v="Q3"/>
    <s v="Large"/>
  </r>
  <r>
    <s v="Beverie Moffet"/>
    <s v="USA"/>
    <s v="Peanut Butter Cubes"/>
    <x v="397"/>
    <n v="15722.43"/>
    <n v="351"/>
    <n v="44.793247863247863"/>
    <s v="August"/>
    <s v="Q3"/>
    <s v="Large"/>
  </r>
  <r>
    <s v="Brien Boise"/>
    <s v="New Zealand"/>
    <s v="White Choc"/>
    <x v="362"/>
    <n v="6287.25"/>
    <n v="340"/>
    <n v="18.491911764705883"/>
    <s v="June"/>
    <s v="Q2"/>
    <s v="Large"/>
  </r>
  <r>
    <s v="Marney O'Breen"/>
    <s v="USA"/>
    <s v="Baker's Choco Chips"/>
    <x v="350"/>
    <n v="9831.9699999999993"/>
    <n v="9"/>
    <n v="1092.441111111111"/>
    <s v="January"/>
    <s v="Q1"/>
    <s v="Large"/>
  </r>
  <r>
    <s v="Kelci Walkden"/>
    <s v="USA"/>
    <s v="Spicy Special Slims"/>
    <x v="430"/>
    <n v="90.36"/>
    <n v="73"/>
    <n v="1.2378082191780821"/>
    <s v="April"/>
    <s v="Q2"/>
    <s v="Small"/>
  </r>
  <r>
    <s v="Mallorie Waber"/>
    <s v="Canada"/>
    <s v="White Choc"/>
    <x v="486"/>
    <n v="3799.5"/>
    <n v="71"/>
    <n v="53.514084507042256"/>
    <s v="March"/>
    <s v="Q1"/>
    <s v="Large"/>
  </r>
  <r>
    <s v="Kaine Padly"/>
    <s v="Australia"/>
    <s v="Almond Choco"/>
    <x v="441"/>
    <n v="4674.2"/>
    <n v="422"/>
    <n v="11.076303317535544"/>
    <s v="February"/>
    <s v="Q1"/>
    <s v="Large"/>
  </r>
  <r>
    <s v="Oby Sorrel"/>
    <s v="USA"/>
    <s v="Smooth Sliky Salty"/>
    <x v="408"/>
    <n v="4011.83"/>
    <n v="169"/>
    <n v="23.738639053254438"/>
    <s v="March"/>
    <s v="Q1"/>
    <s v="Large"/>
  </r>
  <r>
    <s v="Dennison Crosswaite"/>
    <s v="India"/>
    <s v="Smooth Sliky Salty"/>
    <x v="338"/>
    <n v="3429.85"/>
    <n v="9"/>
    <n v="381.09444444444443"/>
    <s v="July"/>
    <s v="Q3"/>
    <s v="Large"/>
  </r>
  <r>
    <s v="Camilla Castle"/>
    <s v="New Zealand"/>
    <s v="Caramel Stuffed Bars"/>
    <x v="492"/>
    <n v="4920.68"/>
    <n v="380"/>
    <n v="12.949157894736842"/>
    <s v="June"/>
    <s v="Q2"/>
    <s v="Large"/>
  </r>
  <r>
    <s v="Jan Morforth"/>
    <s v="Canada"/>
    <s v="Caramel Stuffed Bars"/>
    <x v="409"/>
    <n v="10049.719999999999"/>
    <n v="118"/>
    <n v="85.167118644067784"/>
    <s v="August"/>
    <s v="Q3"/>
    <s v="Large"/>
  </r>
  <r>
    <s v="Oby Sorrel"/>
    <s v="USA"/>
    <s v="Baker's Choco Chips"/>
    <x v="489"/>
    <n v="8485.1"/>
    <n v="120"/>
    <n v="70.709166666666675"/>
    <s v="August"/>
    <s v="Q3"/>
    <s v="Large"/>
  </r>
  <r>
    <s v="Madelene Upcott"/>
    <s v="New Zealand"/>
    <s v="Peanut Butter Cubes"/>
    <x v="418"/>
    <n v="6030.31"/>
    <n v="351"/>
    <n v="17.180370370370373"/>
    <s v="January"/>
    <s v="Q1"/>
    <s v="Large"/>
  </r>
  <r>
    <s v="Kelci Walkden"/>
    <s v="Australia"/>
    <s v="Orange Choco"/>
    <x v="430"/>
    <n v="13331.77"/>
    <n v="443"/>
    <n v="30.094288939051921"/>
    <s v="April"/>
    <s v="Q2"/>
    <s v="Large"/>
  </r>
  <r>
    <s v="Marney O'Breen"/>
    <s v="Australia"/>
    <s v="Manuka Honey Choco"/>
    <x v="352"/>
    <n v="15245.95"/>
    <n v="233"/>
    <n v="65.433261802575117"/>
    <s v="April"/>
    <s v="Q2"/>
    <s v="Large"/>
  </r>
  <r>
    <s v="Kaine Padly"/>
    <s v="Canada"/>
    <s v="Manuka Honey Choco"/>
    <x v="429"/>
    <n v="11618.55"/>
    <n v="133"/>
    <n v="87.35751879699248"/>
    <s v="January"/>
    <s v="Q1"/>
    <s v="Large"/>
  </r>
  <r>
    <s v="Jehu Rudeforth"/>
    <s v="UK"/>
    <s v="Baker's Choco Chips"/>
    <x v="381"/>
    <n v="2629.59"/>
    <n v="98"/>
    <n v="26.832551020408165"/>
    <s v="May"/>
    <s v="Q2"/>
    <s v="Large"/>
  </r>
  <r>
    <s v="Kelci Walkden"/>
    <s v="Australia"/>
    <s v="White Choc"/>
    <x v="368"/>
    <n v="10089.49"/>
    <n v="168"/>
    <n v="60.056488095238095"/>
    <s v="August"/>
    <s v="Q3"/>
    <s v="Large"/>
  </r>
  <r>
    <s v="Curtice Advani"/>
    <s v="India"/>
    <s v="85% Dark Bars"/>
    <x v="429"/>
    <n v="308.24"/>
    <n v="402"/>
    <n v="0.7667661691542289"/>
    <s v="January"/>
    <s v="Q1"/>
    <s v="Small"/>
  </r>
  <r>
    <s v="Kaine Padly"/>
    <s v="USA"/>
    <s v="Eclairs"/>
    <x v="374"/>
    <n v="7978.76"/>
    <n v="10"/>
    <n v="797.87599999999998"/>
    <s v="August"/>
    <s v="Q3"/>
    <s v="Large"/>
  </r>
  <r>
    <s v="Gunar Cockshoot"/>
    <s v="UK"/>
    <s v="99% Dark &amp; Pure"/>
    <x v="402"/>
    <n v="8.16"/>
    <n v="84"/>
    <n v="9.7142857142857142E-2"/>
    <s v="March"/>
    <s v="Q1"/>
    <s v="Small"/>
  </r>
  <r>
    <s v="Beverie Moffet"/>
    <s v="UK"/>
    <s v="Choco Coated Almonds"/>
    <x v="408"/>
    <n v="3303.13"/>
    <n v="73"/>
    <n v="45.248356164383566"/>
    <s v="March"/>
    <s v="Q1"/>
    <s v="Large"/>
  </r>
  <r>
    <s v="Dotty Strutley"/>
    <s v="Canada"/>
    <s v="Manuka Honey Choco"/>
    <x v="455"/>
    <n v="13959.74"/>
    <n v="113"/>
    <n v="123.53752212389381"/>
    <s v="April"/>
    <s v="Q2"/>
    <s v="Large"/>
  </r>
  <r>
    <s v="Kaine Padly"/>
    <s v="Australia"/>
    <s v="Milk Bars"/>
    <x v="469"/>
    <n v="4251.42"/>
    <n v="91"/>
    <n v="46.7189010989011"/>
    <s v="June"/>
    <s v="Q2"/>
    <s v="Large"/>
  </r>
  <r>
    <s v="Jan Morforth"/>
    <s v="Canada"/>
    <s v="Fruit &amp; Nut Bars"/>
    <x v="426"/>
    <n v="9885.5300000000007"/>
    <n v="217"/>
    <n v="45.555437788018438"/>
    <s v="July"/>
    <s v="Q3"/>
    <s v="Large"/>
  </r>
  <r>
    <s v="Jan Morforth"/>
    <s v="India"/>
    <s v="Smooth Sliky Salty"/>
    <x v="349"/>
    <n v="12864.47"/>
    <n v="93"/>
    <n v="138.32763440860214"/>
    <s v="August"/>
    <s v="Q3"/>
    <s v="Large"/>
  </r>
  <r>
    <s v="Rafaelita Blaksland"/>
    <s v="Australia"/>
    <s v="Manuka Honey Choco"/>
    <x v="349"/>
    <n v="5245.6"/>
    <n v="144"/>
    <n v="36.427777777777777"/>
    <s v="August"/>
    <s v="Q3"/>
    <s v="Large"/>
  </r>
  <r>
    <s v="Jehu Rudeforth"/>
    <s v="UK"/>
    <s v="Milk Bars"/>
    <x v="480"/>
    <n v="14345.5"/>
    <n v="219"/>
    <n v="65.504566210045667"/>
    <s v="May"/>
    <s v="Q2"/>
    <s v="Large"/>
  </r>
  <r>
    <s v="Husein Augar"/>
    <s v="Canada"/>
    <s v="After Nines"/>
    <x v="414"/>
    <n v="11462.19"/>
    <n v="288"/>
    <n v="39.799270833333338"/>
    <s v="January"/>
    <s v="Q1"/>
    <s v="Large"/>
  </r>
  <r>
    <s v="Roddy Speechley"/>
    <s v="USA"/>
    <s v="50% Dark Bites"/>
    <x v="394"/>
    <n v="11667.94"/>
    <n v="306"/>
    <n v="38.130522875816993"/>
    <s v="February"/>
    <s v="Q1"/>
    <s v="Large"/>
  </r>
  <r>
    <s v="Van Tuxwell"/>
    <s v="India"/>
    <s v="Almond Choco"/>
    <x v="443"/>
    <n v="7455.17"/>
    <n v="383"/>
    <n v="19.465195822454309"/>
    <s v="June"/>
    <s v="Q2"/>
    <s v="Large"/>
  </r>
  <r>
    <s v="Kelci Walkden"/>
    <s v="USA"/>
    <s v="50% Dark Bites"/>
    <x v="421"/>
    <n v="7203.64"/>
    <n v="234"/>
    <n v="30.784786324786324"/>
    <s v="March"/>
    <s v="Q1"/>
    <s v="Large"/>
  </r>
  <r>
    <s v="Madelene Upcott"/>
    <s v="Canada"/>
    <s v="85% Dark Bars"/>
    <x v="356"/>
    <n v="8081.58"/>
    <n v="105"/>
    <n v="76.96742857142857"/>
    <s v="February"/>
    <s v="Q1"/>
    <s v="Large"/>
  </r>
  <r>
    <s v="Dennison Crosswaite"/>
    <s v="Canada"/>
    <s v="Smooth Sliky Salty"/>
    <x v="439"/>
    <n v="2055.4"/>
    <n v="485"/>
    <n v="4.2379381443298971"/>
    <s v="March"/>
    <s v="Q1"/>
    <s v="Large"/>
  </r>
  <r>
    <s v="Mallorie Waber"/>
    <s v="Australia"/>
    <s v="Spicy Special Slims"/>
    <x v="364"/>
    <n v="6476.09"/>
    <n v="304"/>
    <n v="21.30292763157895"/>
    <s v="June"/>
    <s v="Q2"/>
    <s v="Large"/>
  </r>
  <r>
    <s v="Ches Bonnell"/>
    <s v="Canada"/>
    <s v="Choco Coated Almonds"/>
    <x v="368"/>
    <n v="17490.080000000002"/>
    <n v="289"/>
    <n v="60.519307958477512"/>
    <s v="August"/>
    <s v="Q3"/>
    <s v="Large"/>
  </r>
  <r>
    <s v="Gigi Bohling"/>
    <s v="Canada"/>
    <s v="Spicy Special Slims"/>
    <x v="345"/>
    <n v="13644"/>
    <n v="281"/>
    <n v="48.555160142348754"/>
    <s v="July"/>
    <s v="Q3"/>
    <s v="Large"/>
  </r>
  <r>
    <s v="Roddy Speechley"/>
    <s v="New Zealand"/>
    <s v="Almond Choco"/>
    <x v="407"/>
    <n v="2930.46"/>
    <n v="70"/>
    <n v="41.863714285714288"/>
    <s v="March"/>
    <s v="Q1"/>
    <s v="Large"/>
  </r>
  <r>
    <s v="Curtice Advani"/>
    <s v="India"/>
    <s v="Smooth Sliky Salty"/>
    <x v="377"/>
    <n v="22717.09"/>
    <n v="143"/>
    <n v="158.86076923076922"/>
    <s v="April"/>
    <s v="Q2"/>
    <s v="Large"/>
  </r>
  <r>
    <s v="Ches Bonnell"/>
    <s v="New Zealand"/>
    <s v="Mint Chip Choco"/>
    <x v="429"/>
    <n v="9471.7199999999993"/>
    <n v="248"/>
    <n v="38.192419354838705"/>
    <s v="January"/>
    <s v="Q1"/>
    <s v="Large"/>
  </r>
  <r>
    <s v="Van Tuxwell"/>
    <s v="New Zealand"/>
    <s v="Fruit &amp; Nut Bars"/>
    <x v="490"/>
    <n v="3400.47"/>
    <n v="92"/>
    <n v="36.961630434782606"/>
    <s v="January"/>
    <s v="Q1"/>
    <s v="Large"/>
  </r>
  <r>
    <s v="Andria Kimpton"/>
    <s v="New Zealand"/>
    <s v="Mint Chip Choco"/>
    <x v="478"/>
    <n v="10696.21"/>
    <n v="201"/>
    <n v="53.214975124378107"/>
    <s v="February"/>
    <s v="Q1"/>
    <s v="Large"/>
  </r>
  <r>
    <s v="Andria Kimpton"/>
    <s v="UK"/>
    <s v="Milk Bars"/>
    <x v="394"/>
    <n v="17101.669999999998"/>
    <n v="307"/>
    <n v="55.705765472312699"/>
    <s v="February"/>
    <s v="Q1"/>
    <s v="Large"/>
  </r>
  <r>
    <s v="Camilla Castle"/>
    <s v="USA"/>
    <s v="Manuka Honey Choco"/>
    <x v="475"/>
    <n v="18936.88"/>
    <n v="180"/>
    <n v="105.20488888888889"/>
    <s v="March"/>
    <s v="Q1"/>
    <s v="Large"/>
  </r>
  <r>
    <s v="Gunar Cockshoot"/>
    <s v="New Zealand"/>
    <s v="Almond Choco"/>
    <x v="415"/>
    <n v="6015.37"/>
    <n v="136"/>
    <n v="44.230661764705879"/>
    <s v="January"/>
    <s v="Q1"/>
    <s v="Large"/>
  </r>
  <r>
    <s v="Brien Boise"/>
    <s v="India"/>
    <s v="Raspberry Choco"/>
    <x v="357"/>
    <n v="7623.58"/>
    <n v="162"/>
    <n v="47.059135802469136"/>
    <s v="May"/>
    <s v="Q2"/>
    <s v="Large"/>
  </r>
  <r>
    <s v="Jehu Rudeforth"/>
    <s v="USA"/>
    <s v="99% Dark &amp; Pure"/>
    <x v="336"/>
    <n v="2996.83"/>
    <n v="227"/>
    <n v="13.201894273127753"/>
    <s v="January"/>
    <s v="Q1"/>
    <s v="Large"/>
  </r>
  <r>
    <s v="Beverie Moffet"/>
    <s v="Australia"/>
    <s v="Fruit &amp; Nut Bars"/>
    <x v="455"/>
    <n v="1718.97"/>
    <n v="260"/>
    <n v="6.6114230769230771"/>
    <s v="April"/>
    <s v="Q2"/>
    <s v="Large"/>
  </r>
  <r>
    <s v="Gigi Bohling"/>
    <s v="Canada"/>
    <s v="Milk Bars"/>
    <x v="493"/>
    <n v="3523.33"/>
    <n v="114"/>
    <n v="30.90640350877193"/>
    <s v="February"/>
    <s v="Q1"/>
    <s v="Large"/>
  </r>
  <r>
    <s v="Dotty Strutley"/>
    <s v="India"/>
    <s v="Spicy Special Slims"/>
    <x v="489"/>
    <n v="1092.3599999999999"/>
    <n v="209"/>
    <n v="5.2266028708133963"/>
    <s v="August"/>
    <s v="Q3"/>
    <s v="Large"/>
  </r>
  <r>
    <s v="Gunar Cockshoot"/>
    <s v="USA"/>
    <s v="Organic Choco Syrup"/>
    <x v="386"/>
    <n v="2495.71"/>
    <n v="310"/>
    <n v="8.0506774193548392"/>
    <s v="August"/>
    <s v="Q3"/>
    <s v="Large"/>
  </r>
  <r>
    <s v="Kelci Walkden"/>
    <s v="Australia"/>
    <s v="Raspberry Choco"/>
    <x v="412"/>
    <n v="813.41"/>
    <n v="58"/>
    <n v="14.024310344827585"/>
    <s v="June"/>
    <s v="Q2"/>
    <s v="Large"/>
  </r>
  <r>
    <s v="Jehu Rudeforth"/>
    <s v="India"/>
    <s v="Baker's Choco Chips"/>
    <x v="341"/>
    <n v="2489.06"/>
    <n v="81"/>
    <n v="30.729135802469134"/>
    <s v="June"/>
    <s v="Q2"/>
    <s v="Large"/>
  </r>
  <r>
    <s v="Karlen McCaffrey"/>
    <s v="New Zealand"/>
    <s v="Baker's Choco Chips"/>
    <x v="352"/>
    <n v="5701.35"/>
    <n v="201"/>
    <n v="28.36492537313433"/>
    <s v="April"/>
    <s v="Q2"/>
    <s v="Large"/>
  </r>
  <r>
    <s v="Wilone O'Kielt"/>
    <s v="USA"/>
    <s v="50% Dark Bites"/>
    <x v="494"/>
    <n v="5084.32"/>
    <n v="126"/>
    <n v="40.351746031746032"/>
    <s v="April"/>
    <s v="Q2"/>
    <s v="Large"/>
  </r>
  <r>
    <s v="Andria Kimpton"/>
    <s v="India"/>
    <s v="50% Dark Bites"/>
    <x v="396"/>
    <n v="15789.48"/>
    <n v="16"/>
    <n v="986.84249999999997"/>
    <s v="January"/>
    <s v="Q1"/>
    <s v="Large"/>
  </r>
  <r>
    <s v="Madelene Upcott"/>
    <s v="USA"/>
    <s v="Baker's Choco Chips"/>
    <x v="374"/>
    <n v="6541.75"/>
    <n v="141"/>
    <n v="46.395390070921984"/>
    <s v="August"/>
    <s v="Q3"/>
    <s v="Large"/>
  </r>
  <r>
    <s v="Jehu Rudeforth"/>
    <s v="Australia"/>
    <s v="99% Dark &amp; Pure"/>
    <x v="411"/>
    <n v="11409.11"/>
    <n v="217"/>
    <n v="52.576543778801849"/>
    <s v="February"/>
    <s v="Q1"/>
    <s v="Large"/>
  </r>
  <r>
    <s v="Jan Morforth"/>
    <s v="Australia"/>
    <s v="Mint Chip Choco"/>
    <x v="441"/>
    <n v="19258.41"/>
    <n v="99"/>
    <n v="194.52939393939394"/>
    <s v="February"/>
    <s v="Q1"/>
    <s v="Large"/>
  </r>
  <r>
    <s v="Oby Sorrel"/>
    <s v="New Zealand"/>
    <s v="Milk Bars"/>
    <x v="425"/>
    <n v="5074.8599999999997"/>
    <n v="201"/>
    <n v="25.248059701492537"/>
    <s v="January"/>
    <s v="Q1"/>
    <s v="Large"/>
  </r>
  <r>
    <s v="Brien Boise"/>
    <s v="UK"/>
    <s v="Almond Choco"/>
    <x v="399"/>
    <n v="115.9"/>
    <n v="120"/>
    <n v="0.96583333333333343"/>
    <s v="May"/>
    <s v="Q2"/>
    <s v="Small"/>
  </r>
  <r>
    <s v="Kelci Walkden"/>
    <s v="India"/>
    <s v="Smooth Sliky Salty"/>
    <x v="467"/>
    <n v="2797.19"/>
    <n v="9"/>
    <n v="310.79888888888888"/>
    <s v="February"/>
    <s v="Q1"/>
    <s v="Large"/>
  </r>
  <r>
    <s v="Rafaelita Blaksland"/>
    <s v="UK"/>
    <s v="Eclairs"/>
    <x v="339"/>
    <n v="1608.04"/>
    <n v="75"/>
    <n v="21.440533333333335"/>
    <s v="April"/>
    <s v="Q2"/>
    <s v="Large"/>
  </r>
  <r>
    <s v="Gigi Bohling"/>
    <s v="USA"/>
    <s v="Smooth Sliky Salty"/>
    <x v="367"/>
    <n v="2960.99"/>
    <n v="133"/>
    <n v="22.263082706766916"/>
    <s v="July"/>
    <s v="Q3"/>
    <s v="Large"/>
  </r>
  <r>
    <s v="Curtice Advani"/>
    <s v="New Zealand"/>
    <s v="Mint Chip Choco"/>
    <x v="350"/>
    <n v="3703.51"/>
    <n v="260"/>
    <n v="14.244269230769232"/>
    <s v="January"/>
    <s v="Q1"/>
    <s v="Large"/>
  </r>
  <r>
    <s v="Curtice Advani"/>
    <s v="USA"/>
    <s v="Mint Chip Choco"/>
    <x v="368"/>
    <n v="5679.57"/>
    <n v="285"/>
    <n v="19.928315789473682"/>
    <s v="August"/>
    <s v="Q3"/>
    <s v="Large"/>
  </r>
  <r>
    <s v="Madelene Upcott"/>
    <s v="New Zealand"/>
    <s v="Fruit &amp; Nut Bars"/>
    <x v="429"/>
    <n v="6764.17"/>
    <n v="20"/>
    <n v="338.20850000000002"/>
    <s v="January"/>
    <s v="Q1"/>
    <s v="Large"/>
  </r>
  <r>
    <s v="Karlen McCaffrey"/>
    <s v="India"/>
    <s v="85% Dark Bars"/>
    <x v="495"/>
    <n v="1108.8499999999999"/>
    <n v="87"/>
    <n v="12.745402298850573"/>
    <s v="March"/>
    <s v="Q1"/>
    <s v="Large"/>
  </r>
  <r>
    <s v="Ches Bonnell"/>
    <s v="Australia"/>
    <s v="Caramel Stuffed Bars"/>
    <x v="490"/>
    <n v="9477.32"/>
    <n v="160"/>
    <n v="59.233249999999998"/>
    <s v="January"/>
    <s v="Q1"/>
    <s v="Large"/>
  </r>
  <r>
    <s v="Kelci Walkden"/>
    <s v="USA"/>
    <s v="Fruit &amp; Nut Bars"/>
    <x v="356"/>
    <n v="5301.93"/>
    <n v="155"/>
    <n v="34.206000000000003"/>
    <s v="February"/>
    <s v="Q1"/>
    <s v="Large"/>
  </r>
  <r>
    <s v="Kelci Walkden"/>
    <s v="Canada"/>
    <s v="Peanut Butter Cubes"/>
    <x v="406"/>
    <n v="8041.25"/>
    <n v="43"/>
    <n v="187.00581395348837"/>
    <s v="April"/>
    <s v="Q2"/>
    <s v="Large"/>
  </r>
  <r>
    <s v="Gigi Bohling"/>
    <s v="Canada"/>
    <s v="Drinking Coco"/>
    <x v="383"/>
    <n v="3716.17"/>
    <n v="89"/>
    <n v="41.754719101123598"/>
    <s v="July"/>
    <s v="Q3"/>
    <s v="Large"/>
  </r>
  <r>
    <s v="Husein Augar"/>
    <s v="India"/>
    <s v="Fruit &amp; Nut Bars"/>
    <x v="428"/>
    <n v="4591.7700000000004"/>
    <n v="222"/>
    <n v="20.683648648648649"/>
    <s v="April"/>
    <s v="Q2"/>
    <s v="Large"/>
  </r>
  <r>
    <s v="Jan Morforth"/>
    <s v="New Zealand"/>
    <s v="Organic Choco Syrup"/>
    <x v="388"/>
    <n v="1928.33"/>
    <n v="217"/>
    <n v="8.8863133640552991"/>
    <s v="March"/>
    <s v="Q1"/>
    <s v="Large"/>
  </r>
  <r>
    <s v="Gigi Bohling"/>
    <s v="New Zealand"/>
    <s v="Raspberry Choco"/>
    <x v="481"/>
    <n v="1225.1199999999999"/>
    <n v="186"/>
    <n v="6.586666666666666"/>
    <s v="August"/>
    <s v="Q3"/>
    <s v="Large"/>
  </r>
  <r>
    <s v="Dennison Crosswaite"/>
    <s v="Australia"/>
    <s v="Milk Bars"/>
    <x v="469"/>
    <n v="11326.55"/>
    <n v="296"/>
    <n v="38.265371621621618"/>
    <s v="June"/>
    <s v="Q2"/>
    <s v="Large"/>
  </r>
  <r>
    <s v="Ches Bonnell"/>
    <s v="UK"/>
    <s v="Caramel Stuffed Bars"/>
    <x v="370"/>
    <n v="3063.08"/>
    <n v="301"/>
    <n v="10.176345514950166"/>
    <s v="June"/>
    <s v="Q2"/>
    <s v="Large"/>
  </r>
  <r>
    <s v="Van Tuxwell"/>
    <s v="USA"/>
    <s v="Fruit &amp; Nut Bars"/>
    <x v="361"/>
    <n v="7093.33"/>
    <n v="233"/>
    <n v="30.443476394849785"/>
    <s v="July"/>
    <s v="Q3"/>
    <s v="Large"/>
  </r>
  <r>
    <s v="Andria Kimpton"/>
    <s v="Canada"/>
    <s v="Eclairs"/>
    <x v="491"/>
    <n v="337.37"/>
    <n v="120"/>
    <n v="2.8114166666666667"/>
    <s v="August"/>
    <s v="Q3"/>
    <s v="Small"/>
  </r>
  <r>
    <s v="Madelene Upcott"/>
    <s v="India"/>
    <s v="Choco Coated Almonds"/>
    <x v="394"/>
    <n v="3764.59"/>
    <n v="158"/>
    <n v="23.826518987341775"/>
    <s v="February"/>
    <s v="Q1"/>
    <s v="Large"/>
  </r>
  <r>
    <s v="Kelci Walkden"/>
    <s v="New Zealand"/>
    <s v="Spicy Special Slims"/>
    <x v="491"/>
    <n v="695.32"/>
    <n v="68"/>
    <n v="10.22529411764706"/>
    <s v="August"/>
    <s v="Q3"/>
    <s v="Large"/>
  </r>
  <r>
    <s v="Roddy Speechley"/>
    <s v="Australia"/>
    <s v="Drinking Coco"/>
    <x v="401"/>
    <n v="14609.99"/>
    <n v="111"/>
    <n v="131.62153153153153"/>
    <s v="May"/>
    <s v="Q2"/>
    <s v="Large"/>
  </r>
  <r>
    <s v="Wilone O'Kielt"/>
    <s v="USA"/>
    <s v="Milk Bars"/>
    <x v="378"/>
    <n v="5298.68"/>
    <n v="96"/>
    <n v="55.194583333333334"/>
    <s v="July"/>
    <s v="Q3"/>
    <s v="Large"/>
  </r>
  <r>
    <s v="Andria Kimpton"/>
    <s v="India"/>
    <s v="Organic Choco Syrup"/>
    <x v="429"/>
    <n v="4552.3"/>
    <n v="132"/>
    <n v="34.487121212121217"/>
    <s v="January"/>
    <s v="Q1"/>
    <s v="Large"/>
  </r>
  <r>
    <s v="Madelene Upcott"/>
    <s v="UK"/>
    <s v="Fruit &amp; Nut Bars"/>
    <x v="415"/>
    <n v="9099.26"/>
    <n v="199"/>
    <n v="45.724924623115577"/>
    <s v="January"/>
    <s v="Q1"/>
    <s v="Large"/>
  </r>
  <r>
    <s v="Curtice Advani"/>
    <s v="Australia"/>
    <s v="50% Dark Bites"/>
    <x v="364"/>
    <n v="603.97"/>
    <n v="239"/>
    <n v="2.5270711297071129"/>
    <s v="June"/>
    <s v="Q2"/>
    <s v="Large"/>
  </r>
  <r>
    <s v="Brien Boise"/>
    <s v="Canada"/>
    <s v="Raspberry Choco"/>
    <x v="443"/>
    <n v="3172.23"/>
    <n v="46"/>
    <n v="68.961521739130433"/>
    <s v="June"/>
    <s v="Q2"/>
    <s v="Large"/>
  </r>
  <r>
    <s v="Gunar Cockshoot"/>
    <s v="India"/>
    <s v="Mint Chip Choco"/>
    <x v="451"/>
    <n v="4737.32"/>
    <n v="74"/>
    <n v="64.017837837837831"/>
    <s v="August"/>
    <s v="Q3"/>
    <s v="Large"/>
  </r>
  <r>
    <s v="Dennison Crosswaite"/>
    <s v="India"/>
    <s v="Mint Chip Choco"/>
    <x v="421"/>
    <n v="15201.56"/>
    <n v="142"/>
    <n v="107.05323943661972"/>
    <s v="March"/>
    <s v="Q1"/>
    <s v="Large"/>
  </r>
  <r>
    <s v="Barr Faughny"/>
    <s v="India"/>
    <s v="Caramel Stuffed Bars"/>
    <x v="336"/>
    <n v="7912.62"/>
    <n v="106"/>
    <n v="74.647358490566035"/>
    <s v="January"/>
    <s v="Q1"/>
    <s v="Large"/>
  </r>
  <r>
    <s v="Brien Boise"/>
    <s v="India"/>
    <s v="Milk Bars"/>
    <x v="441"/>
    <n v="14190.78"/>
    <n v="269"/>
    <n v="52.753828996282529"/>
    <s v="February"/>
    <s v="Q1"/>
    <s v="Large"/>
  </r>
  <r>
    <s v="Beverie Moffet"/>
    <s v="UK"/>
    <s v="Spicy Special Slims"/>
    <x v="356"/>
    <n v="9327.08"/>
    <n v="259"/>
    <n v="36.011891891891892"/>
    <s v="February"/>
    <s v="Q1"/>
    <s v="Large"/>
  </r>
  <r>
    <s v="Barr Faughny"/>
    <s v="USA"/>
    <s v="Almond Choco"/>
    <x v="488"/>
    <n v="434.42"/>
    <n v="83"/>
    <n v="5.233975903614458"/>
    <s v="February"/>
    <s v="Q1"/>
    <s v="Small"/>
  </r>
  <r>
    <s v="Van Tuxwell"/>
    <s v="Canada"/>
    <s v="Raspberry Choco"/>
    <x v="439"/>
    <n v="1497.58"/>
    <n v="132"/>
    <n v="11.345303030303029"/>
    <s v="March"/>
    <s v="Q1"/>
    <s v="Large"/>
  </r>
  <r>
    <s v="Wilone O'Kielt"/>
    <s v="Australia"/>
    <s v="Baker's Choco Chips"/>
    <x v="342"/>
    <n v="3124.74"/>
    <n v="155"/>
    <n v="20.159612903225806"/>
    <s v="January"/>
    <s v="Q1"/>
    <s v="Large"/>
  </r>
  <r>
    <s v="Brien Boise"/>
    <s v="Australia"/>
    <s v="Milk Bars"/>
    <x v="445"/>
    <n v="2356.21"/>
    <n v="54"/>
    <n v="43.633518518518521"/>
    <s v="July"/>
    <s v="Q3"/>
    <s v="Large"/>
  </r>
  <r>
    <s v="Husein Augar"/>
    <s v="Australia"/>
    <s v="Fruit &amp; Nut Bars"/>
    <x v="418"/>
    <n v="8548"/>
    <n v="55"/>
    <n v="155.41818181818181"/>
    <s v="January"/>
    <s v="Q1"/>
    <s v="Large"/>
  </r>
  <r>
    <s v="Madelene Upcott"/>
    <s v="Australia"/>
    <s v="Organic Choco Syrup"/>
    <x v="361"/>
    <n v="12094.34"/>
    <n v="52"/>
    <n v="232.58346153846153"/>
    <s v="July"/>
    <s v="Q3"/>
    <s v="Large"/>
  </r>
  <r>
    <s v="Van Tuxwell"/>
    <s v="India"/>
    <s v="White Choc"/>
    <x v="447"/>
    <n v="2119.42"/>
    <n v="46"/>
    <n v="46.074347826086957"/>
    <s v="March"/>
    <s v="Q1"/>
    <s v="Large"/>
  </r>
  <r>
    <s v="Gunar Cockshoot"/>
    <s v="Canada"/>
    <s v="After Nines"/>
    <x v="453"/>
    <n v="3038.32"/>
    <n v="220"/>
    <n v="13.810545454545455"/>
    <s v="August"/>
    <s v="Q3"/>
    <s v="Large"/>
  </r>
  <r>
    <s v="Jan Morforth"/>
    <s v="USA"/>
    <s v="Fruit &amp; Nut Bars"/>
    <x v="355"/>
    <n v="5187.72"/>
    <n v="382"/>
    <n v="13.58041884816754"/>
    <s v="June"/>
    <s v="Q2"/>
    <s v="Large"/>
  </r>
  <r>
    <s v="Jan Morforth"/>
    <s v="Canada"/>
    <s v="After Nines"/>
    <x v="393"/>
    <n v="5384.52"/>
    <n v="180"/>
    <n v="29.914000000000001"/>
    <s v="July"/>
    <s v="Q3"/>
    <s v="Large"/>
  </r>
  <r>
    <s v="Barr Faughny"/>
    <s v="New Zealand"/>
    <s v="Manuka Honey Choco"/>
    <x v="340"/>
    <n v="6575.07"/>
    <n v="249"/>
    <n v="26.405903614457831"/>
    <s v="February"/>
    <s v="Q1"/>
    <s v="Large"/>
  </r>
  <r>
    <s v="Karlen McCaffrey"/>
    <s v="New Zealand"/>
    <s v="85% Dark Bars"/>
    <x v="380"/>
    <n v="6350.37"/>
    <n v="59"/>
    <n v="107.63338983050848"/>
    <s v="June"/>
    <s v="Q2"/>
    <s v="Large"/>
  </r>
  <r>
    <s v="Oby Sorrel"/>
    <s v="Australia"/>
    <s v="85% Dark Bars"/>
    <x v="366"/>
    <n v="7488.06"/>
    <n v="28"/>
    <n v="267.43071428571432"/>
    <s v="June"/>
    <s v="Q2"/>
    <s v="Large"/>
  </r>
  <r>
    <s v="Curtice Advani"/>
    <s v="Canada"/>
    <s v="Choco Coated Almonds"/>
    <x v="397"/>
    <n v="6997.57"/>
    <n v="7"/>
    <n v="999.6528571428571"/>
    <s v="August"/>
    <s v="Q3"/>
    <s v="Large"/>
  </r>
  <r>
    <s v="Kaine Padly"/>
    <s v="India"/>
    <s v="70% Dark Bites"/>
    <x v="416"/>
    <n v="13081.57"/>
    <n v="324"/>
    <n v="40.375216049382715"/>
    <s v="January"/>
    <s v="Q1"/>
    <s v="Large"/>
  </r>
  <r>
    <s v="Beverie Moffet"/>
    <s v="USA"/>
    <s v="White Choc"/>
    <x v="390"/>
    <n v="5964.72"/>
    <n v="136"/>
    <n v="43.858235294117648"/>
    <s v="March"/>
    <s v="Q1"/>
    <s v="Large"/>
  </r>
  <r>
    <s v="Ches Bonnell"/>
    <s v="New Zealand"/>
    <s v="After Nines"/>
    <x v="466"/>
    <n v="6651.11"/>
    <n v="377"/>
    <n v="17.642201591511935"/>
    <s v="June"/>
    <s v="Q2"/>
    <s v="Large"/>
  </r>
  <r>
    <s v="Husein Augar"/>
    <s v="India"/>
    <s v="Spicy Special Slims"/>
    <x v="374"/>
    <n v="2606.11"/>
    <n v="31"/>
    <n v="84.068064516129041"/>
    <s v="August"/>
    <s v="Q3"/>
    <s v="Large"/>
  </r>
  <r>
    <s v="Gunar Cockshoot"/>
    <s v="Canada"/>
    <s v="50% Dark Bites"/>
    <x v="336"/>
    <n v="3615.98"/>
    <n v="24"/>
    <n v="150.66583333333332"/>
    <s v="January"/>
    <s v="Q1"/>
    <s v="Large"/>
  </r>
  <r>
    <s v="Curtice Advani"/>
    <s v="India"/>
    <s v="Milk Bars"/>
    <x v="352"/>
    <n v="3658.27"/>
    <n v="210"/>
    <n v="17.420333333333332"/>
    <s v="April"/>
    <s v="Q2"/>
    <s v="Large"/>
  </r>
  <r>
    <s v="Beverie Moffet"/>
    <s v="India"/>
    <s v="Milk Bars"/>
    <x v="371"/>
    <n v="1997.46"/>
    <n v="314"/>
    <n v="6.3613375796178344"/>
    <s v="April"/>
    <s v="Q2"/>
    <s v="Large"/>
  </r>
  <r>
    <s v="Husein Augar"/>
    <s v="Australia"/>
    <s v="White Choc"/>
    <x v="365"/>
    <n v="3618.67"/>
    <n v="213"/>
    <n v="16.989061032863852"/>
    <s v="May"/>
    <s v="Q2"/>
    <s v="Large"/>
  </r>
  <r>
    <s v="Andria Kimpton"/>
    <s v="Canada"/>
    <s v="Manuka Honey Choco"/>
    <x v="465"/>
    <n v="5538.85"/>
    <n v="492"/>
    <n v="11.257825203252033"/>
    <s v="July"/>
    <s v="Q3"/>
    <s v="Large"/>
  </r>
  <r>
    <s v="Jan Morforth"/>
    <s v="New Zealand"/>
    <s v="Orange Choco"/>
    <x v="394"/>
    <n v="1382.49"/>
    <n v="86"/>
    <n v="16.075465116279069"/>
    <s v="February"/>
    <s v="Q1"/>
    <s v="Large"/>
  </r>
  <r>
    <s v="Andria Kimpton"/>
    <s v="Canada"/>
    <s v="Smooth Sliky Salty"/>
    <x v="387"/>
    <n v="1223.79"/>
    <n v="81"/>
    <n v="15.108518518518519"/>
    <s v="July"/>
    <s v="Q3"/>
    <s v="Large"/>
  </r>
  <r>
    <s v="Gunar Cockshoot"/>
    <s v="UK"/>
    <s v="Raspberry Choco"/>
    <x v="491"/>
    <n v="8043.29"/>
    <n v="344"/>
    <n v="23.381656976744186"/>
    <s v="August"/>
    <s v="Q3"/>
    <s v="Large"/>
  </r>
  <r>
    <s v="Husein Augar"/>
    <s v="New Zealand"/>
    <s v="After Nines"/>
    <x v="453"/>
    <n v="6878.47"/>
    <n v="7"/>
    <n v="982.63857142857148"/>
    <s v="August"/>
    <s v="Q3"/>
    <s v="Large"/>
  </r>
  <r>
    <s v="Andria Kimpton"/>
    <s v="New Zealand"/>
    <s v="Orange Choco"/>
    <x v="443"/>
    <n v="9420.2199999999993"/>
    <n v="94"/>
    <n v="100.21510638297872"/>
    <s v="June"/>
    <s v="Q2"/>
    <s v="Large"/>
  </r>
  <r>
    <s v="Dennison Crosswaite"/>
    <s v="UK"/>
    <s v="Baker's Choco Chips"/>
    <x v="490"/>
    <n v="2516.34"/>
    <n v="293"/>
    <n v="8.5881911262798631"/>
    <s v="January"/>
    <s v="Q1"/>
    <s v="Large"/>
  </r>
  <r>
    <s v="Jehu Rudeforth"/>
    <s v="Canada"/>
    <s v="Orange Choco"/>
    <x v="466"/>
    <n v="4334.75"/>
    <n v="529"/>
    <n v="8.1942344045368625"/>
    <s v="June"/>
    <s v="Q2"/>
    <s v="Large"/>
  </r>
  <r>
    <s v="Jehu Rudeforth"/>
    <s v="UK"/>
    <s v="Smooth Sliky Salty"/>
    <x v="368"/>
    <n v="1588.49"/>
    <n v="111"/>
    <n v="14.31072072072072"/>
    <s v="August"/>
    <s v="Q3"/>
    <s v="Large"/>
  </r>
  <r>
    <s v="Andria Kimpton"/>
    <s v="UK"/>
    <s v="Caramel Stuffed Bars"/>
    <x v="412"/>
    <n v="8959.3799999999992"/>
    <n v="271"/>
    <n v="33.060442804428043"/>
    <s v="June"/>
    <s v="Q2"/>
    <s v="Large"/>
  </r>
  <r>
    <s v="Jan Morforth"/>
    <s v="UK"/>
    <s v="White Choc"/>
    <x v="473"/>
    <n v="9409.06"/>
    <n v="46"/>
    <n v="204.54478260869564"/>
    <s v="June"/>
    <s v="Q2"/>
    <s v="Large"/>
  </r>
  <r>
    <s v="Dotty Strutley"/>
    <s v="USA"/>
    <s v="Fruit &amp; Nut Bars"/>
    <x v="393"/>
    <n v="3315.64"/>
    <n v="268"/>
    <n v="12.371791044776119"/>
    <s v="July"/>
    <s v="Q3"/>
    <s v="Large"/>
  </r>
  <r>
    <s v="Kelci Walkden"/>
    <s v="UK"/>
    <s v="Choco Coated Almonds"/>
    <x v="363"/>
    <n v="10920.7"/>
    <n v="210"/>
    <n v="52.003333333333337"/>
    <s v="May"/>
    <s v="Q2"/>
    <s v="Large"/>
  </r>
  <r>
    <s v="Gunar Cockshoot"/>
    <s v="New Zealand"/>
    <s v="After Nines"/>
    <x v="481"/>
    <n v="7605.55"/>
    <n v="154"/>
    <n v="49.38668831168831"/>
    <s v="August"/>
    <s v="Q3"/>
    <s v="Large"/>
  </r>
  <r>
    <s v="Kaine Padly"/>
    <s v="Canada"/>
    <s v="85% Dark Bars"/>
    <x v="417"/>
    <n v="1859.96"/>
    <n v="33"/>
    <n v="56.362424242424247"/>
    <s v="April"/>
    <s v="Q2"/>
    <s v="Large"/>
  </r>
  <r>
    <s v="Jan Morforth"/>
    <s v="New Zealand"/>
    <s v="Manuka Honey Choco"/>
    <x v="348"/>
    <n v="1743.87"/>
    <n v="259"/>
    <n v="6.733088803088803"/>
    <s v="July"/>
    <s v="Q3"/>
    <s v="Large"/>
  </r>
  <r>
    <s v="Gunar Cockshoot"/>
    <s v="New Zealand"/>
    <s v="Raspberry Choco"/>
    <x v="368"/>
    <n v="758.28"/>
    <n v="57"/>
    <n v="13.303157894736842"/>
    <s v="August"/>
    <s v="Q3"/>
    <s v="Large"/>
  </r>
  <r>
    <s v="Van Tuxwell"/>
    <s v="Australia"/>
    <s v="99% Dark &amp; Pure"/>
    <x v="490"/>
    <n v="125.37"/>
    <n v="138"/>
    <n v="0.90847826086956529"/>
    <s v="January"/>
    <s v="Q1"/>
    <s v="Small"/>
  </r>
  <r>
    <s v="Curtice Advani"/>
    <s v="USA"/>
    <s v="Drinking Coco"/>
    <x v="400"/>
    <n v="6170.75"/>
    <n v="149"/>
    <n v="41.414429530201339"/>
    <s v="February"/>
    <s v="Q1"/>
    <s v="Large"/>
  </r>
  <r>
    <s v="Brien Boise"/>
    <s v="Australia"/>
    <s v="Spicy Special Slims"/>
    <x v="458"/>
    <n v="6867.13"/>
    <n v="273"/>
    <n v="25.154322344322345"/>
    <s v="May"/>
    <s v="Q2"/>
    <s v="Large"/>
  </r>
  <r>
    <s v="Mallorie Waber"/>
    <s v="New Zealand"/>
    <s v="85% Dark Bars"/>
    <x v="341"/>
    <n v="8775.4500000000007"/>
    <n v="113"/>
    <n v="77.658849557522132"/>
    <s v="June"/>
    <s v="Q2"/>
    <s v="Large"/>
  </r>
  <r>
    <s v="Wilone O'Kielt"/>
    <s v="USA"/>
    <s v="Choco Coated Almonds"/>
    <x v="341"/>
    <n v="10422.84"/>
    <n v="6"/>
    <n v="1737.14"/>
    <s v="June"/>
    <s v="Q2"/>
    <s v="Large"/>
  </r>
  <r>
    <s v="Beverie Moffet"/>
    <s v="New Zealand"/>
    <s v="Organic Choco Syrup"/>
    <x v="363"/>
    <n v="7402.04"/>
    <n v="231"/>
    <n v="32.043463203463205"/>
    <s v="May"/>
    <s v="Q2"/>
    <s v="Large"/>
  </r>
  <r>
    <s v="Gunar Cockshoot"/>
    <s v="UK"/>
    <s v="50% Dark Bites"/>
    <x v="346"/>
    <n v="2498.04"/>
    <n v="129"/>
    <n v="19.364651162790697"/>
    <s v="January"/>
    <s v="Q1"/>
    <s v="Large"/>
  </r>
  <r>
    <s v="Marney O'Breen"/>
    <s v="USA"/>
    <s v="Raspberry Choco"/>
    <x v="459"/>
    <n v="6873.56"/>
    <n v="152"/>
    <n v="45.220789473684214"/>
    <s v="May"/>
    <s v="Q2"/>
    <s v="Large"/>
  </r>
  <r>
    <s v="Jehu Rudeforth"/>
    <s v="UK"/>
    <s v="White Choc"/>
    <x v="364"/>
    <n v="2015.93"/>
    <n v="304"/>
    <n v="6.6313486842105265"/>
    <s v="June"/>
    <s v="Q2"/>
    <s v="Large"/>
  </r>
  <r>
    <s v="Jehu Rudeforth"/>
    <s v="New Zealand"/>
    <s v="85% Dark Bars"/>
    <x v="390"/>
    <n v="8077.51"/>
    <n v="95"/>
    <n v="85.026421052631576"/>
    <s v="March"/>
    <s v="Q1"/>
    <s v="Large"/>
  </r>
  <r>
    <s v="Dotty Strutley"/>
    <s v="USA"/>
    <s v="85% Dark Bars"/>
    <x v="427"/>
    <n v="11149.46"/>
    <n v="538"/>
    <n v="20.723903345724906"/>
    <s v="April"/>
    <s v="Q2"/>
    <s v="Large"/>
  </r>
  <r>
    <s v="Rafaelita Blaksland"/>
    <s v="Australia"/>
    <s v="Smooth Sliky Salty"/>
    <x v="357"/>
    <n v="4739.3900000000003"/>
    <n v="236"/>
    <n v="20.082161016949154"/>
    <s v="May"/>
    <s v="Q2"/>
    <s v="Large"/>
  </r>
  <r>
    <s v="Curtice Advani"/>
    <s v="India"/>
    <s v="Manuka Honey Choco"/>
    <x v="459"/>
    <n v="1844.54"/>
    <n v="185"/>
    <n v="9.9704864864864859"/>
    <s v="May"/>
    <s v="Q2"/>
    <s v="Large"/>
  </r>
  <r>
    <s v="Mallorie Waber"/>
    <s v="USA"/>
    <s v="Peanut Butter Cubes"/>
    <x v="459"/>
    <n v="1263.98"/>
    <n v="19"/>
    <n v="66.525263157894742"/>
    <s v="May"/>
    <s v="Q2"/>
    <s v="Large"/>
  </r>
  <r>
    <s v="Van Tuxwell"/>
    <s v="Canada"/>
    <s v="Peanut Butter Cubes"/>
    <x v="468"/>
    <n v="7527.84"/>
    <n v="306"/>
    <n v="24.600784313725491"/>
    <s v="June"/>
    <s v="Q2"/>
    <s v="Large"/>
  </r>
  <r>
    <s v="Kelci Walkden"/>
    <s v="New Zealand"/>
    <s v="Smooth Sliky Salty"/>
    <x v="390"/>
    <n v="12265.45"/>
    <n v="268"/>
    <n v="45.766604477611942"/>
    <s v="March"/>
    <s v="Q1"/>
    <s v="Large"/>
  </r>
  <r>
    <s v="Rafaelita Blaksland"/>
    <s v="USA"/>
    <s v="Smooth Sliky Salty"/>
    <x v="445"/>
    <n v="17662.05"/>
    <n v="230"/>
    <n v="76.791521739130431"/>
    <s v="July"/>
    <s v="Q3"/>
    <s v="Large"/>
  </r>
  <r>
    <s v="Rafaelita Blaksland"/>
    <s v="USA"/>
    <s v="White Choc"/>
    <x v="496"/>
    <n v="5520"/>
    <n v="120"/>
    <n v="46"/>
    <s v="August"/>
    <s v="Q3"/>
    <s v="Large"/>
  </r>
  <r>
    <s v="Roddy Speechley"/>
    <s v="Canada"/>
    <s v="Smooth Sliky Salty"/>
    <x v="402"/>
    <n v="10712.76"/>
    <n v="11"/>
    <n v="973.88727272727272"/>
    <s v="March"/>
    <s v="Q1"/>
    <s v="Large"/>
  </r>
  <r>
    <s v="Curtice Advani"/>
    <s v="New Zealand"/>
    <s v="After Nines"/>
    <x v="352"/>
    <n v="8416.7999999999993"/>
    <n v="29"/>
    <n v="290.23448275862069"/>
    <s v="April"/>
    <s v="Q2"/>
    <s v="Large"/>
  </r>
  <r>
    <s v="Camilla Castle"/>
    <s v="India"/>
    <s v="85% Dark Bars"/>
    <x v="452"/>
    <n v="9986.0499999999993"/>
    <n v="54"/>
    <n v="184.92685185185184"/>
    <s v="May"/>
    <s v="Q2"/>
    <s v="Large"/>
  </r>
  <r>
    <s v="Ches Bonnell"/>
    <s v="USA"/>
    <s v="Choco Coated Almonds"/>
    <x v="336"/>
    <n v="15629.82"/>
    <n v="89"/>
    <n v="175.61595505617979"/>
    <s v="January"/>
    <s v="Q1"/>
    <s v="Large"/>
  </r>
  <r>
    <s v="Marney O'Breen"/>
    <s v="Australia"/>
    <s v="Baker's Choco Chips"/>
    <x v="346"/>
    <n v="6224.33"/>
    <n v="100"/>
    <n v="62.243299999999998"/>
    <s v="January"/>
    <s v="Q1"/>
    <s v="Large"/>
  </r>
  <r>
    <s v="Wilone O'Kielt"/>
    <s v="New Zealand"/>
    <s v="Fruit &amp; Nut Bars"/>
    <x v="372"/>
    <n v="7736.85"/>
    <n v="95"/>
    <n v="81.440526315789484"/>
    <s v="July"/>
    <s v="Q3"/>
    <s v="Large"/>
  </r>
  <r>
    <s v="Kaine Padly"/>
    <s v="Australia"/>
    <s v="Mint Chip Choco"/>
    <x v="470"/>
    <n v="4860.75"/>
    <n v="162"/>
    <n v="30.00462962962963"/>
    <s v="May"/>
    <s v="Q2"/>
    <s v="Large"/>
  </r>
  <r>
    <s v="Camilla Castle"/>
    <s v="New Zealand"/>
    <s v="Peanut Butter Cubes"/>
    <x v="465"/>
    <n v="1754.64"/>
    <n v="62"/>
    <n v="28.300645161290323"/>
    <s v="July"/>
    <s v="Q3"/>
    <s v="Large"/>
  </r>
  <r>
    <s v="Curtice Advani"/>
    <s v="Canada"/>
    <s v="Organic Choco Syrup"/>
    <x v="441"/>
    <n v="897.13"/>
    <n v="24"/>
    <n v="37.380416666666669"/>
    <s v="February"/>
    <s v="Q1"/>
    <s v="Large"/>
  </r>
  <r>
    <s v="Jan Morforth"/>
    <s v="India"/>
    <s v="99% Dark &amp; Pure"/>
    <x v="459"/>
    <n v="10607.29"/>
    <n v="182"/>
    <n v="58.281813186813189"/>
    <s v="May"/>
    <s v="Q2"/>
    <s v="Large"/>
  </r>
  <r>
    <s v="Rafaelita Blaksland"/>
    <s v="Canada"/>
    <s v="Drinking Coco"/>
    <x v="433"/>
    <n v="10772"/>
    <n v="192"/>
    <n v="56.104166666666664"/>
    <s v="July"/>
    <s v="Q3"/>
    <s v="Large"/>
  </r>
  <r>
    <s v="Jan Morforth"/>
    <s v="UK"/>
    <s v="Orange Choco"/>
    <x v="362"/>
    <n v="4116.96"/>
    <n v="203"/>
    <n v="20.280591133004926"/>
    <s v="June"/>
    <s v="Q2"/>
    <s v="Large"/>
  </r>
  <r>
    <s v="Barr Faughny"/>
    <s v="New Zealand"/>
    <s v="50% Dark Bites"/>
    <x v="466"/>
    <n v="5185.3599999999997"/>
    <n v="321"/>
    <n v="16.153769470404985"/>
    <s v="June"/>
    <s v="Q2"/>
    <s v="Large"/>
  </r>
  <r>
    <s v="Curtice Advani"/>
    <s v="Australia"/>
    <s v="Eclairs"/>
    <x v="448"/>
    <n v="6974.95"/>
    <n v="58"/>
    <n v="120.25775862068966"/>
    <s v="March"/>
    <s v="Q1"/>
    <s v="Large"/>
  </r>
  <r>
    <s v="Jan Morforth"/>
    <s v="India"/>
    <s v="Caramel Stuffed Bars"/>
    <x v="345"/>
    <n v="99.5"/>
    <n v="161"/>
    <n v="0.61801242236024845"/>
    <s v="July"/>
    <s v="Q3"/>
    <s v="Small"/>
  </r>
  <r>
    <s v="Andria Kimpton"/>
    <s v="UK"/>
    <s v="White Choc"/>
    <x v="401"/>
    <n v="10203.469999999999"/>
    <n v="109"/>
    <n v="93.609816513761459"/>
    <s v="May"/>
    <s v="Q2"/>
    <s v="Large"/>
  </r>
  <r>
    <s v="Camilla Castle"/>
    <s v="New Zealand"/>
    <s v="Raspberry Choco"/>
    <x v="428"/>
    <n v="5081.5200000000004"/>
    <n v="148"/>
    <n v="34.334594594594599"/>
    <s v="April"/>
    <s v="Q2"/>
    <s v="Large"/>
  </r>
  <r>
    <s v="Madelene Upcott"/>
    <s v="Australia"/>
    <s v="Orange Choco"/>
    <x v="371"/>
    <n v="7166.62"/>
    <n v="381"/>
    <n v="18.810026246719161"/>
    <s v="April"/>
    <s v="Q2"/>
    <s v="Large"/>
  </r>
  <r>
    <s v="Roddy Speechley"/>
    <s v="Canada"/>
    <s v="Eclairs"/>
    <x v="457"/>
    <n v="7026.54"/>
    <n v="95"/>
    <n v="73.963578947368418"/>
    <s v="March"/>
    <s v="Q1"/>
    <s v="Large"/>
  </r>
  <r>
    <s v="Karlen McCaffrey"/>
    <s v="India"/>
    <s v="White Choc"/>
    <x v="490"/>
    <n v="8265.32"/>
    <n v="251"/>
    <n v="32.929561752988043"/>
    <s v="January"/>
    <s v="Q1"/>
    <s v="Large"/>
  </r>
  <r>
    <s v="Wilone O'Kielt"/>
    <s v="India"/>
    <s v="Mint Chip Choco"/>
    <x v="374"/>
    <n v="1516.19"/>
    <n v="53"/>
    <n v="28.607358490566039"/>
    <s v="August"/>
    <s v="Q3"/>
    <s v="Large"/>
  </r>
  <r>
    <s v="Andria Kimpton"/>
    <s v="UK"/>
    <s v="99% Dark &amp; Pure"/>
    <x v="426"/>
    <n v="1258.54"/>
    <n v="72"/>
    <n v="17.479722222222222"/>
    <s v="July"/>
    <s v="Q3"/>
    <s v="Large"/>
  </r>
  <r>
    <s v="Marney O'Breen"/>
    <s v="UK"/>
    <s v="50% Dark Bites"/>
    <x v="443"/>
    <n v="3506.38"/>
    <n v="126"/>
    <n v="27.828412698412698"/>
    <s v="June"/>
    <s v="Q2"/>
    <s v="Large"/>
  </r>
  <r>
    <s v="Ches Bonnell"/>
    <s v="India"/>
    <s v="Choco Coated Almonds"/>
    <x v="352"/>
    <n v="10969"/>
    <n v="83"/>
    <n v="132.15662650602408"/>
    <s v="April"/>
    <s v="Q2"/>
    <s v="Large"/>
  </r>
  <r>
    <s v="Madelene Upcott"/>
    <s v="UK"/>
    <s v="Raspberry Choco"/>
    <x v="392"/>
    <n v="8442.19"/>
    <n v="347"/>
    <n v="24.329077809798271"/>
    <s v="August"/>
    <s v="Q3"/>
    <s v="Large"/>
  </r>
  <r>
    <s v="Wilone O'Kielt"/>
    <s v="Australia"/>
    <s v="50% Dark Bites"/>
    <x v="349"/>
    <n v="11000.85"/>
    <n v="112"/>
    <n v="98.221874999999997"/>
    <s v="August"/>
    <s v="Q3"/>
    <s v="Large"/>
  </r>
  <r>
    <s v="Gigi Bohling"/>
    <s v="Canada"/>
    <s v="White Choc"/>
    <x v="372"/>
    <n v="6987.59"/>
    <n v="4"/>
    <n v="1746.8975"/>
    <s v="July"/>
    <s v="Q3"/>
    <s v="Large"/>
  </r>
  <r>
    <s v="Wilone O'Kielt"/>
    <s v="New Zealand"/>
    <s v="Eclairs"/>
    <x v="390"/>
    <n v="3735"/>
    <n v="21"/>
    <n v="177.85714285714286"/>
    <s v="March"/>
    <s v="Q1"/>
    <s v="Large"/>
  </r>
  <r>
    <s v="Brien Boise"/>
    <s v="UK"/>
    <s v="Peanut Butter Cubes"/>
    <x v="389"/>
    <n v="17346.79"/>
    <n v="32"/>
    <n v="542.08718750000003"/>
    <s v="January"/>
    <s v="Q1"/>
    <s v="Large"/>
  </r>
  <r>
    <s v="Roddy Speechley"/>
    <s v="UK"/>
    <s v="Baker's Choco Chips"/>
    <x v="428"/>
    <n v="16517.2"/>
    <n v="349"/>
    <n v="47.327220630372494"/>
    <s v="April"/>
    <s v="Q2"/>
    <s v="Large"/>
  </r>
  <r>
    <s v="Karlen McCaffrey"/>
    <s v="Australia"/>
    <s v="50% Dark Bites"/>
    <x v="490"/>
    <n v="7642.94"/>
    <n v="778"/>
    <n v="9.8238303341902302"/>
    <s v="January"/>
    <s v="Q1"/>
    <s v="Large"/>
  </r>
  <r>
    <s v="Marney O'Breen"/>
    <s v="New Zealand"/>
    <s v="Organic Choco Syrup"/>
    <x v="387"/>
    <n v="10337.23"/>
    <n v="49"/>
    <n v="210.9638775510204"/>
    <s v="July"/>
    <s v="Q3"/>
    <s v="Large"/>
  </r>
  <r>
    <s v="Jan Morforth"/>
    <s v="UK"/>
    <s v="Organic Choco Syrup"/>
    <x v="413"/>
    <n v="1367.24"/>
    <n v="384"/>
    <n v="3.5605208333333334"/>
    <s v="April"/>
    <s v="Q2"/>
    <s v="Large"/>
  </r>
  <r>
    <s v="Rafaelita Blaksland"/>
    <s v="Canada"/>
    <s v="Fruit &amp; Nut Bars"/>
    <x v="368"/>
    <n v="570.58000000000004"/>
    <n v="191"/>
    <n v="2.9873298429319375"/>
    <s v="August"/>
    <s v="Q3"/>
    <s v="Large"/>
  </r>
  <r>
    <s v="Ches Bonnell"/>
    <s v="UK"/>
    <s v="Choco Coated Almonds"/>
    <x v="412"/>
    <n v="2012.27"/>
    <n v="259"/>
    <n v="7.7693822393822396"/>
    <s v="June"/>
    <s v="Q2"/>
    <s v="Large"/>
  </r>
  <r>
    <s v="Gunar Cockshoot"/>
    <s v="Canada"/>
    <s v="Almond Choco"/>
    <x v="348"/>
    <n v="1469.24"/>
    <n v="29"/>
    <n v="50.663448275862066"/>
    <s v="July"/>
    <s v="Q3"/>
    <s v="Large"/>
  </r>
  <r>
    <s v="Husein Augar"/>
    <s v="USA"/>
    <s v="99% Dark &amp; Pure"/>
    <x v="420"/>
    <n v="10020.18"/>
    <n v="113"/>
    <n v="88.674159292035398"/>
    <s v="February"/>
    <s v="Q1"/>
    <s v="Large"/>
  </r>
  <r>
    <s v="Dennison Crosswaite"/>
    <s v="Canada"/>
    <s v="Mint Chip Choco"/>
    <x v="406"/>
    <n v="1914.65"/>
    <n v="304"/>
    <n v="6.2981907894736846"/>
    <s v="April"/>
    <s v="Q2"/>
    <s v="Large"/>
  </r>
  <r>
    <s v="Brien Boise"/>
    <s v="UK"/>
    <s v="Manuka Honey Choco"/>
    <x v="380"/>
    <n v="73.91"/>
    <n v="101"/>
    <n v="0.73178217821782177"/>
    <s v="June"/>
    <s v="Q2"/>
    <s v="Small"/>
  </r>
  <r>
    <s v="Van Tuxwell"/>
    <s v="UK"/>
    <s v="Baker's Choco Chips"/>
    <x v="343"/>
    <n v="2794.33"/>
    <n v="21"/>
    <n v="133.06333333333333"/>
    <s v="March"/>
    <s v="Q1"/>
    <s v="Large"/>
  </r>
  <r>
    <s v="Barr Faughny"/>
    <s v="Australia"/>
    <s v="Caramel Stuffed Bars"/>
    <x v="435"/>
    <n v="3192.06"/>
    <n v="54"/>
    <n v="59.112222222222222"/>
    <s v="July"/>
    <s v="Q3"/>
    <s v="Large"/>
  </r>
  <r>
    <s v="Dennison Crosswaite"/>
    <s v="USA"/>
    <s v="Eclairs"/>
    <x v="399"/>
    <n v="2447.37"/>
    <n v="98"/>
    <n v="24.97316326530612"/>
    <s v="May"/>
    <s v="Q2"/>
    <s v="Large"/>
  </r>
  <r>
    <s v="Gigi Bohling"/>
    <s v="Australia"/>
    <s v="Raspberry Choco"/>
    <x v="495"/>
    <n v="7696.46"/>
    <n v="313"/>
    <n v="24.589329073482428"/>
    <s v="March"/>
    <s v="Q1"/>
    <s v="Large"/>
  </r>
  <r>
    <s v="Dennison Crosswaite"/>
    <s v="USA"/>
    <s v="Organic Choco Syrup"/>
    <x v="471"/>
    <n v="14731.55"/>
    <n v="132"/>
    <n v="111.60265151515151"/>
    <s v="July"/>
    <s v="Q3"/>
    <s v="Large"/>
  </r>
  <r>
    <s v="Beverie Moffet"/>
    <s v="Canada"/>
    <s v="Orange Choco"/>
    <x v="482"/>
    <n v="9321.64"/>
    <n v="111"/>
    <n v="83.978738738738727"/>
    <s v="May"/>
    <s v="Q2"/>
    <s v="Large"/>
  </r>
  <r>
    <s v="Mallorie Waber"/>
    <s v="Australia"/>
    <s v="Choco Coated Almonds"/>
    <x v="449"/>
    <n v="18473.63"/>
    <n v="88"/>
    <n v="209.92761363636365"/>
    <s v="March"/>
    <s v="Q1"/>
    <s v="Large"/>
  </r>
  <r>
    <s v="Ches Bonnell"/>
    <s v="India"/>
    <s v="Caramel Stuffed Bars"/>
    <x v="362"/>
    <n v="7437.55"/>
    <n v="54"/>
    <n v="137.73240740740741"/>
    <s v="June"/>
    <s v="Q2"/>
    <s v="Large"/>
  </r>
  <r>
    <s v="Van Tuxwell"/>
    <s v="Canada"/>
    <s v="50% Dark Bites"/>
    <x v="401"/>
    <n v="14581.33"/>
    <n v="58"/>
    <n v="251.40224137931034"/>
    <s v="May"/>
    <s v="Q2"/>
    <s v="Large"/>
  </r>
  <r>
    <s v="Kelci Walkden"/>
    <s v="New Zealand"/>
    <s v="Baker's Choco Chips"/>
    <x v="466"/>
    <n v="3389.96"/>
    <n v="115"/>
    <n v="29.47791304347826"/>
    <s v="June"/>
    <s v="Q2"/>
    <s v="Large"/>
  </r>
  <r>
    <s v="Beverie Moffet"/>
    <s v="India"/>
    <s v="Spicy Special Slims"/>
    <x v="462"/>
    <n v="3968.38"/>
    <n v="182"/>
    <n v="21.804285714285715"/>
    <s v="April"/>
    <s v="Q2"/>
    <s v="Large"/>
  </r>
  <r>
    <s v="Gigi Bohling"/>
    <s v="Australia"/>
    <s v="Almond Choco"/>
    <x v="456"/>
    <n v="1084.26"/>
    <n v="120"/>
    <n v="9.0355000000000008"/>
    <s v="August"/>
    <s v="Q3"/>
    <s v="Large"/>
  </r>
  <r>
    <s v="Rafaelita Blaksland"/>
    <s v="New Zealand"/>
    <s v="Eclairs"/>
    <x v="400"/>
    <n v="20690.2"/>
    <n v="51"/>
    <n v="405.69019607843137"/>
    <s v="February"/>
    <s v="Q1"/>
    <s v="Large"/>
  </r>
  <r>
    <s v="Kelci Walkden"/>
    <s v="Canada"/>
    <s v="Smooth Sliky Salty"/>
    <x v="439"/>
    <n v="8929.57"/>
    <n v="121"/>
    <n v="73.798099173553723"/>
    <s v="March"/>
    <s v="Q1"/>
    <s v="Large"/>
  </r>
  <r>
    <s v="Jan Morforth"/>
    <s v="India"/>
    <s v="Baker's Choco Chips"/>
    <x v="337"/>
    <n v="15497.27"/>
    <n v="85"/>
    <n v="182.32082352941177"/>
    <s v="August"/>
    <s v="Q3"/>
    <s v="Large"/>
  </r>
  <r>
    <s v="Jehu Rudeforth"/>
    <s v="Australia"/>
    <s v="Milk Bars"/>
    <x v="449"/>
    <n v="9172.1299999999992"/>
    <n v="30"/>
    <n v="305.73766666666666"/>
    <s v="March"/>
    <s v="Q1"/>
    <s v="Large"/>
  </r>
  <r>
    <s v="Gigi Bohling"/>
    <s v="Canada"/>
    <s v="Fruit &amp; Nut Bars"/>
    <x v="443"/>
    <n v="6093.61"/>
    <n v="104"/>
    <n v="58.592403846153843"/>
    <s v="June"/>
    <s v="Q2"/>
    <s v="Large"/>
  </r>
  <r>
    <s v="Beverie Moffet"/>
    <s v="UK"/>
    <s v="Eclairs"/>
    <x v="455"/>
    <n v="9144.7900000000009"/>
    <n v="156"/>
    <n v="58.620448717948726"/>
    <s v="April"/>
    <s v="Q2"/>
    <s v="Large"/>
  </r>
  <r>
    <s v="Marney O'Breen"/>
    <s v="New Zealand"/>
    <s v="Eclairs"/>
    <x v="429"/>
    <n v="5902.91"/>
    <n v="31"/>
    <n v="190.41645161290322"/>
    <s v="January"/>
    <s v="Q1"/>
    <s v="Large"/>
  </r>
  <r>
    <s v="Husein Augar"/>
    <s v="Australia"/>
    <s v="99% Dark &amp; Pure"/>
    <x v="392"/>
    <n v="3277.47"/>
    <n v="131"/>
    <n v="25.018854961832059"/>
    <s v="August"/>
    <s v="Q3"/>
    <s v="Large"/>
  </r>
  <r>
    <s v="Gunar Cockshoot"/>
    <s v="New Zealand"/>
    <s v="Fruit &amp; Nut Bars"/>
    <x v="375"/>
    <n v="9759.5300000000007"/>
    <n v="424"/>
    <n v="23.017759433962265"/>
    <s v="June"/>
    <s v="Q2"/>
    <s v="Large"/>
  </r>
  <r>
    <s v="Curtice Advani"/>
    <s v="Canada"/>
    <s v="70% Dark Bites"/>
    <x v="396"/>
    <n v="2504.9"/>
    <n v="7"/>
    <n v="357.84285714285716"/>
    <s v="January"/>
    <s v="Q1"/>
    <s v="Large"/>
  </r>
  <r>
    <s v="Kelci Walkden"/>
    <s v="New Zealand"/>
    <s v="Manuka Honey Choco"/>
    <x v="406"/>
    <n v="1527.99"/>
    <n v="107"/>
    <n v="14.280280373831776"/>
    <s v="April"/>
    <s v="Q2"/>
    <s v="Large"/>
  </r>
  <r>
    <s v="Dotty Strutley"/>
    <s v="Australia"/>
    <s v="Baker's Choco Chips"/>
    <x v="412"/>
    <n v="3767.49"/>
    <n v="65"/>
    <n v="57.96138461538461"/>
    <s v="June"/>
    <s v="Q2"/>
    <s v="Large"/>
  </r>
  <r>
    <s v="Barr Faughny"/>
    <s v="Australia"/>
    <s v="85% Dark Bars"/>
    <x v="493"/>
    <n v="9452.18"/>
    <n v="42"/>
    <n v="225.05190476190478"/>
    <s v="February"/>
    <s v="Q1"/>
    <s v="Large"/>
  </r>
  <r>
    <s v="Beverie Moffet"/>
    <s v="Australia"/>
    <s v="50% Dark Bites"/>
    <x v="381"/>
    <n v="764.63"/>
    <n v="441"/>
    <n v="1.7338548752834466"/>
    <s v="May"/>
    <s v="Q2"/>
    <s v="Large"/>
  </r>
  <r>
    <s v="Gunar Cockshoot"/>
    <s v="India"/>
    <s v="Baker's Choco Chips"/>
    <x v="449"/>
    <n v="2432.75"/>
    <n v="535"/>
    <n v="4.5471962616822426"/>
    <s v="March"/>
    <s v="Q1"/>
    <s v="Large"/>
  </r>
  <r>
    <s v="Van Tuxwell"/>
    <s v="Australia"/>
    <s v="50% Dark Bites"/>
    <x v="393"/>
    <n v="779.04"/>
    <n v="134"/>
    <n v="5.8137313432835818"/>
    <s v="July"/>
    <s v="Q3"/>
    <s v="Large"/>
  </r>
  <r>
    <s v="Oby Sorrel"/>
    <s v="USA"/>
    <s v="Manuka Honey Choco"/>
    <x v="426"/>
    <n v="5050.53"/>
    <n v="85"/>
    <n v="59.417999999999999"/>
    <s v="July"/>
    <s v="Q3"/>
    <s v="Large"/>
  </r>
  <r>
    <s v="Van Tuxwell"/>
    <s v="Canada"/>
    <s v="Choco Coated Almonds"/>
    <x v="461"/>
    <n v="2727.35"/>
    <n v="293"/>
    <n v="9.3083617747440268"/>
    <s v="August"/>
    <s v="Q3"/>
    <s v="Large"/>
  </r>
  <r>
    <s v="Karlen McCaffrey"/>
    <s v="Canada"/>
    <s v="70% Dark Bites"/>
    <x v="468"/>
    <n v="9089.2099999999991"/>
    <n v="602"/>
    <n v="15.098355481727573"/>
    <s v="June"/>
    <s v="Q2"/>
    <s v="Large"/>
  </r>
  <r>
    <s v="Kelci Walkden"/>
    <s v="Canada"/>
    <s v="Fruit &amp; Nut Bars"/>
    <x v="391"/>
    <n v="881.49"/>
    <n v="152"/>
    <n v="5.7992763157894736"/>
    <s v="June"/>
    <s v="Q2"/>
    <s v="Large"/>
  </r>
  <r>
    <s v="Camilla Castle"/>
    <s v="India"/>
    <s v="99% Dark &amp; Pure"/>
    <x v="409"/>
    <n v="227.55"/>
    <n v="225"/>
    <n v="1.0113333333333334"/>
    <s v="August"/>
    <s v="Q3"/>
    <s v="Small"/>
  </r>
  <r>
    <s v="Madelene Upcott"/>
    <s v="New Zealand"/>
    <s v="70% Dark Bites"/>
    <x v="441"/>
    <n v="14193.58"/>
    <n v="102"/>
    <n v="139.15274509803922"/>
    <s v="February"/>
    <s v="Q1"/>
    <s v="Large"/>
  </r>
  <r>
    <s v="Mallorie Waber"/>
    <s v="New Zealand"/>
    <s v="Orange Choco"/>
    <x v="467"/>
    <n v="7459.88"/>
    <n v="23"/>
    <n v="324.34260869565219"/>
    <s v="February"/>
    <s v="Q1"/>
    <s v="Large"/>
  </r>
  <r>
    <s v="Jan Morforth"/>
    <s v="Canada"/>
    <s v="70% Dark Bites"/>
    <x v="351"/>
    <n v="6578.55"/>
    <n v="312"/>
    <n v="21.085096153846155"/>
    <s v="February"/>
    <s v="Q1"/>
    <s v="Large"/>
  </r>
  <r>
    <s v="Kelci Walkden"/>
    <s v="Australia"/>
    <s v="Milk Bars"/>
    <x v="340"/>
    <n v="8975.44"/>
    <n v="137"/>
    <n v="65.514160583941603"/>
    <s v="February"/>
    <s v="Q1"/>
    <s v="Large"/>
  </r>
  <r>
    <s v="Dennison Crosswaite"/>
    <s v="India"/>
    <s v="Orange Choco"/>
    <x v="449"/>
    <n v="852.29"/>
    <n v="123"/>
    <n v="6.9291869918699183"/>
    <s v="March"/>
    <s v="Q1"/>
    <s v="Large"/>
  </r>
  <r>
    <s v="Husein Augar"/>
    <s v="UK"/>
    <s v="Eclairs"/>
    <x v="464"/>
    <n v="1955.2"/>
    <n v="250"/>
    <n v="7.8208000000000002"/>
    <s v="August"/>
    <s v="Q3"/>
    <s v="Large"/>
  </r>
  <r>
    <s v="Gigi Bohling"/>
    <s v="USA"/>
    <s v="Peanut Butter Cubes"/>
    <x v="458"/>
    <n v="323.29000000000002"/>
    <n v="72"/>
    <n v="4.4901388888888896"/>
    <s v="May"/>
    <s v="Q2"/>
    <s v="Small"/>
  </r>
  <r>
    <s v="Wilone O'Kielt"/>
    <s v="USA"/>
    <s v="Smooth Sliky Salty"/>
    <x v="429"/>
    <n v="542.39"/>
    <n v="86"/>
    <n v="6.3068604651162792"/>
    <s v="January"/>
    <s v="Q1"/>
    <s v="Large"/>
  </r>
  <r>
    <s v="Curtice Advani"/>
    <s v="India"/>
    <s v="White Choc"/>
    <x v="345"/>
    <n v="7666.62"/>
    <n v="347"/>
    <n v="22.094005763688759"/>
    <s v="July"/>
    <s v="Q3"/>
    <s v="Large"/>
  </r>
  <r>
    <s v="Oby Sorrel"/>
    <s v="New Zealand"/>
    <s v="Spicy Special Slims"/>
    <x v="497"/>
    <n v="1826.32"/>
    <n v="13"/>
    <n v="140.48615384615385"/>
    <s v="June"/>
    <s v="Q2"/>
    <s v="Large"/>
  </r>
  <r>
    <s v="Beverie Moffet"/>
    <s v="New Zealand"/>
    <s v="Peanut Butter Cubes"/>
    <x v="373"/>
    <n v="11510.68"/>
    <n v="30"/>
    <n v="383.68933333333337"/>
    <s v="February"/>
    <s v="Q1"/>
    <s v="Large"/>
  </r>
  <r>
    <s v="Dotty Strutley"/>
    <s v="New Zealand"/>
    <s v="99% Dark &amp; Pure"/>
    <x v="458"/>
    <n v="12263.85"/>
    <n v="223"/>
    <n v="54.994843049327358"/>
    <s v="May"/>
    <s v="Q2"/>
    <s v="Large"/>
  </r>
  <r>
    <s v="Kelci Walkden"/>
    <s v="India"/>
    <s v="70% Dark Bites"/>
    <x v="341"/>
    <n v="3878.6"/>
    <n v="108"/>
    <n v="35.912962962962965"/>
    <s v="June"/>
    <s v="Q2"/>
    <s v="Large"/>
  </r>
  <r>
    <s v="Kelci Walkden"/>
    <s v="India"/>
    <s v="Drinking Coco"/>
    <x v="345"/>
    <n v="8328.52"/>
    <n v="238"/>
    <n v="34.993781512605047"/>
    <s v="July"/>
    <s v="Q3"/>
    <s v="Large"/>
  </r>
  <r>
    <s v="Brien Boise"/>
    <s v="New Zealand"/>
    <s v="Drinking Coco"/>
    <x v="341"/>
    <n v="1666.46"/>
    <n v="98"/>
    <n v="17.00469387755102"/>
    <s v="June"/>
    <s v="Q2"/>
    <s v="Large"/>
  </r>
  <r>
    <s v="Dotty Strutley"/>
    <s v="Australia"/>
    <s v="Almond Choco"/>
    <x v="446"/>
    <n v="1754.11"/>
    <n v="95"/>
    <n v="18.464315789473684"/>
    <s v="May"/>
    <s v="Q2"/>
    <s v="Large"/>
  </r>
  <r>
    <s v="Wilone O'Kielt"/>
    <s v="New Zealand"/>
    <s v="Organic Choco Syrup"/>
    <x v="396"/>
    <n v="2390.6999999999998"/>
    <n v="274"/>
    <n v="8.7251824817518244"/>
    <s v="January"/>
    <s v="Q1"/>
    <s v="Large"/>
  </r>
  <r>
    <s v="Ches Bonnell"/>
    <s v="New Zealand"/>
    <s v="Caramel Stuffed Bars"/>
    <x v="366"/>
    <n v="8546.7199999999993"/>
    <n v="41"/>
    <n v="208.45658536585364"/>
    <s v="June"/>
    <s v="Q2"/>
    <s v="Large"/>
  </r>
  <r>
    <s v="Barr Faughny"/>
    <s v="Canada"/>
    <s v="Manuka Honey Choco"/>
    <x v="410"/>
    <n v="4115.57"/>
    <n v="274"/>
    <n v="15.020328467153284"/>
    <s v="August"/>
    <s v="Q3"/>
    <s v="Large"/>
  </r>
  <r>
    <s v="Gigi Bohling"/>
    <s v="New Zealand"/>
    <s v="Smooth Sliky Salty"/>
    <x v="389"/>
    <n v="787.38"/>
    <n v="95"/>
    <n v="8.2882105263157886"/>
    <s v="January"/>
    <s v="Q1"/>
    <s v="Large"/>
  </r>
  <r>
    <s v="Brien Boise"/>
    <s v="USA"/>
    <s v="Manuka Honey Choco"/>
    <x v="374"/>
    <n v="2095.7800000000002"/>
    <n v="8"/>
    <n v="261.97250000000003"/>
    <s v="August"/>
    <s v="Q3"/>
    <s v="Large"/>
  </r>
  <r>
    <s v="Roddy Speechley"/>
    <s v="New Zealand"/>
    <s v="85% Dark Bars"/>
    <x v="385"/>
    <n v="5220.8"/>
    <n v="267"/>
    <n v="19.553558052434457"/>
    <s v="April"/>
    <s v="Q2"/>
    <s v="Large"/>
  </r>
  <r>
    <s v="Oby Sorrel"/>
    <s v="UK"/>
    <s v="Smooth Sliky Salty"/>
    <x v="442"/>
    <n v="11264.45"/>
    <n v="340"/>
    <n v="33.130735294117649"/>
    <s v="May"/>
    <s v="Q2"/>
    <s v="Large"/>
  </r>
  <r>
    <s v="Oby Sorrel"/>
    <s v="UK"/>
    <s v="Raspberry Choco"/>
    <x v="406"/>
    <n v="5477.33"/>
    <n v="341"/>
    <n v="16.062551319648094"/>
    <s v="April"/>
    <s v="Q2"/>
    <s v="Large"/>
  </r>
  <r>
    <s v="Roddy Speechley"/>
    <s v="USA"/>
    <s v="Drinking Coco"/>
    <x v="420"/>
    <n v="3389"/>
    <n v="160"/>
    <n v="21.181249999999999"/>
    <s v="February"/>
    <s v="Q1"/>
    <s v="Large"/>
  </r>
  <r>
    <s v="Andria Kimpton"/>
    <s v="Australia"/>
    <s v="Manuka Honey Choco"/>
    <x v="495"/>
    <n v="11559.52"/>
    <n v="413"/>
    <n v="27.989152542372882"/>
    <s v="March"/>
    <s v="Q1"/>
    <s v="Large"/>
  </r>
  <r>
    <s v="Mallorie Waber"/>
    <s v="India"/>
    <s v="Raspberry Choco"/>
    <x v="388"/>
    <n v="1676.82"/>
    <n v="2"/>
    <n v="838.41"/>
    <s v="March"/>
    <s v="Q1"/>
    <s v="Large"/>
  </r>
  <r>
    <s v="Jehu Rudeforth"/>
    <s v="USA"/>
    <s v="Orange Choco"/>
    <x v="348"/>
    <n v="437.48"/>
    <n v="174"/>
    <n v="2.5142528735632186"/>
    <s v="July"/>
    <s v="Q3"/>
    <s v="Small"/>
  </r>
  <r>
    <s v="Kaine Padly"/>
    <s v="New Zealand"/>
    <s v="70% Dark Bites"/>
    <x v="343"/>
    <n v="8487.6299999999992"/>
    <n v="40"/>
    <n v="212.19074999999998"/>
    <s v="March"/>
    <s v="Q1"/>
    <s v="Large"/>
  </r>
  <r>
    <s v="Curtice Advani"/>
    <s v="Australia"/>
    <s v="After Nines"/>
    <x v="491"/>
    <n v="71.989999999999995"/>
    <n v="101"/>
    <n v="0.71277227722772274"/>
    <s v="August"/>
    <s v="Q3"/>
    <s v="Small"/>
  </r>
  <r>
    <s v="Husein Augar"/>
    <s v="UK"/>
    <s v="Almond Choco"/>
    <x v="470"/>
    <n v="9863.6200000000008"/>
    <n v="167"/>
    <n v="59.063592814371262"/>
    <s v="May"/>
    <s v="Q2"/>
    <s v="Large"/>
  </r>
  <r>
    <s v="Kaine Padly"/>
    <s v="Canada"/>
    <s v="Choco Coated Almonds"/>
    <x v="379"/>
    <n v="3468.53"/>
    <n v="166"/>
    <n v="20.894759036144581"/>
    <s v="May"/>
    <s v="Q2"/>
    <s v="Large"/>
  </r>
  <r>
    <s v="Roddy Speechley"/>
    <s v="UK"/>
    <s v="Peanut Butter Cubes"/>
    <x v="456"/>
    <n v="6770.35"/>
    <n v="173"/>
    <n v="39.1349710982659"/>
    <s v="August"/>
    <s v="Q3"/>
    <s v="Large"/>
  </r>
  <r>
    <s v="Ches Bonnell"/>
    <s v="New Zealand"/>
    <s v="Eclairs"/>
    <x v="428"/>
    <n v="564.14"/>
    <n v="50"/>
    <n v="11.2828"/>
    <s v="April"/>
    <s v="Q2"/>
    <s v="Large"/>
  </r>
  <r>
    <s v="Brien Boise"/>
    <s v="India"/>
    <s v="85% Dark Bars"/>
    <x v="481"/>
    <n v="21044.07"/>
    <n v="210"/>
    <n v="100.20985714285715"/>
    <s v="August"/>
    <s v="Q3"/>
    <s v="Large"/>
  </r>
  <r>
    <s v="Brien Boise"/>
    <s v="New Zealand"/>
    <s v="Organic Choco Syrup"/>
    <x v="490"/>
    <n v="677.38"/>
    <n v="327"/>
    <n v="2.0714984709480122"/>
    <s v="January"/>
    <s v="Q1"/>
    <s v="Large"/>
  </r>
  <r>
    <s v="Andria Kimpton"/>
    <s v="Canada"/>
    <s v="White Choc"/>
    <x v="351"/>
    <n v="4368.01"/>
    <n v="29"/>
    <n v="150.62103448275863"/>
    <s v="February"/>
    <s v="Q1"/>
    <s v="Large"/>
  </r>
  <r>
    <s v="Gigi Bohling"/>
    <s v="New Zealand"/>
    <s v="Orange Choco"/>
    <x v="381"/>
    <n v="9866.2000000000007"/>
    <n v="306"/>
    <n v="32.242483660130723"/>
    <s v="May"/>
    <s v="Q2"/>
    <s v="Large"/>
  </r>
  <r>
    <s v="Ches Bonnell"/>
    <s v="Canada"/>
    <s v="Smooth Sliky Salty"/>
    <x v="419"/>
    <n v="10723.86"/>
    <n v="125"/>
    <n v="85.790880000000001"/>
    <s v="March"/>
    <s v="Q1"/>
    <s v="Large"/>
  </r>
  <r>
    <s v="Husein Augar"/>
    <s v="Canada"/>
    <s v="70% Dark Bites"/>
    <x v="396"/>
    <n v="5443.42"/>
    <n v="284"/>
    <n v="19.166971830985915"/>
    <s v="January"/>
    <s v="Q1"/>
    <s v="Large"/>
  </r>
  <r>
    <s v="Barr Faughny"/>
    <s v="Canada"/>
    <s v="Organic Choco Syrup"/>
    <x v="347"/>
    <n v="1312.35"/>
    <n v="200"/>
    <n v="6.56175"/>
    <s v="March"/>
    <s v="Q1"/>
    <s v="Large"/>
  </r>
  <r>
    <s v="Oby Sorrel"/>
    <s v="UK"/>
    <s v="Organic Choco Syrup"/>
    <x v="366"/>
    <n v="8471.68"/>
    <n v="162"/>
    <n v="52.294320987654324"/>
    <s v="June"/>
    <s v="Q2"/>
    <s v="Large"/>
  </r>
  <r>
    <s v="Van Tuxwell"/>
    <s v="New Zealand"/>
    <s v="Eclairs"/>
    <x v="498"/>
    <n v="5774.6"/>
    <n v="178"/>
    <n v="32.441573033707868"/>
    <s v="March"/>
    <s v="Q1"/>
    <s v="Large"/>
  </r>
  <r>
    <s v="Mallorie Waber"/>
    <s v="UK"/>
    <s v="Drinking Coco"/>
    <x v="384"/>
    <n v="3780.02"/>
    <n v="97"/>
    <n v="38.969278350515467"/>
    <s v="May"/>
    <s v="Q2"/>
    <s v="Large"/>
  </r>
  <r>
    <s v="Oby Sorrel"/>
    <s v="UK"/>
    <s v="Milk Bars"/>
    <x v="372"/>
    <n v="6831.03"/>
    <n v="243"/>
    <n v="28.111234567901235"/>
    <s v="July"/>
    <s v="Q3"/>
    <s v="Large"/>
  </r>
  <r>
    <s v="Karlen McCaffrey"/>
    <s v="New Zealand"/>
    <s v="Mint Chip Choco"/>
    <x v="388"/>
    <n v="4834.51"/>
    <n v="63"/>
    <n v="76.738253968253971"/>
    <s v="March"/>
    <s v="Q1"/>
    <s v="Large"/>
  </r>
  <r>
    <s v="Jehu Rudeforth"/>
    <s v="USA"/>
    <s v="Raspberry Choco"/>
    <x v="408"/>
    <n v="8119.65"/>
    <n v="143"/>
    <n v="56.780769230769231"/>
    <s v="March"/>
    <s v="Q1"/>
    <s v="Large"/>
  </r>
  <r>
    <s v="Kelci Walkden"/>
    <s v="UK"/>
    <s v="85% Dark Bars"/>
    <x v="466"/>
    <n v="4811.88"/>
    <n v="242"/>
    <n v="19.883801652892561"/>
    <s v="June"/>
    <s v="Q2"/>
    <s v="Large"/>
  </r>
  <r>
    <s v="Kelci Walkden"/>
    <s v="USA"/>
    <s v="Almond Choco"/>
    <x v="395"/>
    <n v="5930.01"/>
    <n v="252"/>
    <n v="23.531785714285714"/>
    <s v="January"/>
    <s v="Q1"/>
    <s v="Large"/>
  </r>
  <r>
    <s v="Marney O'Breen"/>
    <s v="Canada"/>
    <s v="Orange Choco"/>
    <x v="438"/>
    <n v="3040.05"/>
    <n v="426"/>
    <n v="7.1362676056338028"/>
    <s v="January"/>
    <s v="Q1"/>
    <s v="Large"/>
  </r>
  <r>
    <s v="Dennison Crosswaite"/>
    <s v="India"/>
    <s v="Fruit &amp; Nut Bars"/>
    <x v="435"/>
    <n v="1126.8699999999999"/>
    <n v="23"/>
    <n v="48.994347826086951"/>
    <s v="July"/>
    <s v="Q3"/>
    <s v="Large"/>
  </r>
  <r>
    <s v="Brien Boise"/>
    <s v="Canada"/>
    <s v="Smooth Sliky Salty"/>
    <x v="446"/>
    <n v="6051.65"/>
    <n v="490"/>
    <n v="12.350306122448979"/>
    <s v="May"/>
    <s v="Q2"/>
    <s v="Large"/>
  </r>
  <r>
    <s v="Barr Faughny"/>
    <s v="Canada"/>
    <s v="Baker's Choco Chips"/>
    <x v="488"/>
    <n v="12279.35"/>
    <n v="162"/>
    <n v="75.798456790123453"/>
    <s v="February"/>
    <s v="Q1"/>
    <s v="Large"/>
  </r>
  <r>
    <s v="Brien Boise"/>
    <s v="India"/>
    <s v="Smooth Sliky Salty"/>
    <x v="384"/>
    <n v="7091.66"/>
    <n v="28"/>
    <n v="253.27357142857142"/>
    <s v="May"/>
    <s v="Q2"/>
    <s v="Large"/>
  </r>
  <r>
    <s v="Jan Morforth"/>
    <s v="Australia"/>
    <s v="Drinking Coco"/>
    <x v="499"/>
    <n v="3160.97"/>
    <n v="25"/>
    <n v="126.43879999999999"/>
    <s v="February"/>
    <s v="Q1"/>
    <s v="Large"/>
  </r>
  <r>
    <s v="Brien Boise"/>
    <s v="India"/>
    <s v="Spicy Special Slims"/>
    <x v="418"/>
    <n v="1408.28"/>
    <n v="35"/>
    <n v="40.23657142857143"/>
    <s v="January"/>
    <s v="Q1"/>
    <s v="Large"/>
  </r>
  <r>
    <s v="Van Tuxwell"/>
    <s v="UK"/>
    <s v="Eclairs"/>
    <x v="364"/>
    <n v="5776.61"/>
    <n v="114"/>
    <n v="50.672017543859646"/>
    <s v="June"/>
    <s v="Q2"/>
    <s v="Large"/>
  </r>
  <r>
    <s v="Wilone O'Kielt"/>
    <s v="India"/>
    <s v="Caramel Stuffed Bars"/>
    <x v="346"/>
    <n v="4890.59"/>
    <n v="274"/>
    <n v="17.848868613138688"/>
    <s v="January"/>
    <s v="Q1"/>
    <s v="Large"/>
  </r>
  <r>
    <s v="Jehu Rudeforth"/>
    <s v="UK"/>
    <s v="After Nines"/>
    <x v="355"/>
    <n v="2048.13"/>
    <n v="172"/>
    <n v="11.907732558139536"/>
    <s v="June"/>
    <s v="Q2"/>
    <s v="Large"/>
  </r>
  <r>
    <s v="Barr Faughny"/>
    <s v="Canada"/>
    <s v="White Choc"/>
    <x v="432"/>
    <n v="4590.46"/>
    <n v="1"/>
    <n v="4590.46"/>
    <s v="March"/>
    <s v="Q1"/>
    <s v="Large"/>
  </r>
  <r>
    <s v="Gunar Cockshoot"/>
    <s v="India"/>
    <s v="Organic Choco Syrup"/>
    <x v="497"/>
    <n v="8665.99"/>
    <n v="162"/>
    <n v="53.493765432098762"/>
    <s v="June"/>
    <s v="Q2"/>
    <s v="Large"/>
  </r>
  <r>
    <s v="Mallorie Waber"/>
    <s v="Canada"/>
    <s v="Smooth Sliky Salty"/>
    <x v="475"/>
    <n v="2202.46"/>
    <n v="97"/>
    <n v="22.70577319587629"/>
    <s v="March"/>
    <s v="Q1"/>
    <s v="Large"/>
  </r>
  <r>
    <s v="Mallorie Waber"/>
    <s v="India"/>
    <s v="Eclairs"/>
    <x v="413"/>
    <n v="11720.11"/>
    <n v="48"/>
    <n v="244.16895833333334"/>
    <s v="April"/>
    <s v="Q2"/>
    <s v="Large"/>
  </r>
  <r>
    <s v="Rafaelita Blaksland"/>
    <s v="Australia"/>
    <s v="Raspberry Choco"/>
    <x v="414"/>
    <n v="7884.86"/>
    <n v="266"/>
    <n v="29.642330827067667"/>
    <s v="January"/>
    <s v="Q1"/>
    <s v="Large"/>
  </r>
  <r>
    <s v="Karlen McCaffrey"/>
    <s v="UK"/>
    <s v="50% Dark Bites"/>
    <x v="417"/>
    <n v="3857.88"/>
    <n v="303"/>
    <n v="12.732277227722772"/>
    <s v="April"/>
    <s v="Q2"/>
    <s v="Large"/>
  </r>
  <r>
    <s v="Kaine Padly"/>
    <s v="Australia"/>
    <s v="50% Dark Bites"/>
    <x v="409"/>
    <n v="10123.959999999999"/>
    <n v="84"/>
    <n v="120.52333333333333"/>
    <s v="August"/>
    <s v="Q3"/>
    <s v="Large"/>
  </r>
  <r>
    <s v="Gigi Bohling"/>
    <s v="Australia"/>
    <s v="Eclairs"/>
    <x v="413"/>
    <n v="8170.88"/>
    <n v="137"/>
    <n v="59.641459854014599"/>
    <s v="April"/>
    <s v="Q2"/>
    <s v="Large"/>
  </r>
  <r>
    <s v="Oby Sorrel"/>
    <s v="India"/>
    <s v="Drinking Coco"/>
    <x v="465"/>
    <n v="19390.61"/>
    <n v="141"/>
    <n v="137.52205673758866"/>
    <s v="July"/>
    <s v="Q3"/>
    <s v="Large"/>
  </r>
  <r>
    <s v="Van Tuxwell"/>
    <s v="New Zealand"/>
    <s v="Baker's Choco Chips"/>
    <x v="463"/>
    <n v="10197.43"/>
    <n v="24"/>
    <n v="424.89291666666668"/>
    <s v="March"/>
    <s v="Q1"/>
    <s v="Large"/>
  </r>
  <r>
    <s v="Husein Augar"/>
    <s v="India"/>
    <s v="Peanut Butter Cubes"/>
    <x v="458"/>
    <n v="5188.18"/>
    <n v="5"/>
    <n v="1037.636"/>
    <s v="May"/>
    <s v="Q2"/>
    <s v="Large"/>
  </r>
  <r>
    <s v="Andria Kimpton"/>
    <s v="Australia"/>
    <s v="Baker's Choco Chips"/>
    <x v="481"/>
    <n v="350.27"/>
    <n v="117"/>
    <n v="2.9937606837606836"/>
    <s v="August"/>
    <s v="Q3"/>
    <s v="Small"/>
  </r>
  <r>
    <s v="Madelene Upcott"/>
    <s v="Canada"/>
    <s v="Choco Coated Almonds"/>
    <x v="500"/>
    <n v="3766.32"/>
    <n v="300"/>
    <n v="12.554400000000001"/>
    <s v="July"/>
    <s v="Q3"/>
    <s v="Large"/>
  </r>
  <r>
    <s v="Brien Boise"/>
    <s v="India"/>
    <s v="70% Dark Bites"/>
    <x v="385"/>
    <n v="4888.37"/>
    <n v="435"/>
    <n v="11.237632183908046"/>
    <s v="April"/>
    <s v="Q2"/>
    <s v="Large"/>
  </r>
  <r>
    <s v="Jehu Rudeforth"/>
    <s v="Canada"/>
    <s v="White Choc"/>
    <x v="342"/>
    <n v="5230.3599999999997"/>
    <n v="142"/>
    <n v="36.833521126760559"/>
    <s v="January"/>
    <s v="Q1"/>
    <s v="Large"/>
  </r>
  <r>
    <s v="Andria Kimpton"/>
    <s v="Australia"/>
    <s v="Almond Choco"/>
    <x v="427"/>
    <n v="3790.18"/>
    <n v="168"/>
    <n v="22.560595238095239"/>
    <s v="April"/>
    <s v="Q2"/>
    <s v="Large"/>
  </r>
  <r>
    <s v="Dotty Strutley"/>
    <s v="Canada"/>
    <s v="After Nines"/>
    <x v="490"/>
    <n v="302.18"/>
    <n v="233"/>
    <n v="1.2969098712446352"/>
    <s v="January"/>
    <s v="Q1"/>
    <s v="Small"/>
  </r>
  <r>
    <s v="Karlen McCaffrey"/>
    <s v="USA"/>
    <s v="Eclairs"/>
    <x v="424"/>
    <n v="1017.17"/>
    <n v="123"/>
    <n v="8.2696747967479673"/>
    <s v="August"/>
    <s v="Q3"/>
    <s v="Large"/>
  </r>
  <r>
    <s v="Karlen McCaffrey"/>
    <s v="Canada"/>
    <s v="Fruit &amp; Nut Bars"/>
    <x v="370"/>
    <n v="241.36"/>
    <n v="17"/>
    <n v="14.197647058823531"/>
    <s v="June"/>
    <s v="Q2"/>
    <s v="Small"/>
  </r>
  <r>
    <s v="Gunar Cockshoot"/>
    <s v="USA"/>
    <s v="85% Dark Bars"/>
    <x v="366"/>
    <n v="8347.2999999999993"/>
    <n v="138"/>
    <n v="60.487681159420283"/>
    <s v="June"/>
    <s v="Q2"/>
    <s v="Large"/>
  </r>
  <r>
    <s v="Dotty Strutley"/>
    <s v="New Zealand"/>
    <s v="Raspberry Choco"/>
    <x v="493"/>
    <n v="6291.74"/>
    <n v="88"/>
    <n v="71.497045454545457"/>
    <s v="February"/>
    <s v="Q1"/>
    <s v="Large"/>
  </r>
  <r>
    <s v="Marney O'Breen"/>
    <s v="Canada"/>
    <s v="Caramel Stuffed Bars"/>
    <x v="373"/>
    <n v="1543.77"/>
    <n v="674"/>
    <n v="2.290459940652819"/>
    <s v="February"/>
    <s v="Q1"/>
    <s v="Large"/>
  </r>
  <r>
    <s v="Dennison Crosswaite"/>
    <s v="India"/>
    <s v="Organic Choco Syrup"/>
    <x v="395"/>
    <n v="9744.5"/>
    <n v="225"/>
    <n v="43.308888888888887"/>
    <s v="January"/>
    <s v="Q1"/>
    <s v="Large"/>
  </r>
  <r>
    <s v="Camilla Castle"/>
    <s v="UK"/>
    <s v="Mint Chip Choco"/>
    <x v="382"/>
    <n v="5414.75"/>
    <n v="325"/>
    <n v="16.66076923076923"/>
    <s v="May"/>
    <s v="Q2"/>
    <s v="Large"/>
  </r>
  <r>
    <s v="Brien Boise"/>
    <s v="USA"/>
    <s v="70% Dark Bites"/>
    <x v="385"/>
    <n v="1898.07"/>
    <n v="22"/>
    <n v="86.275909090909082"/>
    <s v="April"/>
    <s v="Q2"/>
    <s v="Large"/>
  </r>
  <r>
    <s v="Madelene Upcott"/>
    <s v="Australia"/>
    <s v="99% Dark &amp; Pure"/>
    <x v="337"/>
    <n v="4911.08"/>
    <n v="163"/>
    <n v="30.129325153374232"/>
    <s v="August"/>
    <s v="Q3"/>
    <s v="Large"/>
  </r>
  <r>
    <s v="Mallorie Waber"/>
    <s v="Australia"/>
    <s v="Eclairs"/>
    <x v="374"/>
    <n v="11293.17"/>
    <n v="219"/>
    <n v="51.566986301369866"/>
    <s v="August"/>
    <s v="Q3"/>
    <s v="Large"/>
  </r>
  <r>
    <s v="Marney O'Breen"/>
    <s v="India"/>
    <s v="99% Dark &amp; Pure"/>
    <x v="367"/>
    <n v="12398.37"/>
    <n v="161"/>
    <n v="77.008509316770187"/>
    <s v="July"/>
    <s v="Q3"/>
    <s v="Large"/>
  </r>
  <r>
    <s v="Husein Augar"/>
    <s v="USA"/>
    <s v="Fruit &amp; Nut Bars"/>
    <x v="501"/>
    <n v="1508.57"/>
    <n v="28"/>
    <n v="53.877499999999998"/>
    <s v="April"/>
    <s v="Q2"/>
    <s v="Large"/>
  </r>
  <r>
    <s v="Kelci Walkden"/>
    <s v="Australia"/>
    <s v="Almond Choco"/>
    <x v="357"/>
    <n v="5869.09"/>
    <n v="354"/>
    <n v="16.579350282485876"/>
    <s v="May"/>
    <s v="Q2"/>
    <s v="Large"/>
  </r>
  <r>
    <s v="Ches Bonnell"/>
    <s v="USA"/>
    <s v="Milk Bars"/>
    <x v="465"/>
    <n v="2770.47"/>
    <n v="159"/>
    <n v="17.424339622641508"/>
    <s v="July"/>
    <s v="Q3"/>
    <s v="Large"/>
  </r>
  <r>
    <s v="Jan Morforth"/>
    <s v="UK"/>
    <s v="Caramel Stuffed Bars"/>
    <x v="409"/>
    <n v="3541.73"/>
    <n v="494"/>
    <n v="7.1694939271255063"/>
    <s v="August"/>
    <s v="Q3"/>
    <s v="Large"/>
  </r>
  <r>
    <s v="Brien Boise"/>
    <s v="New Zealand"/>
    <s v="70% Dark Bites"/>
    <x v="362"/>
    <n v="7624.41"/>
    <n v="139"/>
    <n v="54.851870503597119"/>
    <s v="June"/>
    <s v="Q2"/>
    <s v="Large"/>
  </r>
  <r>
    <s v="Oby Sorrel"/>
    <s v="India"/>
    <s v="85% Dark Bars"/>
    <x v="361"/>
    <n v="9928.42"/>
    <n v="130"/>
    <n v="76.372461538461536"/>
    <s v="July"/>
    <s v="Q3"/>
    <s v="Large"/>
  </r>
  <r>
    <s v="Kaine Padly"/>
    <s v="New Zealand"/>
    <s v="Smooth Sliky Salty"/>
    <x v="413"/>
    <n v="7.67"/>
    <n v="548"/>
    <n v="1.3996350364963503E-2"/>
    <s v="April"/>
    <s v="Q2"/>
    <s v="Small"/>
  </r>
  <r>
    <s v="Gigi Bohling"/>
    <s v="Australia"/>
    <s v="70% Dark Bites"/>
    <x v="397"/>
    <n v="1624.86"/>
    <n v="103"/>
    <n v="15.775339805825242"/>
    <s v="August"/>
    <s v="Q3"/>
    <s v="Large"/>
  </r>
  <r>
    <s v="Jan Morforth"/>
    <s v="UK"/>
    <s v="50% Dark Bites"/>
    <x v="425"/>
    <n v="6301.56"/>
    <n v="287"/>
    <n v="21.956655052264811"/>
    <s v="January"/>
    <s v="Q1"/>
    <s v="Large"/>
  </r>
  <r>
    <s v="Gunar Cockshoot"/>
    <s v="Canada"/>
    <s v="White Choc"/>
    <x v="491"/>
    <n v="8578.4"/>
    <n v="15"/>
    <n v="571.89333333333332"/>
    <s v="August"/>
    <s v="Q3"/>
    <s v="Large"/>
  </r>
  <r>
    <s v="Jehu Rudeforth"/>
    <s v="Australia"/>
    <s v="Spicy Special Slims"/>
    <x v="346"/>
    <n v="5573.57"/>
    <n v="372"/>
    <n v="14.982715053763441"/>
    <s v="January"/>
    <s v="Q1"/>
    <s v="Large"/>
  </r>
  <r>
    <s v="Husein Augar"/>
    <s v="UK"/>
    <s v="Baker's Choco Chips"/>
    <x v="430"/>
    <n v="3465.68"/>
    <n v="133"/>
    <n v="26.057744360902255"/>
    <s v="April"/>
    <s v="Q2"/>
    <s v="Large"/>
  </r>
  <r>
    <s v="Rafaelita Blaksland"/>
    <s v="New Zealand"/>
    <s v="After Nines"/>
    <x v="338"/>
    <n v="1245.9100000000001"/>
    <n v="90"/>
    <n v="13.843444444444446"/>
    <s v="July"/>
    <s v="Q3"/>
    <s v="Large"/>
  </r>
  <r>
    <s v="Madelene Upcott"/>
    <s v="New Zealand"/>
    <s v="Mint Chip Choco"/>
    <x v="390"/>
    <n v="8888.61"/>
    <n v="4"/>
    <n v="2222.1525000000001"/>
    <s v="March"/>
    <s v="Q1"/>
    <s v="Large"/>
  </r>
  <r>
    <s v="Madelene Upcott"/>
    <s v="UK"/>
    <s v="70% Dark Bites"/>
    <x v="353"/>
    <n v="5931.82"/>
    <n v="243"/>
    <n v="24.410781893004113"/>
    <s v="February"/>
    <s v="Q1"/>
    <s v="Large"/>
  </r>
  <r>
    <s v="Barr Faughny"/>
    <s v="Australia"/>
    <s v="Organic Choco Syrup"/>
    <x v="437"/>
    <n v="2620.66"/>
    <n v="34"/>
    <n v="77.078235294117647"/>
    <s v="January"/>
    <s v="Q1"/>
    <s v="Large"/>
  </r>
  <r>
    <s v="Beverie Moffet"/>
    <s v="New Zealand"/>
    <s v="Drinking Coco"/>
    <x v="425"/>
    <n v="1284.3699999999999"/>
    <n v="560"/>
    <n v="2.2935178571428572"/>
    <s v="January"/>
    <s v="Q1"/>
    <s v="Large"/>
  </r>
  <r>
    <s v="Beverie Moffet"/>
    <s v="India"/>
    <s v="Eclairs"/>
    <x v="469"/>
    <n v="11033.61"/>
    <n v="155"/>
    <n v="71.18458064516129"/>
    <s v="June"/>
    <s v="Q2"/>
    <s v="Large"/>
  </r>
  <r>
    <s v="Andria Kimpton"/>
    <s v="India"/>
    <s v="Eclairs"/>
    <x v="381"/>
    <n v="2413.0500000000002"/>
    <n v="82"/>
    <n v="29.427439024390246"/>
    <s v="May"/>
    <s v="Q2"/>
    <s v="Large"/>
  </r>
  <r>
    <s v="Gigi Bohling"/>
    <s v="UK"/>
    <s v="85% Dark Bars"/>
    <x v="466"/>
    <n v="13136.08"/>
    <n v="90"/>
    <n v="145.95644444444446"/>
    <s v="June"/>
    <s v="Q2"/>
    <s v="Large"/>
  </r>
  <r>
    <s v="Roddy Speechley"/>
    <s v="UK"/>
    <s v="Raspberry Choco"/>
    <x v="418"/>
    <n v="14297.82"/>
    <n v="211"/>
    <n v="67.762180094786729"/>
    <s v="January"/>
    <s v="Q1"/>
    <s v="Large"/>
  </r>
  <r>
    <s v="Dotty Strutley"/>
    <s v="UK"/>
    <s v="Mint Chip Choco"/>
    <x v="502"/>
    <n v="2837.65"/>
    <n v="212"/>
    <n v="13.385141509433963"/>
    <s v="July"/>
    <s v="Q3"/>
    <s v="Large"/>
  </r>
  <r>
    <s v="Barr Faughny"/>
    <s v="Canada"/>
    <s v="Drinking Coco"/>
    <x v="494"/>
    <n v="7496.03"/>
    <n v="259"/>
    <n v="28.942200772200771"/>
    <s v="April"/>
    <s v="Q2"/>
    <s v="Large"/>
  </r>
  <r>
    <s v="Oby Sorrel"/>
    <s v="USA"/>
    <s v="Milk Bars"/>
    <x v="443"/>
    <n v="1815.29"/>
    <n v="79"/>
    <n v="22.978354430379746"/>
    <s v="June"/>
    <s v="Q2"/>
    <s v="Large"/>
  </r>
  <r>
    <s v="Oby Sorrel"/>
    <s v="UK"/>
    <s v="Orange Choco"/>
    <x v="371"/>
    <n v="8250.0300000000007"/>
    <n v="228"/>
    <n v="36.184342105263163"/>
    <s v="April"/>
    <s v="Q2"/>
    <s v="Large"/>
  </r>
  <r>
    <s v="Curtice Advani"/>
    <s v="Canada"/>
    <s v="Peanut Butter Cubes"/>
    <x v="369"/>
    <n v="5605.82"/>
    <n v="64"/>
    <n v="87.590937499999995"/>
    <s v="May"/>
    <s v="Q2"/>
    <s v="Large"/>
  </r>
  <r>
    <s v="Gigi Bohling"/>
    <s v="India"/>
    <s v="White Choc"/>
    <x v="436"/>
    <n v="1563.39"/>
    <n v="179"/>
    <n v="8.7340223463687163"/>
    <s v="April"/>
    <s v="Q2"/>
    <s v="Large"/>
  </r>
  <r>
    <s v="Husein Augar"/>
    <s v="Canada"/>
    <s v="Choco Coated Almonds"/>
    <x v="424"/>
    <n v="3997.02"/>
    <n v="411"/>
    <n v="9.7251094890510945"/>
    <s v="August"/>
    <s v="Q3"/>
    <s v="Large"/>
  </r>
  <r>
    <s v="Wilone O'Kielt"/>
    <s v="India"/>
    <s v="Choco Coated Almonds"/>
    <x v="374"/>
    <n v="3284.22"/>
    <n v="230"/>
    <n v="14.279217391304346"/>
    <s v="August"/>
    <s v="Q3"/>
    <s v="Large"/>
  </r>
  <r>
    <s v="Wilone O'Kielt"/>
    <s v="New Zealand"/>
    <s v="Baker's Choco Chips"/>
    <x v="455"/>
    <n v="4609.67"/>
    <n v="58"/>
    <n v="79.477068965517248"/>
    <s v="April"/>
    <s v="Q2"/>
    <s v="Large"/>
  </r>
  <r>
    <s v="Kaine Padly"/>
    <s v="UK"/>
    <s v="Choco Coated Almonds"/>
    <x v="349"/>
    <n v="9412.06"/>
    <n v="123"/>
    <n v="76.520813008130077"/>
    <s v="August"/>
    <s v="Q3"/>
    <s v="Large"/>
  </r>
  <r>
    <s v="Dennison Crosswaite"/>
    <s v="New Zealand"/>
    <s v="Organic Choco Syrup"/>
    <x v="336"/>
    <n v="427.36"/>
    <n v="249"/>
    <n v="1.7163052208835341"/>
    <s v="January"/>
    <s v="Q1"/>
    <s v="Small"/>
  </r>
  <r>
    <s v="Kelci Walkden"/>
    <s v="Canada"/>
    <s v="After Nines"/>
    <x v="346"/>
    <n v="19449.02"/>
    <n v="204"/>
    <n v="95.338333333333338"/>
    <s v="January"/>
    <s v="Q1"/>
    <s v="Large"/>
  </r>
  <r>
    <s v="Van Tuxwell"/>
    <s v="Australia"/>
    <s v="Baker's Choco Chips"/>
    <x v="365"/>
    <n v="14122.44"/>
    <n v="32"/>
    <n v="441.32625000000002"/>
    <s v="May"/>
    <s v="Q2"/>
    <s v="Large"/>
  </r>
  <r>
    <s v="Husein Augar"/>
    <s v="New Zealand"/>
    <s v="Peanut Butter Cubes"/>
    <x v="353"/>
    <n v="2257.14"/>
    <n v="231"/>
    <n v="9.7711688311688309"/>
    <s v="February"/>
    <s v="Q1"/>
    <s v="Large"/>
  </r>
  <r>
    <s v="Kaine Padly"/>
    <s v="UK"/>
    <s v="Caramel Stuffed Bars"/>
    <x v="434"/>
    <n v="11334.21"/>
    <n v="72"/>
    <n v="157.41958333333332"/>
    <s v="May"/>
    <s v="Q2"/>
    <s v="Large"/>
  </r>
  <r>
    <s v="Jehu Rudeforth"/>
    <s v="UK"/>
    <s v="Drinking Coco"/>
    <x v="488"/>
    <n v="7865.93"/>
    <n v="436"/>
    <n v="18.041123853211008"/>
    <s v="February"/>
    <s v="Q1"/>
    <s v="Large"/>
  </r>
  <r>
    <s v="Beverie Moffet"/>
    <s v="India"/>
    <s v="Manuka Honey Choco"/>
    <x v="477"/>
    <n v="11462.32"/>
    <n v="172"/>
    <n v="66.641395348837207"/>
    <s v="May"/>
    <s v="Q2"/>
    <s v="Large"/>
  </r>
  <r>
    <s v="Gunar Cockshoot"/>
    <s v="UK"/>
    <s v="Choco Coated Almonds"/>
    <x v="366"/>
    <n v="6154.53"/>
    <n v="132"/>
    <n v="46.625227272727273"/>
    <s v="June"/>
    <s v="Q2"/>
    <s v="Large"/>
  </r>
  <r>
    <s v="Gunar Cockshoot"/>
    <s v="UK"/>
    <s v="Smooth Sliky Salty"/>
    <x v="463"/>
    <n v="867.5"/>
    <n v="143"/>
    <n v="6.0664335664335667"/>
    <s v="March"/>
    <s v="Q1"/>
    <s v="Large"/>
  </r>
  <r>
    <s v="Camilla Castle"/>
    <s v="Canada"/>
    <s v="Orange Choco"/>
    <x v="356"/>
    <n v="9056.1"/>
    <n v="58"/>
    <n v="156.1396551724138"/>
    <s v="February"/>
    <s v="Q1"/>
    <s v="Large"/>
  </r>
  <r>
    <s v="Jehu Rudeforth"/>
    <s v="UK"/>
    <s v="85% Dark Bars"/>
    <x v="338"/>
    <n v="6569.4"/>
    <n v="66"/>
    <n v="99.536363636363632"/>
    <s v="July"/>
    <s v="Q3"/>
    <s v="Large"/>
  </r>
  <r>
    <s v="Oby Sorrel"/>
    <s v="UK"/>
    <s v="70% Dark Bites"/>
    <x v="419"/>
    <n v="7431"/>
    <n v="180"/>
    <n v="41.283333333333331"/>
    <s v="March"/>
    <s v="Q1"/>
    <s v="Large"/>
  </r>
  <r>
    <s v="Kelci Walkden"/>
    <s v="UK"/>
    <s v="99% Dark &amp; Pure"/>
    <x v="489"/>
    <n v="3672.65"/>
    <n v="124"/>
    <n v="29.618145161290322"/>
    <s v="August"/>
    <s v="Q3"/>
    <s v="Large"/>
  </r>
  <r>
    <s v="Gigi Bohling"/>
    <s v="New Zealand"/>
    <s v="After Nines"/>
    <x v="440"/>
    <n v="6464.8"/>
    <n v="189"/>
    <n v="34.205291005291009"/>
    <s v="January"/>
    <s v="Q1"/>
    <s v="Large"/>
  </r>
  <r>
    <s v="Oby Sorrel"/>
    <s v="Australia"/>
    <s v="50% Dark Bites"/>
    <x v="477"/>
    <n v="813.58"/>
    <n v="163"/>
    <n v="4.9912883435582822"/>
    <s v="May"/>
    <s v="Q2"/>
    <s v="Large"/>
  </r>
  <r>
    <s v="Oby Sorrel"/>
    <s v="Canada"/>
    <s v="50% Dark Bites"/>
    <x v="468"/>
    <n v="7301.81"/>
    <n v="134"/>
    <n v="54.491119402985078"/>
    <s v="June"/>
    <s v="Q2"/>
    <s v="Large"/>
  </r>
  <r>
    <s v="Barr Faughny"/>
    <s v="USA"/>
    <s v="White Choc"/>
    <x v="476"/>
    <n v="8523.42"/>
    <n v="171"/>
    <n v="49.84456140350877"/>
    <s v="May"/>
    <s v="Q2"/>
    <s v="Large"/>
  </r>
  <r>
    <s v="Rafaelita Blaksland"/>
    <s v="New Zealand"/>
    <s v="99% Dark &amp; Pure"/>
    <x v="448"/>
    <n v="3822.64"/>
    <n v="85"/>
    <n v="44.972235294117645"/>
    <s v="March"/>
    <s v="Q1"/>
    <s v="Large"/>
  </r>
  <r>
    <s v="Curtice Advani"/>
    <s v="Australia"/>
    <s v="Caramel Stuffed Bars"/>
    <x v="351"/>
    <n v="10219.39"/>
    <n v="139"/>
    <n v="73.520791366906465"/>
    <s v="February"/>
    <s v="Q1"/>
    <s v="Large"/>
  </r>
  <r>
    <s v="Curtice Advani"/>
    <s v="New Zealand"/>
    <s v="85% Dark Bars"/>
    <x v="401"/>
    <n v="5798.43"/>
    <n v="206"/>
    <n v="28.147718446601942"/>
    <s v="May"/>
    <s v="Q2"/>
    <s v="Large"/>
  </r>
  <r>
    <s v="Barr Faughny"/>
    <s v="New Zealand"/>
    <s v="Smooth Sliky Salty"/>
    <x v="342"/>
    <n v="4487.01"/>
    <n v="184"/>
    <n v="24.385923913043481"/>
    <s v="January"/>
    <s v="Q1"/>
    <s v="Large"/>
  </r>
  <r>
    <s v="Ches Bonnell"/>
    <s v="UK"/>
    <s v="85% Dark Bars"/>
    <x v="380"/>
    <n v="17237.669999999998"/>
    <n v="13"/>
    <n v="1325.9746153846152"/>
    <s v="June"/>
    <s v="Q2"/>
    <s v="Large"/>
  </r>
  <r>
    <s v="Dennison Crosswaite"/>
    <s v="Australia"/>
    <s v="Drinking Coco"/>
    <x v="393"/>
    <n v="7497.22"/>
    <n v="184"/>
    <n v="40.745760869565217"/>
    <s v="July"/>
    <s v="Q3"/>
    <s v="Large"/>
  </r>
  <r>
    <s v="Roddy Speechley"/>
    <s v="USA"/>
    <s v="Milk Bars"/>
    <x v="381"/>
    <n v="3034.06"/>
    <n v="245"/>
    <n v="12.383918367346938"/>
    <s v="May"/>
    <s v="Q2"/>
    <s v="Large"/>
  </r>
  <r>
    <s v="Jan Morforth"/>
    <s v="India"/>
    <s v="After Nines"/>
    <x v="358"/>
    <n v="6795.06"/>
    <n v="177"/>
    <n v="38.390169491525427"/>
    <s v="March"/>
    <s v="Q1"/>
    <s v="Large"/>
  </r>
  <r>
    <s v="Gunar Cockshoot"/>
    <s v="USA"/>
    <s v="After Nines"/>
    <x v="424"/>
    <n v="4273.09"/>
    <n v="280"/>
    <n v="15.261035714285715"/>
    <s v="August"/>
    <s v="Q3"/>
    <s v="Large"/>
  </r>
  <r>
    <s v="Ches Bonnell"/>
    <s v="India"/>
    <s v="Orange Choco"/>
    <x v="353"/>
    <n v="1412.6"/>
    <n v="278"/>
    <n v="5.0812949640287766"/>
    <s v="February"/>
    <s v="Q1"/>
    <s v="Large"/>
  </r>
  <r>
    <s v="Mallorie Waber"/>
    <s v="UK"/>
    <s v="Manuka Honey Choco"/>
    <x v="362"/>
    <n v="9852.89"/>
    <n v="43"/>
    <n v="229.13697674418603"/>
    <s v="June"/>
    <s v="Q2"/>
    <s v="Large"/>
  </r>
  <r>
    <s v="Barr Faughny"/>
    <s v="Australia"/>
    <s v="Raspberry Choco"/>
    <x v="384"/>
    <n v="10744.23"/>
    <n v="105"/>
    <n v="102.32599999999999"/>
    <s v="May"/>
    <s v="Q2"/>
    <s v="Large"/>
  </r>
  <r>
    <s v="Wilone O'Kielt"/>
    <s v="USA"/>
    <s v="Drinking Coco"/>
    <x v="443"/>
    <n v="1213.6300000000001"/>
    <n v="101"/>
    <n v="12.016138613861386"/>
    <s v="June"/>
    <s v="Q2"/>
    <s v="Large"/>
  </r>
  <r>
    <s v="Wilone O'Kielt"/>
    <s v="India"/>
    <s v="Eclairs"/>
    <x v="411"/>
    <n v="4263.93"/>
    <n v="80"/>
    <n v="53.299125000000004"/>
    <s v="February"/>
    <s v="Q1"/>
    <s v="Large"/>
  </r>
  <r>
    <s v="Wilone O'Kielt"/>
    <s v="India"/>
    <s v="After Nines"/>
    <x v="453"/>
    <n v="13808.46"/>
    <n v="270"/>
    <n v="51.142444444444443"/>
    <s v="August"/>
    <s v="Q3"/>
    <s v="Large"/>
  </r>
  <r>
    <s v="Kelci Walkden"/>
    <s v="India"/>
    <s v="99% Dark &amp; Pure"/>
    <x v="380"/>
    <n v="2411.9299999999998"/>
    <n v="248"/>
    <n v="9.7255241935483863"/>
    <s v="June"/>
    <s v="Q2"/>
    <s v="Large"/>
  </r>
  <r>
    <s v="Gunar Cockshoot"/>
    <s v="Canada"/>
    <s v="Spicy Special Slims"/>
    <x v="352"/>
    <n v="14603.41"/>
    <n v="12"/>
    <n v="1216.9508333333333"/>
    <s v="April"/>
    <s v="Q2"/>
    <s v="Large"/>
  </r>
  <r>
    <s v="Madelene Upcott"/>
    <s v="Canada"/>
    <s v="Peanut Butter Cubes"/>
    <x v="361"/>
    <n v="17813.77"/>
    <n v="120"/>
    <n v="148.44808333333333"/>
    <s v="July"/>
    <s v="Q3"/>
    <s v="Large"/>
  </r>
  <r>
    <s v="Kaine Padly"/>
    <s v="New Zealand"/>
    <s v="Eclairs"/>
    <x v="503"/>
    <n v="14346.28"/>
    <n v="48"/>
    <n v="298.88083333333333"/>
    <s v="January"/>
    <s v="Q1"/>
    <s v="Large"/>
  </r>
  <r>
    <s v="Ches Bonnell"/>
    <s v="New Zealand"/>
    <s v="Drinking Coco"/>
    <x v="353"/>
    <n v="10009.51"/>
    <n v="144"/>
    <n v="69.510486111111106"/>
    <s v="February"/>
    <s v="Q1"/>
    <s v="Large"/>
  </r>
  <r>
    <s v="Curtice Advani"/>
    <s v="UK"/>
    <s v="Drinking Coco"/>
    <x v="433"/>
    <n v="494.27"/>
    <n v="186"/>
    <n v="2.6573655913978493"/>
    <s v="July"/>
    <s v="Q3"/>
    <s v="Small"/>
  </r>
  <r>
    <s v="Kelci Walkden"/>
    <s v="India"/>
    <s v="Raspberry Choco"/>
    <x v="422"/>
    <n v="9118.67"/>
    <n v="253"/>
    <n v="36.042173913043477"/>
    <s v="June"/>
    <s v="Q2"/>
    <s v="Large"/>
  </r>
  <r>
    <s v="Dotty Strutley"/>
    <s v="Australia"/>
    <s v="Choco Coated Almonds"/>
    <x v="436"/>
    <n v="1751.26"/>
    <n v="293"/>
    <n v="5.9769965870307171"/>
    <s v="April"/>
    <s v="Q2"/>
    <s v="Large"/>
  </r>
  <r>
    <s v="Kaine Padly"/>
    <s v="UK"/>
    <s v="50% Dark Bites"/>
    <x v="420"/>
    <n v="3402.47"/>
    <n v="69"/>
    <n v="49.311159420289854"/>
    <s v="February"/>
    <s v="Q1"/>
    <s v="Large"/>
  </r>
  <r>
    <s v="Roddy Speechley"/>
    <s v="Canada"/>
    <s v="Choco Coated Almonds"/>
    <x v="365"/>
    <n v="6841.28"/>
    <n v="237"/>
    <n v="28.866160337552742"/>
    <s v="May"/>
    <s v="Q2"/>
    <s v="Large"/>
  </r>
  <r>
    <s v="Ches Bonnell"/>
    <s v="India"/>
    <s v="50% Dark Bites"/>
    <x v="371"/>
    <n v="12584.46"/>
    <n v="328"/>
    <n v="38.367256097560976"/>
    <s v="April"/>
    <s v="Q2"/>
    <s v="Large"/>
  </r>
  <r>
    <s v="Oby Sorrel"/>
    <s v="Canada"/>
    <s v="Peanut Butter Cubes"/>
    <x v="412"/>
    <n v="14291.3"/>
    <n v="179"/>
    <n v="79.839664804469265"/>
    <s v="June"/>
    <s v="Q2"/>
    <s v="Large"/>
  </r>
  <r>
    <s v="Oby Sorrel"/>
    <s v="UK"/>
    <s v="White Choc"/>
    <x v="355"/>
    <n v="1998.41"/>
    <n v="303"/>
    <n v="6.5954125412541256"/>
    <s v="June"/>
    <s v="Q2"/>
    <s v="Large"/>
  </r>
  <r>
    <s v="Barr Faughny"/>
    <s v="India"/>
    <s v="After Nines"/>
    <x v="435"/>
    <n v="9558.06"/>
    <n v="117"/>
    <n v="81.692820512820504"/>
    <s v="July"/>
    <s v="Q3"/>
    <s v="Large"/>
  </r>
  <r>
    <s v="Wilone O'Kielt"/>
    <s v="Canada"/>
    <s v="Smooth Sliky Salty"/>
    <x v="370"/>
    <n v="5594.84"/>
    <n v="174"/>
    <n v="32.154252873563216"/>
    <s v="June"/>
    <s v="Q2"/>
    <s v="Large"/>
  </r>
  <r>
    <s v="Rafaelita Blaksland"/>
    <s v="India"/>
    <s v="Mint Chip Choco"/>
    <x v="350"/>
    <n v="16520.75"/>
    <n v="84"/>
    <n v="196.67559523809524"/>
    <s v="January"/>
    <s v="Q1"/>
    <s v="Large"/>
  </r>
  <r>
    <s v="Rafaelita Blaksland"/>
    <s v="Canada"/>
    <s v="99% Dark &amp; Pure"/>
    <x v="388"/>
    <n v="5545.62"/>
    <n v="139"/>
    <n v="39.896546762589928"/>
    <s v="March"/>
    <s v="Q1"/>
    <s v="Large"/>
  </r>
  <r>
    <s v="Van Tuxwell"/>
    <s v="Australia"/>
    <s v="70% Dark Bites"/>
    <x v="389"/>
    <n v="8260.58"/>
    <n v="108"/>
    <n v="76.486851851851853"/>
    <s v="January"/>
    <s v="Q1"/>
    <s v="Large"/>
  </r>
  <r>
    <s v="Beverie Moffet"/>
    <s v="USA"/>
    <s v="70% Dark Bites"/>
    <x v="355"/>
    <n v="2636.16"/>
    <n v="110"/>
    <n v="23.965090909090907"/>
    <s v="June"/>
    <s v="Q2"/>
    <s v="Large"/>
  </r>
  <r>
    <s v="Barr Faughny"/>
    <s v="Canada"/>
    <s v="Orange Choco"/>
    <x v="366"/>
    <n v="8285.3799999999992"/>
    <n v="18"/>
    <n v="460.29888888888883"/>
    <s v="June"/>
    <s v="Q2"/>
    <s v="Large"/>
  </r>
  <r>
    <s v="Roddy Speechley"/>
    <s v="Australia"/>
    <s v="85% Dark Bars"/>
    <x v="387"/>
    <n v="4590"/>
    <n v="78"/>
    <n v="58.846153846153847"/>
    <s v="July"/>
    <s v="Q3"/>
    <s v="Large"/>
  </r>
  <r>
    <s v="Oby Sorrel"/>
    <s v="India"/>
    <s v="Spicy Special Slims"/>
    <x v="354"/>
    <n v="13189.14"/>
    <n v="95"/>
    <n v="138.83305263157894"/>
    <s v="June"/>
    <s v="Q2"/>
    <s v="Large"/>
  </r>
  <r>
    <s v="Jan Morforth"/>
    <s v="UK"/>
    <s v="Manuka Honey Choco"/>
    <x v="397"/>
    <n v="3768.3"/>
    <n v="212"/>
    <n v="17.775000000000002"/>
    <s v="August"/>
    <s v="Q3"/>
    <s v="Large"/>
  </r>
  <r>
    <s v="Kaine Padly"/>
    <s v="Australia"/>
    <s v="After Nines"/>
    <x v="406"/>
    <n v="7962.71"/>
    <n v="293"/>
    <n v="27.176484641638226"/>
    <s v="April"/>
    <s v="Q2"/>
    <s v="Large"/>
  </r>
  <r>
    <s v="Wilone O'Kielt"/>
    <s v="Canada"/>
    <s v="Fruit &amp; Nut Bars"/>
    <x v="451"/>
    <n v="3665.13"/>
    <n v="191"/>
    <n v="19.189162303664922"/>
    <s v="August"/>
    <s v="Q3"/>
    <s v="Large"/>
  </r>
  <r>
    <s v="Wilone O'Kielt"/>
    <s v="UK"/>
    <s v="Milk Bars"/>
    <x v="392"/>
    <n v="334.81"/>
    <n v="66"/>
    <n v="5.0728787878787882"/>
    <s v="August"/>
    <s v="Q3"/>
    <s v="Small"/>
  </r>
  <r>
    <s v="Oby Sorrel"/>
    <s v="Canada"/>
    <s v="Fruit &amp; Nut Bars"/>
    <x v="438"/>
    <n v="2187.5"/>
    <n v="159"/>
    <n v="13.757861635220126"/>
    <s v="January"/>
    <s v="Q1"/>
    <s v="Large"/>
  </r>
  <r>
    <s v="Dennison Crosswaite"/>
    <s v="USA"/>
    <s v="Baker's Choco Chips"/>
    <x v="491"/>
    <n v="18481.73"/>
    <n v="295"/>
    <n v="62.649932203389831"/>
    <s v="August"/>
    <s v="Q3"/>
    <s v="Large"/>
  </r>
  <r>
    <s v="Madelene Upcott"/>
    <s v="USA"/>
    <s v="Almond Choco"/>
    <x v="442"/>
    <n v="11863.69"/>
    <n v="24"/>
    <n v="494.32041666666669"/>
    <s v="May"/>
    <s v="Q2"/>
    <s v="Large"/>
  </r>
  <r>
    <s v="Van Tuxwell"/>
    <s v="New Zealand"/>
    <s v="50% Dark Bites"/>
    <x v="372"/>
    <n v="4332.41"/>
    <n v="10"/>
    <n v="433.24099999999999"/>
    <s v="July"/>
    <s v="Q3"/>
    <s v="Large"/>
  </r>
  <r>
    <s v="Karlen McCaffrey"/>
    <s v="Canada"/>
    <s v="Caramel Stuffed Bars"/>
    <x v="388"/>
    <n v="3653.33"/>
    <n v="327"/>
    <n v="11.172262996941896"/>
    <s v="March"/>
    <s v="Q1"/>
    <s v="Large"/>
  </r>
  <r>
    <s v="Madelene Upcott"/>
    <s v="Australia"/>
    <s v="Raspberry Choco"/>
    <x v="393"/>
    <n v="7023.94"/>
    <n v="89"/>
    <n v="78.920674157303367"/>
    <s v="July"/>
    <s v="Q3"/>
    <s v="Large"/>
  </r>
  <r>
    <s v="Rafaelita Blaksland"/>
    <s v="UK"/>
    <s v="Spicy Special Slims"/>
    <x v="349"/>
    <n v="10001.950000000001"/>
    <n v="132"/>
    <n v="75.772348484848493"/>
    <s v="August"/>
    <s v="Q3"/>
    <s v="Large"/>
  </r>
  <r>
    <s v="Curtice Advani"/>
    <s v="UK"/>
    <s v="Peanut Butter Cubes"/>
    <x v="498"/>
    <n v="16460.650000000001"/>
    <n v="171"/>
    <n v="96.26111111111112"/>
    <s v="March"/>
    <s v="Q1"/>
    <s v="Large"/>
  </r>
  <r>
    <s v="Kelci Walkden"/>
    <s v="New Zealand"/>
    <s v="White Choc"/>
    <x v="436"/>
    <n v="8575.27"/>
    <n v="165"/>
    <n v="51.971333333333334"/>
    <s v="April"/>
    <s v="Q2"/>
    <s v="Large"/>
  </r>
  <r>
    <s v="Beverie Moffet"/>
    <s v="Canada"/>
    <s v="Fruit &amp; Nut Bars"/>
    <x v="351"/>
    <n v="12191.42"/>
    <n v="177"/>
    <n v="68.878079096045198"/>
    <s v="February"/>
    <s v="Q1"/>
    <s v="Large"/>
  </r>
  <r>
    <s v="Mallorie Waber"/>
    <s v="India"/>
    <s v="White Choc"/>
    <x v="404"/>
    <n v="969.15"/>
    <n v="233"/>
    <n v="4.1594420600858371"/>
    <s v="July"/>
    <s v="Q3"/>
    <s v="Large"/>
  </r>
  <r>
    <s v="Brien Boise"/>
    <s v="UK"/>
    <s v="Drinking Coco"/>
    <x v="395"/>
    <n v="6498.96"/>
    <n v="143"/>
    <n v="45.447272727272725"/>
    <s v="January"/>
    <s v="Q1"/>
    <s v="Large"/>
  </r>
  <r>
    <s v="Jehu Rudeforth"/>
    <s v="India"/>
    <s v="Peanut Butter Cubes"/>
    <x v="385"/>
    <n v="33.68"/>
    <n v="487"/>
    <n v="6.9158110882956883E-2"/>
    <s v="April"/>
    <s v="Q2"/>
    <s v="Small"/>
  </r>
  <r>
    <s v="Oby Sorrel"/>
    <s v="USA"/>
    <s v="Almond Choco"/>
    <x v="369"/>
    <n v="7640.61"/>
    <n v="154"/>
    <n v="49.614350649350648"/>
    <s v="May"/>
    <s v="Q2"/>
    <s v="Large"/>
  </r>
  <r>
    <s v="Husein Augar"/>
    <s v="India"/>
    <s v="Eclairs"/>
    <x v="360"/>
    <n v="5596.93"/>
    <n v="62"/>
    <n v="90.27306451612904"/>
    <s v="February"/>
    <s v="Q1"/>
    <s v="Large"/>
  </r>
  <r>
    <s v="Brien Boise"/>
    <s v="UK"/>
    <s v="Spicy Special Slims"/>
    <x v="399"/>
    <n v="2639.55"/>
    <n v="59"/>
    <n v="44.738135593220342"/>
    <s v="May"/>
    <s v="Q2"/>
    <s v="Large"/>
  </r>
  <r>
    <s v="Oby Sorrel"/>
    <s v="Australia"/>
    <s v="Manuka Honey Choco"/>
    <x v="350"/>
    <n v="4626.87"/>
    <n v="78"/>
    <n v="59.318846153846152"/>
    <s v="January"/>
    <s v="Q1"/>
    <s v="Large"/>
  </r>
  <r>
    <s v="Beverie Moffet"/>
    <s v="India"/>
    <s v="White Choc"/>
    <x v="345"/>
    <n v="1900.09"/>
    <n v="297"/>
    <n v="6.3976094276094271"/>
    <s v="July"/>
    <s v="Q3"/>
    <s v="Large"/>
  </r>
  <r>
    <s v="Ches Bonnell"/>
    <s v="India"/>
    <s v="Almond Choco"/>
    <x v="436"/>
    <n v="13315.47"/>
    <n v="72"/>
    <n v="184.93708333333333"/>
    <s v="April"/>
    <s v="Q2"/>
    <s v="Large"/>
  </r>
  <r>
    <s v="Gigi Bohling"/>
    <s v="Australia"/>
    <s v="Smooth Sliky Salty"/>
    <x v="342"/>
    <n v="6359.09"/>
    <n v="121"/>
    <n v="52.554462809917354"/>
    <s v="January"/>
    <s v="Q1"/>
    <s v="Large"/>
  </r>
  <r>
    <s v="Camilla Castle"/>
    <s v="USA"/>
    <s v="85% Dark Bars"/>
    <x v="427"/>
    <n v="2644.65"/>
    <n v="83"/>
    <n v="31.863253012048194"/>
    <s v="April"/>
    <s v="Q2"/>
    <s v="Large"/>
  </r>
  <r>
    <s v="Camilla Castle"/>
    <s v="USA"/>
    <s v="Eclairs"/>
    <x v="375"/>
    <n v="4879.55"/>
    <n v="427"/>
    <n v="11.427517564402811"/>
    <s v="June"/>
    <s v="Q2"/>
    <s v="Large"/>
  </r>
  <r>
    <s v="Madelene Upcott"/>
    <s v="New Zealand"/>
    <s v="White Choc"/>
    <x v="374"/>
    <n v="11572.5"/>
    <n v="51"/>
    <n v="226.91176470588235"/>
    <s v="August"/>
    <s v="Q3"/>
    <s v="Large"/>
  </r>
  <r>
    <s v="Van Tuxwell"/>
    <s v="India"/>
    <s v="After Nines"/>
    <x v="355"/>
    <n v="15626.93"/>
    <n v="225"/>
    <n v="69.453022222222216"/>
    <s v="June"/>
    <s v="Q2"/>
    <s v="Large"/>
  </r>
  <r>
    <s v="Husein Augar"/>
    <s v="India"/>
    <s v="Orange Choco"/>
    <x v="366"/>
    <n v="4781.1400000000003"/>
    <n v="38"/>
    <n v="125.81947368421054"/>
    <s v="June"/>
    <s v="Q2"/>
    <s v="Large"/>
  </r>
  <r>
    <s v="Jehu Rudeforth"/>
    <s v="India"/>
    <s v="Almond Choco"/>
    <x v="464"/>
    <n v="11793.4"/>
    <n v="101"/>
    <n v="116.76633663366336"/>
    <s v="August"/>
    <s v="Q3"/>
    <s v="Large"/>
  </r>
  <r>
    <s v="Karlen McCaffrey"/>
    <s v="Australia"/>
    <s v="Raspberry Choco"/>
    <x v="398"/>
    <n v="1061.03"/>
    <n v="58"/>
    <n v="18.293620689655171"/>
    <s v="August"/>
    <s v="Q3"/>
    <s v="Large"/>
  </r>
  <r>
    <s v="Camilla Castle"/>
    <s v="New Zealand"/>
    <s v="99% Dark &amp; Pure"/>
    <x v="392"/>
    <n v="2499.92"/>
    <n v="44"/>
    <n v="56.81636363636364"/>
    <s v="August"/>
    <s v="Q3"/>
    <s v="Large"/>
  </r>
  <r>
    <s v="Gigi Bohling"/>
    <s v="Australia"/>
    <s v="Orange Choco"/>
    <x v="423"/>
    <n v="676.29"/>
    <n v="158"/>
    <n v="4.2803164556962026"/>
    <s v="March"/>
    <s v="Q1"/>
    <s v="Large"/>
  </r>
  <r>
    <s v="Kelci Walkden"/>
    <s v="UK"/>
    <s v="Drinking Coco"/>
    <x v="344"/>
    <n v="1886.06"/>
    <n v="23"/>
    <n v="82.002608695652171"/>
    <s v="April"/>
    <s v="Q2"/>
    <s v="Large"/>
  </r>
  <r>
    <s v="Mallorie Waber"/>
    <s v="Canada"/>
    <s v="Caramel Stuffed Bars"/>
    <x v="375"/>
    <n v="5093.92"/>
    <n v="524"/>
    <n v="9.7212213740458022"/>
    <s v="June"/>
    <s v="Q2"/>
    <s v="Large"/>
  </r>
  <r>
    <s v="Husein Augar"/>
    <s v="Australia"/>
    <s v="Organic Choco Syrup"/>
    <x v="479"/>
    <n v="1018.8"/>
    <n v="157"/>
    <n v="6.4891719745222929"/>
    <s v="February"/>
    <s v="Q1"/>
    <s v="Large"/>
  </r>
  <r>
    <s v="Brien Boise"/>
    <s v="Australia"/>
    <s v="White Choc"/>
    <x v="410"/>
    <n v="5616.77"/>
    <n v="23"/>
    <n v="244.20739130434785"/>
    <s v="August"/>
    <s v="Q3"/>
    <s v="Large"/>
  </r>
  <r>
    <s v="Dotty Strutley"/>
    <s v="India"/>
    <s v="Peanut Butter Cubes"/>
    <x v="353"/>
    <n v="10461.82"/>
    <n v="78"/>
    <n v="134.12589743589743"/>
    <s v="February"/>
    <s v="Q1"/>
    <s v="Large"/>
  </r>
  <r>
    <s v="Dennison Crosswaite"/>
    <s v="UK"/>
    <s v="99% Dark &amp; Pure"/>
    <x v="357"/>
    <n v="12841.79"/>
    <n v="26"/>
    <n v="493.91500000000002"/>
    <s v="May"/>
    <s v="Q2"/>
    <s v="Large"/>
  </r>
  <r>
    <s v="Gigi Bohling"/>
    <s v="New Zealand"/>
    <s v="50% Dark Bites"/>
    <x v="364"/>
    <n v="6723.42"/>
    <n v="67"/>
    <n v="100.34955223880597"/>
    <s v="June"/>
    <s v="Q2"/>
    <s v="Large"/>
  </r>
  <r>
    <s v="Gigi Bohling"/>
    <s v="USA"/>
    <s v="Milk Bars"/>
    <x v="422"/>
    <n v="521.35"/>
    <n v="127"/>
    <n v="4.1051181102362211"/>
    <s v="June"/>
    <s v="Q2"/>
    <s v="Large"/>
  </r>
  <r>
    <s v="Brien Boise"/>
    <s v="UK"/>
    <s v="Caramel Stuffed Bars"/>
    <x v="408"/>
    <n v="3106.11"/>
    <n v="159"/>
    <n v="19.535283018867926"/>
    <s v="March"/>
    <s v="Q1"/>
    <s v="Large"/>
  </r>
  <r>
    <s v="Curtice Advani"/>
    <s v="New Zealand"/>
    <s v="Peanut Butter Cubes"/>
    <x v="447"/>
    <n v="1684.28"/>
    <n v="419"/>
    <n v="4.0197613365155132"/>
    <s v="March"/>
    <s v="Q1"/>
    <s v="Large"/>
  </r>
  <r>
    <s v="Curtice Advani"/>
    <s v="New Zealand"/>
    <s v="50% Dark Bites"/>
    <x v="395"/>
    <n v="11226.14"/>
    <n v="84"/>
    <n v="133.6445238095238"/>
    <s v="January"/>
    <s v="Q1"/>
    <s v="Large"/>
  </r>
  <r>
    <s v="Beverie Moffet"/>
    <s v="Canada"/>
    <s v="Drinking Coco"/>
    <x v="361"/>
    <n v="1172.53"/>
    <n v="124"/>
    <n v="9.4558870967741928"/>
    <s v="July"/>
    <s v="Q3"/>
    <s v="Large"/>
  </r>
  <r>
    <s v="Barr Faughny"/>
    <s v="USA"/>
    <s v="Caramel Stuffed Bars"/>
    <x v="432"/>
    <n v="3917.13"/>
    <n v="287"/>
    <n v="13.648536585365854"/>
    <s v="March"/>
    <s v="Q1"/>
    <s v="Large"/>
  </r>
  <r>
    <s v="Mallorie Waber"/>
    <s v="Canada"/>
    <s v="Almond Choco"/>
    <x v="401"/>
    <n v="4871.07"/>
    <n v="33"/>
    <n v="147.60818181818181"/>
    <s v="May"/>
    <s v="Q2"/>
    <s v="Large"/>
  </r>
  <r>
    <s v="Oby Sorrel"/>
    <s v="USA"/>
    <s v="Drinking Coco"/>
    <x v="390"/>
    <n v="9306.64"/>
    <n v="48"/>
    <n v="193.88833333333332"/>
    <s v="March"/>
    <s v="Q1"/>
    <s v="Large"/>
  </r>
  <r>
    <s v="Brien Boise"/>
    <s v="New Zealand"/>
    <s v="Eclairs"/>
    <x v="372"/>
    <n v="5270.33"/>
    <n v="323"/>
    <n v="16.316811145510837"/>
    <s v="July"/>
    <s v="Q3"/>
    <s v="Large"/>
  </r>
  <r>
    <s v="Gunar Cockshoot"/>
    <s v="New Zealand"/>
    <s v="Choco Coated Almonds"/>
    <x v="337"/>
    <n v="14722.35"/>
    <n v="61"/>
    <n v="241.35"/>
    <s v="August"/>
    <s v="Q3"/>
    <s v="Large"/>
  </r>
  <r>
    <s v="Gunar Cockshoot"/>
    <s v="UK"/>
    <s v="Spicy Special Slims"/>
    <x v="353"/>
    <n v="13444.87"/>
    <n v="197"/>
    <n v="68.248071065989848"/>
    <s v="February"/>
    <s v="Q1"/>
    <s v="Large"/>
  </r>
  <r>
    <s v="Curtice Advani"/>
    <s v="USA"/>
    <s v="After Nines"/>
    <x v="436"/>
    <n v="14885.97"/>
    <n v="248"/>
    <n v="60.024072580645161"/>
    <s v="April"/>
    <s v="Q2"/>
    <s v="Large"/>
  </r>
  <r>
    <s v="Oby Sorrel"/>
    <s v="India"/>
    <s v="Choco Coated Almonds"/>
    <x v="351"/>
    <n v="53.31"/>
    <n v="371"/>
    <n v="0.14369272237196767"/>
    <s v="February"/>
    <s v="Q1"/>
    <s v="Small"/>
  </r>
  <r>
    <s v="Ches Bonnell"/>
    <s v="Australia"/>
    <s v="Peanut Butter Cubes"/>
    <x v="358"/>
    <n v="11767.94"/>
    <n v="68"/>
    <n v="173.05794117647059"/>
    <s v="March"/>
    <s v="Q1"/>
    <s v="Large"/>
  </r>
  <r>
    <s v="Oby Sorrel"/>
    <s v="Australia"/>
    <s v="Spicy Special Slims"/>
    <x v="487"/>
    <n v="12897.53"/>
    <n v="25"/>
    <n v="515.90120000000002"/>
    <s v="April"/>
    <s v="Q2"/>
    <s v="Large"/>
  </r>
  <r>
    <s v="Jehu Rudeforth"/>
    <s v="Canada"/>
    <s v="Manuka Honey Choco"/>
    <x v="352"/>
    <n v="3867.62"/>
    <n v="214"/>
    <n v="18.072990654205608"/>
    <s v="April"/>
    <s v="Q2"/>
    <s v="Large"/>
  </r>
  <r>
    <s v="Camilla Castle"/>
    <s v="Canada"/>
    <s v="Drinking Coco"/>
    <x v="486"/>
    <n v="13524.05"/>
    <n v="253"/>
    <n v="53.454743083003947"/>
    <s v="March"/>
    <s v="Q1"/>
    <s v="Large"/>
  </r>
  <r>
    <s v="Kaine Padly"/>
    <s v="USA"/>
    <s v="Spicy Special Slims"/>
    <x v="444"/>
    <n v="2319.1"/>
    <n v="189"/>
    <n v="12.270370370370371"/>
    <s v="June"/>
    <s v="Q2"/>
    <s v="Large"/>
  </r>
  <r>
    <s v="Marney O'Breen"/>
    <s v="New Zealand"/>
    <s v="70% Dark Bites"/>
    <x v="351"/>
    <n v="9036.58"/>
    <n v="377"/>
    <n v="23.969708222811672"/>
    <s v="February"/>
    <s v="Q1"/>
    <s v="Large"/>
  </r>
  <r>
    <s v="Roddy Speechley"/>
    <s v="New Zealand"/>
    <s v="99% Dark &amp; Pure"/>
    <x v="494"/>
    <n v="8905.5300000000007"/>
    <n v="201"/>
    <n v="44.306119402985075"/>
    <s v="April"/>
    <s v="Q2"/>
    <s v="Large"/>
  </r>
  <r>
    <s v="Oby Sorrel"/>
    <s v="New Zealand"/>
    <s v="85% Dark Bars"/>
    <x v="467"/>
    <n v="4040.65"/>
    <n v="423"/>
    <n v="9.5523640661938529"/>
    <s v="February"/>
    <s v="Q1"/>
    <s v="Large"/>
  </r>
  <r>
    <s v="Dotty Strutley"/>
    <s v="New Zealand"/>
    <s v="Orange Choco"/>
    <x v="453"/>
    <n v="2204.17"/>
    <n v="145"/>
    <n v="15.201172413793104"/>
    <s v="August"/>
    <s v="Q3"/>
    <s v="Large"/>
  </r>
  <r>
    <s v="Andria Kimpton"/>
    <s v="New Zealand"/>
    <s v="Almond Choco"/>
    <x v="352"/>
    <n v="7037.21"/>
    <n v="172"/>
    <n v="40.91401162790698"/>
    <s v="April"/>
    <s v="Q2"/>
    <s v="Large"/>
  </r>
  <r>
    <s v="Karlen McCaffrey"/>
    <s v="Australia"/>
    <s v="99% Dark &amp; Pure"/>
    <x v="350"/>
    <n v="12285.41"/>
    <n v="175"/>
    <n v="70.202342857142852"/>
    <s v="January"/>
    <s v="Q1"/>
    <s v="Large"/>
  </r>
  <r>
    <s v="Kaine Padly"/>
    <s v="UK"/>
    <s v="After Nines"/>
    <x v="440"/>
    <n v="21812.86"/>
    <n v="183"/>
    <n v="119.19595628415301"/>
    <s v="January"/>
    <s v="Q1"/>
    <s v="Large"/>
  </r>
  <r>
    <s v="Kaine Padly"/>
    <s v="Canada"/>
    <s v="After Nines"/>
    <x v="374"/>
    <n v="6707.97"/>
    <n v="187"/>
    <n v="35.871497326203212"/>
    <s v="August"/>
    <s v="Q3"/>
    <s v="Large"/>
  </r>
  <r>
    <s v="Kaine Padly"/>
    <s v="UK"/>
    <s v="Drinking Coco"/>
    <x v="395"/>
    <n v="2513.58"/>
    <n v="226"/>
    <n v="11.122035398230087"/>
    <s v="January"/>
    <s v="Q1"/>
    <s v="Large"/>
  </r>
  <r>
    <s v="Rafaelita Blaksland"/>
    <s v="UK"/>
    <s v="50% Dark Bites"/>
    <x v="353"/>
    <n v="11491.21"/>
    <n v="71"/>
    <n v="161.84802816901407"/>
    <s v="February"/>
    <s v="Q1"/>
    <s v="Large"/>
  </r>
  <r>
    <s v="Dotty Strutley"/>
    <s v="USA"/>
    <s v="Raspberry Choco"/>
    <x v="403"/>
    <n v="3762.58"/>
    <n v="49"/>
    <n v="76.787346938775514"/>
    <s v="January"/>
    <s v="Q1"/>
    <s v="Large"/>
  </r>
  <r>
    <s v="Karlen McCaffrey"/>
    <s v="USA"/>
    <s v="White Choc"/>
    <x v="368"/>
    <n v="5158.01"/>
    <n v="2"/>
    <n v="2579.0050000000001"/>
    <s v="August"/>
    <s v="Q3"/>
    <s v="Large"/>
  </r>
  <r>
    <s v="Oby Sorrel"/>
    <s v="USA"/>
    <s v="Spicy Special Slims"/>
    <x v="400"/>
    <n v="6660.69"/>
    <n v="418"/>
    <n v="15.934665071770334"/>
    <s v="February"/>
    <s v="Q1"/>
    <s v="Large"/>
  </r>
  <r>
    <s v="Mallorie Waber"/>
    <s v="Australia"/>
    <s v="Smooth Sliky Salty"/>
    <x v="394"/>
    <n v="4786.05"/>
    <n v="107"/>
    <n v="44.729439252336448"/>
    <s v="February"/>
    <s v="Q1"/>
    <s v="Large"/>
  </r>
  <r>
    <s v="Kaine Padly"/>
    <s v="Canada"/>
    <s v="Organic Choco Syrup"/>
    <x v="432"/>
    <n v="6797.67"/>
    <n v="82"/>
    <n v="82.898414634146349"/>
    <s v="March"/>
    <s v="Q1"/>
    <s v="Large"/>
  </r>
  <r>
    <s v="Marney O'Breen"/>
    <s v="USA"/>
    <s v="Peanut Butter Cubes"/>
    <x v="362"/>
    <n v="782.24"/>
    <n v="348"/>
    <n v="2.2478160919540229"/>
    <s v="June"/>
    <s v="Q2"/>
    <s v="Large"/>
  </r>
  <r>
    <s v="Dennison Crosswaite"/>
    <s v="UK"/>
    <s v="Smooth Sliky Salty"/>
    <x v="487"/>
    <n v="653.1"/>
    <n v="136"/>
    <n v="4.8022058823529417"/>
    <s v="April"/>
    <s v="Q2"/>
    <s v="Large"/>
  </r>
  <r>
    <s v="Brien Boise"/>
    <s v="Australia"/>
    <s v="Organic Choco Syrup"/>
    <x v="378"/>
    <n v="4768.88"/>
    <n v="281"/>
    <n v="16.971103202846976"/>
    <s v="July"/>
    <s v="Q3"/>
    <s v="Large"/>
  </r>
  <r>
    <s v="Beverie Moffet"/>
    <s v="India"/>
    <s v="Organic Choco Syrup"/>
    <x v="466"/>
    <n v="1123.57"/>
    <n v="19"/>
    <n v="59.135263157894734"/>
    <s v="June"/>
    <s v="Q2"/>
    <s v="Large"/>
  </r>
  <r>
    <s v="Dennison Crosswaite"/>
    <s v="Australia"/>
    <s v="Baker's Choco Chips"/>
    <x v="460"/>
    <n v="16435.38"/>
    <n v="425"/>
    <n v="38.671482352941176"/>
    <s v="January"/>
    <s v="Q1"/>
    <s v="Large"/>
  </r>
  <r>
    <s v="Beverie Moffet"/>
    <s v="UK"/>
    <s v="50% Dark Bites"/>
    <x v="360"/>
    <n v="2922.18"/>
    <n v="289"/>
    <n v="10.111349480968858"/>
    <s v="February"/>
    <s v="Q1"/>
    <s v="Large"/>
  </r>
  <r>
    <s v="Van Tuxwell"/>
    <s v="UK"/>
    <s v="Almond Choco"/>
    <x v="341"/>
    <n v="12123.84"/>
    <n v="222"/>
    <n v="54.611891891891894"/>
    <s v="June"/>
    <s v="Q2"/>
    <s v="Large"/>
  </r>
  <r>
    <s v="Dotty Strutley"/>
    <s v="UK"/>
    <s v="Caramel Stuffed Bars"/>
    <x v="386"/>
    <n v="6448.87"/>
    <n v="244"/>
    <n v="26.429795081967214"/>
    <s v="August"/>
    <s v="Q3"/>
    <s v="Large"/>
  </r>
  <r>
    <s v="Wilone O'Kielt"/>
    <s v="Australia"/>
    <s v="Smooth Sliky Salty"/>
    <x v="336"/>
    <n v="2587.61"/>
    <n v="44"/>
    <n v="58.809318181818185"/>
    <s v="January"/>
    <s v="Q1"/>
    <s v="Large"/>
  </r>
  <r>
    <s v="Andria Kimpton"/>
    <s v="Canada"/>
    <s v="70% Dark Bites"/>
    <x v="406"/>
    <n v="12109"/>
    <n v="16"/>
    <n v="756.8125"/>
    <s v="April"/>
    <s v="Q2"/>
    <s v="Large"/>
  </r>
  <r>
    <s v="Barr Faughny"/>
    <s v="UK"/>
    <s v="Milk Bars"/>
    <x v="388"/>
    <n v="4482.33"/>
    <n v="467"/>
    <n v="9.5981370449678796"/>
    <s v="March"/>
    <s v="Q1"/>
    <s v="Large"/>
  </r>
  <r>
    <s v="Van Tuxwell"/>
    <s v="Canada"/>
    <s v="Drinking Coco"/>
    <x v="362"/>
    <n v="5294.88"/>
    <n v="679"/>
    <n v="7.7980559646539032"/>
    <s v="June"/>
    <s v="Q2"/>
    <s v="Large"/>
  </r>
  <r>
    <s v="Jehu Rudeforth"/>
    <s v="Australia"/>
    <s v="After Nines"/>
    <x v="351"/>
    <n v="5512.57"/>
    <n v="46"/>
    <n v="119.83847826086956"/>
    <s v="February"/>
    <s v="Q1"/>
    <s v="Large"/>
  </r>
  <r>
    <s v="Husein Augar"/>
    <s v="UK"/>
    <s v="After Nines"/>
    <x v="361"/>
    <n v="3707.27"/>
    <n v="392"/>
    <n v="9.4573214285714293"/>
    <s v="July"/>
    <s v="Q3"/>
    <s v="Large"/>
  </r>
  <r>
    <s v="Barr Faughny"/>
    <s v="India"/>
    <s v="Mint Chip Choco"/>
    <x v="425"/>
    <n v="7899.01"/>
    <n v="461"/>
    <n v="17.134511930585685"/>
    <s v="January"/>
    <s v="Q1"/>
    <s v="Large"/>
  </r>
  <r>
    <s v="Curtice Advani"/>
    <s v="India"/>
    <s v="Mint Chip Choco"/>
    <x v="486"/>
    <n v="9813.42"/>
    <n v="100"/>
    <n v="98.134200000000007"/>
    <s v="March"/>
    <s v="Q1"/>
    <s v="Large"/>
  </r>
  <r>
    <s v="Jehu Rudeforth"/>
    <s v="New Zealand"/>
    <s v="Milk Bars"/>
    <x v="379"/>
    <n v="2845.74"/>
    <n v="197"/>
    <n v="14.445380710659897"/>
    <s v="May"/>
    <s v="Q2"/>
    <s v="Large"/>
  </r>
  <r>
    <s v="Gunar Cockshoot"/>
    <s v="India"/>
    <s v="Caramel Stuffed Bars"/>
    <x v="348"/>
    <n v="2941.72"/>
    <n v="220"/>
    <n v="13.371454545454544"/>
    <s v="July"/>
    <s v="Q3"/>
    <s v="Large"/>
  </r>
  <r>
    <s v="Curtice Advani"/>
    <s v="UK"/>
    <s v="Manuka Honey Choco"/>
    <x v="400"/>
    <n v="1969.62"/>
    <n v="114"/>
    <n v="17.277368421052632"/>
    <s v="February"/>
    <s v="Q1"/>
    <s v="Large"/>
  </r>
  <r>
    <s v="Andria Kimpton"/>
    <s v="India"/>
    <s v="Orange Choco"/>
    <x v="357"/>
    <n v="339.64"/>
    <n v="452"/>
    <n v="0.75141592920353983"/>
    <s v="May"/>
    <s v="Q2"/>
    <s v="Small"/>
  </r>
  <r>
    <s v="Mallorie Waber"/>
    <s v="Australia"/>
    <s v="Raspberry Choco"/>
    <x v="427"/>
    <n v="8818.17"/>
    <n v="29"/>
    <n v="304.07482758620688"/>
    <s v="April"/>
    <s v="Q2"/>
    <s v="Large"/>
  </r>
  <r>
    <s v="Beverie Moffet"/>
    <s v="Canada"/>
    <s v="85% Dark Bars"/>
    <x v="353"/>
    <n v="6829.86"/>
    <n v="46"/>
    <n v="148.47521739130434"/>
    <s v="February"/>
    <s v="Q1"/>
    <s v="Large"/>
  </r>
  <r>
    <s v="Kelci Walkden"/>
    <s v="Australia"/>
    <s v="Drinking Coco"/>
    <x v="452"/>
    <n v="1370.19"/>
    <n v="58"/>
    <n v="23.62396551724138"/>
    <s v="May"/>
    <s v="Q2"/>
    <s v="Large"/>
  </r>
  <r>
    <s v="Van Tuxwell"/>
    <s v="Canada"/>
    <s v="70% Dark Bites"/>
    <x v="370"/>
    <n v="7731.47"/>
    <n v="77"/>
    <n v="100.4087012987013"/>
    <s v="June"/>
    <s v="Q2"/>
    <s v="Large"/>
  </r>
  <r>
    <s v="Dennison Crosswaite"/>
    <s v="USA"/>
    <s v="Caramel Stuffed Bars"/>
    <x v="372"/>
    <n v="2757.16"/>
    <n v="463"/>
    <n v="5.9549892008639302"/>
    <s v="July"/>
    <s v="Q3"/>
    <s v="Large"/>
  </r>
  <r>
    <s v="Beverie Moffet"/>
    <s v="New Zealand"/>
    <s v="Spicy Special Slims"/>
    <x v="412"/>
    <n v="70.19"/>
    <n v="63"/>
    <n v="1.1141269841269841"/>
    <s v="June"/>
    <s v="Q2"/>
    <s v="Small"/>
  </r>
  <r>
    <s v="Jan Morforth"/>
    <s v="UK"/>
    <s v="Almond Choco"/>
    <x v="383"/>
    <n v="10817.45"/>
    <n v="151"/>
    <n v="71.638741721854316"/>
    <s v="July"/>
    <s v="Q3"/>
    <s v="Large"/>
  </r>
  <r>
    <s v="Husein Augar"/>
    <s v="India"/>
    <s v="Raspberry Choco"/>
    <x v="362"/>
    <n v="11595.41"/>
    <n v="153"/>
    <n v="75.786993464052287"/>
    <s v="June"/>
    <s v="Q2"/>
    <s v="Large"/>
  </r>
  <r>
    <s v="Dotty Strutley"/>
    <s v="India"/>
    <s v="Mint Chip Choco"/>
    <x v="385"/>
    <n v="1375.22"/>
    <n v="231"/>
    <n v="5.9533333333333331"/>
    <s v="April"/>
    <s v="Q2"/>
    <s v="Large"/>
  </r>
  <r>
    <s v="Camilla Castle"/>
    <s v="India"/>
    <s v="Drinking Coco"/>
    <x v="451"/>
    <n v="503.52"/>
    <n v="167"/>
    <n v="3.0150898203592815"/>
    <s v="August"/>
    <s v="Q3"/>
    <s v="Large"/>
  </r>
  <r>
    <s v="Marney O'Breen"/>
    <s v="UK"/>
    <s v="Drinking Coco"/>
    <x v="432"/>
    <n v="1135.1600000000001"/>
    <n v="27"/>
    <n v="42.042962962962967"/>
    <s v="March"/>
    <s v="Q1"/>
    <s v="Large"/>
  </r>
  <r>
    <s v="Roddy Speechley"/>
    <s v="Australia"/>
    <s v="Organic Choco Syrup"/>
    <x v="345"/>
    <n v="4375.45"/>
    <n v="79"/>
    <n v="55.385443037974682"/>
    <s v="July"/>
    <s v="Q3"/>
    <s v="Large"/>
  </r>
  <r>
    <s v="Ches Bonnell"/>
    <s v="India"/>
    <s v="99% Dark &amp; Pure"/>
    <x v="353"/>
    <n v="536.74"/>
    <n v="102"/>
    <n v="5.2621568627450985"/>
    <s v="February"/>
    <s v="Q1"/>
    <s v="Large"/>
  </r>
  <r>
    <s v="Rafaelita Blaksland"/>
    <s v="Canada"/>
    <s v="Spicy Special Slims"/>
    <x v="474"/>
    <n v="2702.08"/>
    <n v="164"/>
    <n v="16.47609756097561"/>
    <s v="May"/>
    <s v="Q2"/>
    <s v="Large"/>
  </r>
  <r>
    <s v="Van Tuxwell"/>
    <s v="India"/>
    <s v="Eclairs"/>
    <x v="465"/>
    <n v="11064.27"/>
    <n v="104"/>
    <n v="106.38721153846154"/>
    <s v="July"/>
    <s v="Q3"/>
    <s v="Large"/>
  </r>
  <r>
    <s v="Gunar Cockshoot"/>
    <s v="Australia"/>
    <s v="99% Dark &amp; Pure"/>
    <x v="397"/>
    <n v="8861.83"/>
    <n v="226"/>
    <n v="39.211637168141593"/>
    <s v="August"/>
    <s v="Q3"/>
    <s v="Large"/>
  </r>
  <r>
    <s v="Kaine Padly"/>
    <s v="USA"/>
    <s v="85% Dark Bars"/>
    <x v="473"/>
    <n v="564.66999999999996"/>
    <n v="256"/>
    <n v="2.2057421874999998"/>
    <s v="June"/>
    <s v="Q2"/>
    <s v="Large"/>
  </r>
  <r>
    <s v="Camilla Castle"/>
    <s v="UK"/>
    <s v="Peanut Butter Cubes"/>
    <x v="376"/>
    <n v="5267.69"/>
    <n v="120"/>
    <n v="43.897416666666665"/>
    <s v="July"/>
    <s v="Q3"/>
    <s v="Large"/>
  </r>
  <r>
    <s v="Madelene Upcott"/>
    <s v="UK"/>
    <s v="Peanut Butter Cubes"/>
    <x v="489"/>
    <n v="8698.4699999999993"/>
    <n v="89"/>
    <n v="97.735617977528079"/>
    <s v="August"/>
    <s v="Q3"/>
    <s v="Large"/>
  </r>
  <r>
    <s v="Madelene Upcott"/>
    <s v="USA"/>
    <s v="Choco Coated Almonds"/>
    <x v="412"/>
    <n v="6025.6"/>
    <n v="137"/>
    <n v="43.982481751824821"/>
    <s v="June"/>
    <s v="Q2"/>
    <s v="Large"/>
  </r>
  <r>
    <s v="Marney O'Breen"/>
    <s v="Canada"/>
    <s v="Peanut Butter Cubes"/>
    <x v="457"/>
    <n v="7032.54"/>
    <n v="87"/>
    <n v="80.833793103448272"/>
    <s v="March"/>
    <s v="Q1"/>
    <s v="Large"/>
  </r>
  <r>
    <s v="Ches Bonnell"/>
    <s v="Australia"/>
    <s v="Choco Coated Almonds"/>
    <x v="406"/>
    <n v="1572.79"/>
    <n v="176"/>
    <n v="8.9363068181818175"/>
    <s v="April"/>
    <s v="Q2"/>
    <s v="Large"/>
  </r>
  <r>
    <s v="Curtice Advani"/>
    <s v="Canada"/>
    <s v="Eclairs"/>
    <x v="477"/>
    <n v="857.34"/>
    <n v="197"/>
    <n v="4.3519796954314725"/>
    <s v="May"/>
    <s v="Q2"/>
    <s v="Large"/>
  </r>
  <r>
    <s v="Roddy Speechley"/>
    <s v="India"/>
    <s v="Drinking Coco"/>
    <x v="442"/>
    <n v="4899.47"/>
    <n v="11"/>
    <n v="445.40636363636366"/>
    <s v="May"/>
    <s v="Q2"/>
    <s v="Large"/>
  </r>
  <r>
    <s v="Van Tuxwell"/>
    <s v="Australia"/>
    <s v="Mint Chip Choco"/>
    <x v="346"/>
    <n v="2924.06"/>
    <n v="295"/>
    <n v="9.9120677966101685"/>
    <s v="January"/>
    <s v="Q1"/>
    <s v="Large"/>
  </r>
  <r>
    <s v="Dennison Crosswaite"/>
    <s v="USA"/>
    <s v="70% Dark Bites"/>
    <x v="447"/>
    <n v="730.06"/>
    <n v="78"/>
    <n v="9.359743589743589"/>
    <s v="March"/>
    <s v="Q1"/>
    <s v="Large"/>
  </r>
  <r>
    <s v="Andria Kimpton"/>
    <s v="Canada"/>
    <s v="Peanut Butter Cubes"/>
    <x v="353"/>
    <n v="1348.05"/>
    <n v="332"/>
    <n v="4.0603915662650598"/>
    <s v="February"/>
    <s v="Q1"/>
    <s v="Large"/>
  </r>
  <r>
    <s v="Gigi Bohling"/>
    <s v="USA"/>
    <s v="70% Dark Bites"/>
    <x v="438"/>
    <n v="8561.59"/>
    <n v="204"/>
    <n v="41.968578431372549"/>
    <s v="January"/>
    <s v="Q1"/>
    <s v="Large"/>
  </r>
  <r>
    <s v="Rafaelita Blaksland"/>
    <s v="Australia"/>
    <s v="White Choc"/>
    <x v="475"/>
    <n v="7326.91"/>
    <n v="102"/>
    <n v="71.832450980392153"/>
    <s v="March"/>
    <s v="Q1"/>
    <s v="Large"/>
  </r>
  <r>
    <s v="Roddy Speechley"/>
    <s v="Canada"/>
    <s v="Drinking Coco"/>
    <x v="470"/>
    <n v="8196.93"/>
    <n v="340"/>
    <n v="24.108617647058825"/>
    <s v="May"/>
    <s v="Q2"/>
    <s v="Large"/>
  </r>
  <r>
    <s v="Camilla Castle"/>
    <s v="New Zealand"/>
    <s v="85% Dark Bars"/>
    <x v="451"/>
    <n v="17841.919999999998"/>
    <n v="53"/>
    <n v="336.64"/>
    <s v="August"/>
    <s v="Q3"/>
    <s v="Large"/>
  </r>
  <r>
    <s v="Madelene Upcott"/>
    <s v="Canada"/>
    <s v="Milk Bars"/>
    <x v="487"/>
    <n v="4285.13"/>
    <n v="87"/>
    <n v="49.254367816091957"/>
    <s v="April"/>
    <s v="Q2"/>
    <s v="Large"/>
  </r>
  <r>
    <s v="Madelene Upcott"/>
    <s v="Australia"/>
    <s v="70% Dark Bites"/>
    <x v="371"/>
    <n v="4196.2299999999996"/>
    <n v="256"/>
    <n v="16.391523437499998"/>
    <s v="April"/>
    <s v="Q2"/>
    <s v="Large"/>
  </r>
  <r>
    <s v="Oby Sorrel"/>
    <s v="Canada"/>
    <s v="Eclairs"/>
    <x v="369"/>
    <n v="6409.31"/>
    <n v="621"/>
    <n v="10.320950080515299"/>
    <s v="May"/>
    <s v="Q2"/>
    <s v="Large"/>
  </r>
  <r>
    <s v="Dennison Crosswaite"/>
    <s v="Canada"/>
    <s v="Drinking Coco"/>
    <x v="389"/>
    <n v="3010.07"/>
    <n v="24"/>
    <n v="125.41958333333334"/>
    <s v="January"/>
    <s v="Q1"/>
    <s v="Large"/>
  </r>
  <r>
    <s v="Mallorie Waber"/>
    <s v="New Zealand"/>
    <s v="After Nines"/>
    <x v="452"/>
    <n v="567.91"/>
    <n v="225"/>
    <n v="2.5240444444444443"/>
    <s v="May"/>
    <s v="Q2"/>
    <s v="Large"/>
  </r>
  <r>
    <s v="Roddy Speechley"/>
    <s v="Canada"/>
    <s v="White Choc"/>
    <x v="352"/>
    <n v="6948.79"/>
    <n v="292"/>
    <n v="23.797226027397262"/>
    <s v="April"/>
    <s v="Q2"/>
    <s v="Large"/>
  </r>
  <r>
    <s v="Andria Kimpton"/>
    <s v="India"/>
    <s v="After Nines"/>
    <x v="490"/>
    <n v="1009.28"/>
    <n v="69"/>
    <n v="14.627246376811593"/>
    <s v="January"/>
    <s v="Q1"/>
    <s v="Large"/>
  </r>
  <r>
    <s v="Roddy Speechley"/>
    <s v="India"/>
    <s v="Spicy Special Slims"/>
    <x v="463"/>
    <n v="12049.05"/>
    <n v="180"/>
    <n v="66.939166666666665"/>
    <s v="March"/>
    <s v="Q1"/>
    <s v="Large"/>
  </r>
  <r>
    <s v="Dotty Strutley"/>
    <s v="Australia"/>
    <s v="White Choc"/>
    <x v="361"/>
    <n v="6969.38"/>
    <n v="102"/>
    <n v="68.327254901960785"/>
    <s v="July"/>
    <s v="Q3"/>
    <s v="Large"/>
  </r>
  <r>
    <s v="Oby Sorrel"/>
    <s v="Canada"/>
    <s v="Orange Choco"/>
    <x v="339"/>
    <n v="10257.74"/>
    <n v="328"/>
    <n v="31.27359756097561"/>
    <s v="April"/>
    <s v="Q2"/>
    <s v="Large"/>
  </r>
  <r>
    <s v="Kaine Padly"/>
    <s v="Canada"/>
    <s v="Almond Choco"/>
    <x v="489"/>
    <n v="7220.35"/>
    <n v="71"/>
    <n v="101.69507042253521"/>
    <s v="August"/>
    <s v="Q3"/>
    <s v="Large"/>
  </r>
  <r>
    <s v="Jan Morforth"/>
    <s v="UK"/>
    <s v="Baker's Choco Chips"/>
    <x v="390"/>
    <n v="783.35"/>
    <n v="273"/>
    <n v="2.8694139194139194"/>
    <s v="March"/>
    <s v="Q1"/>
    <s v="Large"/>
  </r>
  <r>
    <s v="Jehu Rudeforth"/>
    <s v="UK"/>
    <s v="Fruit &amp; Nut Bars"/>
    <x v="446"/>
    <n v="9434.44"/>
    <n v="221"/>
    <n v="42.689773755656113"/>
    <s v="May"/>
    <s v="Q2"/>
    <s v="Large"/>
  </r>
  <r>
    <s v="Dennison Crosswaite"/>
    <s v="USA"/>
    <s v="Smooth Sliky Salty"/>
    <x v="401"/>
    <n v="12755.99"/>
    <n v="99"/>
    <n v="128.84838383838382"/>
    <s v="May"/>
    <s v="Q2"/>
    <s v="Large"/>
  </r>
  <r>
    <s v="Brien Boise"/>
    <s v="USA"/>
    <s v="Raspberry Choco"/>
    <x v="425"/>
    <n v="807.26"/>
    <n v="198"/>
    <n v="4.0770707070707068"/>
    <s v="January"/>
    <s v="Q1"/>
    <s v="Large"/>
  </r>
  <r>
    <s v="Madelene Upcott"/>
    <s v="New Zealand"/>
    <s v="Milk Bars"/>
    <x v="432"/>
    <n v="13541.21"/>
    <n v="434"/>
    <n v="31.200944700460827"/>
    <s v="March"/>
    <s v="Q1"/>
    <s v="Large"/>
  </r>
  <r>
    <s v="Roddy Speechley"/>
    <s v="India"/>
    <s v="50% Dark Bites"/>
    <x v="358"/>
    <n v="9976.2199999999993"/>
    <n v="12"/>
    <n v="831.35166666666657"/>
    <s v="March"/>
    <s v="Q1"/>
    <s v="Large"/>
  </r>
  <r>
    <s v="Barr Faughny"/>
    <s v="New Zealand"/>
    <s v="99% Dark &amp; Pure"/>
    <x v="363"/>
    <n v="9152.7199999999993"/>
    <n v="208"/>
    <n v="44.003461538461536"/>
    <s v="May"/>
    <s v="Q2"/>
    <s v="Large"/>
  </r>
  <r>
    <s v="Dennison Crosswaite"/>
    <s v="Canada"/>
    <s v="Organic Choco Syrup"/>
    <x v="418"/>
    <n v="9251.3700000000008"/>
    <n v="79"/>
    <n v="117.10594936708861"/>
    <s v="January"/>
    <s v="Q1"/>
    <s v="Large"/>
  </r>
  <r>
    <s v="Beverie Moffet"/>
    <s v="India"/>
    <s v="Almond Choco"/>
    <x v="363"/>
    <n v="3634.26"/>
    <n v="100"/>
    <n v="36.342600000000004"/>
    <s v="May"/>
    <s v="Q2"/>
    <s v="Large"/>
  </r>
  <r>
    <s v="Brien Boise"/>
    <s v="Australia"/>
    <s v="Peanut Butter Cubes"/>
    <x v="461"/>
    <n v="352.51"/>
    <n v="196"/>
    <n v="1.7985204081632653"/>
    <s v="August"/>
    <s v="Q3"/>
    <s v="Small"/>
  </r>
  <r>
    <s v="Karlen McCaffrey"/>
    <s v="Australia"/>
    <s v="Spicy Special Slims"/>
    <x v="470"/>
    <n v="5303.58"/>
    <n v="354"/>
    <n v="14.98186440677966"/>
    <s v="May"/>
    <s v="Q2"/>
    <s v="Large"/>
  </r>
  <r>
    <s v="Jehu Rudeforth"/>
    <s v="USA"/>
    <s v="White Choc"/>
    <x v="412"/>
    <n v="7339.32"/>
    <n v="121"/>
    <n v="60.65553719008264"/>
    <s v="June"/>
    <s v="Q2"/>
    <s v="Large"/>
  </r>
  <r>
    <s v="Ches Bonnell"/>
    <s v="Canada"/>
    <s v="Organic Choco Syrup"/>
    <x v="404"/>
    <n v="616.09"/>
    <n v="238"/>
    <n v="2.5886134453781513"/>
    <s v="July"/>
    <s v="Q3"/>
    <s v="Large"/>
  </r>
  <r>
    <s v="Dotty Strutley"/>
    <s v="India"/>
    <s v="Eclairs"/>
    <x v="348"/>
    <n v="2504.62"/>
    <n v="397"/>
    <n v="6.3088664987405538"/>
    <s v="July"/>
    <s v="Q3"/>
    <s v="Large"/>
  </r>
  <r>
    <s v="Karlen McCaffrey"/>
    <s v="India"/>
    <s v="70% Dark Bites"/>
    <x v="459"/>
    <n v="5915.87"/>
    <n v="355"/>
    <n v="16.664422535211266"/>
    <s v="May"/>
    <s v="Q2"/>
    <s v="Large"/>
  </r>
  <r>
    <m/>
    <m/>
    <m/>
    <x v="504"/>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x v="0"/>
    <x v="0"/>
    <x v="0"/>
    <x v="0"/>
    <n v="5320"/>
    <n v="180"/>
    <n v="29.555555555555557"/>
    <x v="0"/>
    <s v="Q1"/>
    <s v="Large"/>
  </r>
  <r>
    <x v="1"/>
    <x v="1"/>
    <x v="1"/>
    <x v="1"/>
    <n v="7896"/>
    <n v="94"/>
    <n v="84"/>
    <x v="1"/>
    <s v="Q3"/>
    <s v="Large"/>
  </r>
  <r>
    <x v="2"/>
    <x v="1"/>
    <x v="2"/>
    <x v="2"/>
    <n v="4501"/>
    <n v="91"/>
    <n v="49.46153846153846"/>
    <x v="2"/>
    <s v="Q3"/>
    <s v="Large"/>
  </r>
  <r>
    <x v="3"/>
    <x v="2"/>
    <x v="2"/>
    <x v="3"/>
    <n v="12726"/>
    <n v="342"/>
    <n v="37.210526315789473"/>
    <x v="3"/>
    <s v="Q2"/>
    <s v="Large"/>
  </r>
  <r>
    <x v="0"/>
    <x v="0"/>
    <x v="2"/>
    <x v="4"/>
    <n v="13685"/>
    <n v="184"/>
    <n v="74.375"/>
    <x v="4"/>
    <s v="Q1"/>
    <s v="Large"/>
  </r>
  <r>
    <x v="1"/>
    <x v="1"/>
    <x v="3"/>
    <x v="5"/>
    <n v="5376"/>
    <n v="38"/>
    <n v="141.47368421052633"/>
    <x v="5"/>
    <s v="Q2"/>
    <s v="Large"/>
  </r>
  <r>
    <x v="4"/>
    <x v="0"/>
    <x v="4"/>
    <x v="6"/>
    <n v="13685"/>
    <n v="176"/>
    <n v="77.755681818181813"/>
    <x v="0"/>
    <s v="Q1"/>
    <s v="Large"/>
  </r>
  <r>
    <x v="5"/>
    <x v="2"/>
    <x v="5"/>
    <x v="7"/>
    <n v="3080"/>
    <n v="73"/>
    <n v="42.19178082191781"/>
    <x v="6"/>
    <s v="Q1"/>
    <s v="Large"/>
  </r>
  <r>
    <x v="0"/>
    <x v="3"/>
    <x v="6"/>
    <x v="8"/>
    <n v="3990"/>
    <n v="59"/>
    <n v="67.627118644067792"/>
    <x v="3"/>
    <s v="Q2"/>
    <s v="Large"/>
  </r>
  <r>
    <x v="6"/>
    <x v="2"/>
    <x v="4"/>
    <x v="9"/>
    <n v="2835"/>
    <n v="102"/>
    <n v="27.794117647058822"/>
    <x v="2"/>
    <s v="Q3"/>
    <s v="Large"/>
  </r>
  <r>
    <x v="7"/>
    <x v="0"/>
    <x v="3"/>
    <x v="10"/>
    <n v="4704"/>
    <n v="62"/>
    <n v="75.870967741935488"/>
    <x v="0"/>
    <s v="Q1"/>
    <s v="Large"/>
  </r>
  <r>
    <x v="8"/>
    <x v="4"/>
    <x v="7"/>
    <x v="11"/>
    <n v="3703"/>
    <n v="11"/>
    <n v="336.63636363636363"/>
    <x v="6"/>
    <s v="Q1"/>
    <s v="Large"/>
  </r>
  <r>
    <x v="9"/>
    <x v="5"/>
    <x v="8"/>
    <x v="10"/>
    <n v="1442"/>
    <n v="286"/>
    <n v="5.0419580419580416"/>
    <x v="0"/>
    <s v="Q1"/>
    <s v="Large"/>
  </r>
  <r>
    <x v="10"/>
    <x v="3"/>
    <x v="9"/>
    <x v="12"/>
    <n v="168"/>
    <n v="156"/>
    <n v="1.0769230769230769"/>
    <x v="2"/>
    <s v="Q3"/>
    <s v="Small"/>
  </r>
  <r>
    <x v="11"/>
    <x v="3"/>
    <x v="2"/>
    <x v="13"/>
    <n v="8379"/>
    <n v="173"/>
    <n v="48.433526011560694"/>
    <x v="1"/>
    <s v="Q3"/>
    <s v="Large"/>
  </r>
  <r>
    <x v="12"/>
    <x v="2"/>
    <x v="10"/>
    <x v="14"/>
    <n v="6790"/>
    <n v="356"/>
    <n v="19.073033707865168"/>
    <x v="0"/>
    <s v="Q1"/>
    <s v="Large"/>
  </r>
  <r>
    <x v="1"/>
    <x v="5"/>
    <x v="10"/>
    <x v="15"/>
    <n v="4067"/>
    <n v="42"/>
    <n v="96.833333333333329"/>
    <x v="4"/>
    <s v="Q1"/>
    <s v="Large"/>
  </r>
  <r>
    <x v="13"/>
    <x v="4"/>
    <x v="3"/>
    <x v="16"/>
    <n v="3017"/>
    <n v="140"/>
    <n v="21.55"/>
    <x v="3"/>
    <s v="Q2"/>
    <s v="Large"/>
  </r>
  <r>
    <x v="12"/>
    <x v="5"/>
    <x v="11"/>
    <x v="17"/>
    <n v="8799"/>
    <n v="250"/>
    <n v="35.195999999999998"/>
    <x v="4"/>
    <s v="Q1"/>
    <s v="Large"/>
  </r>
  <r>
    <x v="14"/>
    <x v="0"/>
    <x v="1"/>
    <x v="18"/>
    <n v="1085"/>
    <n v="172"/>
    <n v="6.308139534883721"/>
    <x v="5"/>
    <s v="Q2"/>
    <s v="Large"/>
  </r>
  <r>
    <x v="6"/>
    <x v="2"/>
    <x v="8"/>
    <x v="19"/>
    <n v="6888"/>
    <n v="88"/>
    <n v="78.272727272727266"/>
    <x v="5"/>
    <s v="Q2"/>
    <s v="Large"/>
  </r>
  <r>
    <x v="5"/>
    <x v="4"/>
    <x v="12"/>
    <x v="20"/>
    <n v="1267"/>
    <n v="157"/>
    <n v="8.0700636942675157"/>
    <x v="4"/>
    <s v="Q1"/>
    <s v="Large"/>
  </r>
  <r>
    <x v="11"/>
    <x v="4"/>
    <x v="5"/>
    <x v="21"/>
    <n v="4753"/>
    <n v="163"/>
    <n v="29.159509202453989"/>
    <x v="7"/>
    <s v="Q2"/>
    <s v="Large"/>
  </r>
  <r>
    <x v="15"/>
    <x v="0"/>
    <x v="9"/>
    <x v="22"/>
    <n v="3003"/>
    <n v="113"/>
    <n v="26.575221238938052"/>
    <x v="6"/>
    <s v="Q1"/>
    <s v="Large"/>
  </r>
  <r>
    <x v="16"/>
    <x v="2"/>
    <x v="8"/>
    <x v="23"/>
    <n v="7672"/>
    <n v="115"/>
    <n v="66.713043478260872"/>
    <x v="4"/>
    <s v="Q1"/>
    <s v="Large"/>
  </r>
  <r>
    <x v="10"/>
    <x v="1"/>
    <x v="13"/>
    <x v="14"/>
    <n v="168"/>
    <n v="321"/>
    <n v="0.52336448598130836"/>
    <x v="0"/>
    <s v="Q1"/>
    <s v="Small"/>
  </r>
  <r>
    <x v="13"/>
    <x v="5"/>
    <x v="12"/>
    <x v="24"/>
    <n v="1652"/>
    <n v="186"/>
    <n v="8.8817204301075261"/>
    <x v="4"/>
    <s v="Q1"/>
    <s v="Large"/>
  </r>
  <r>
    <x v="15"/>
    <x v="4"/>
    <x v="8"/>
    <x v="2"/>
    <n v="4025"/>
    <n v="112"/>
    <n v="35.9375"/>
    <x v="2"/>
    <s v="Q3"/>
    <s v="Large"/>
  </r>
  <r>
    <x v="17"/>
    <x v="3"/>
    <x v="14"/>
    <x v="25"/>
    <n v="9492"/>
    <n v="151"/>
    <n v="62.860927152317878"/>
    <x v="2"/>
    <s v="Q3"/>
    <s v="Large"/>
  </r>
  <r>
    <x v="17"/>
    <x v="3"/>
    <x v="15"/>
    <x v="26"/>
    <n v="5061"/>
    <n v="301"/>
    <n v="16.813953488372093"/>
    <x v="5"/>
    <s v="Q2"/>
    <s v="Large"/>
  </r>
  <r>
    <x v="1"/>
    <x v="3"/>
    <x v="1"/>
    <x v="27"/>
    <n v="1722"/>
    <n v="121"/>
    <n v="14.231404958677686"/>
    <x v="7"/>
    <s v="Q2"/>
    <s v="Large"/>
  </r>
  <r>
    <x v="7"/>
    <x v="0"/>
    <x v="4"/>
    <x v="28"/>
    <n v="12446"/>
    <n v="150"/>
    <n v="82.973333333333329"/>
    <x v="5"/>
    <s v="Q2"/>
    <s v="Large"/>
  </r>
  <r>
    <x v="18"/>
    <x v="2"/>
    <x v="15"/>
    <x v="29"/>
    <n v="4284"/>
    <n v="94"/>
    <n v="45.574468085106382"/>
    <x v="7"/>
    <s v="Q2"/>
    <s v="Large"/>
  </r>
  <r>
    <x v="10"/>
    <x v="0"/>
    <x v="16"/>
    <x v="30"/>
    <n v="6839"/>
    <n v="133"/>
    <n v="51.421052631578945"/>
    <x v="5"/>
    <s v="Q2"/>
    <s v="Large"/>
  </r>
  <r>
    <x v="19"/>
    <x v="5"/>
    <x v="5"/>
    <x v="29"/>
    <n v="2163"/>
    <n v="70"/>
    <n v="30.9"/>
    <x v="7"/>
    <s v="Q2"/>
    <s v="Large"/>
  </r>
  <r>
    <x v="13"/>
    <x v="4"/>
    <x v="15"/>
    <x v="31"/>
    <n v="9583"/>
    <n v="315"/>
    <n v="30.422222222222221"/>
    <x v="2"/>
    <s v="Q3"/>
    <s v="Large"/>
  </r>
  <r>
    <x v="19"/>
    <x v="0"/>
    <x v="6"/>
    <x v="32"/>
    <n v="2653"/>
    <n v="314"/>
    <n v="8.4490445859872612"/>
    <x v="1"/>
    <s v="Q3"/>
    <s v="Large"/>
  </r>
  <r>
    <x v="20"/>
    <x v="3"/>
    <x v="5"/>
    <x v="2"/>
    <n v="147"/>
    <n v="72"/>
    <n v="2.0416666666666665"/>
    <x v="2"/>
    <s v="Q3"/>
    <s v="Small"/>
  </r>
  <r>
    <x v="21"/>
    <x v="2"/>
    <x v="1"/>
    <x v="33"/>
    <n v="3654"/>
    <n v="14"/>
    <n v="261"/>
    <x v="7"/>
    <s v="Q2"/>
    <s v="Large"/>
  </r>
  <r>
    <x v="10"/>
    <x v="1"/>
    <x v="15"/>
    <x v="9"/>
    <n v="2443"/>
    <n v="581"/>
    <n v="4.2048192771084336"/>
    <x v="2"/>
    <s v="Q3"/>
    <s v="Large"/>
  </r>
  <r>
    <x v="20"/>
    <x v="4"/>
    <x v="5"/>
    <x v="34"/>
    <n v="938"/>
    <n v="16"/>
    <n v="58.625"/>
    <x v="5"/>
    <s v="Q2"/>
    <s v="Large"/>
  </r>
  <r>
    <x v="10"/>
    <x v="4"/>
    <x v="17"/>
    <x v="35"/>
    <n v="14749"/>
    <n v="354"/>
    <n v="41.663841807909606"/>
    <x v="3"/>
    <s v="Q2"/>
    <s v="Large"/>
  </r>
  <r>
    <x v="9"/>
    <x v="5"/>
    <x v="18"/>
    <x v="36"/>
    <n v="4781"/>
    <n v="241"/>
    <n v="19.838174273858922"/>
    <x v="2"/>
    <s v="Q3"/>
    <s v="Large"/>
  </r>
  <r>
    <x v="19"/>
    <x v="1"/>
    <x v="12"/>
    <x v="37"/>
    <n v="6307"/>
    <n v="142"/>
    <n v="44.41549295774648"/>
    <x v="4"/>
    <s v="Q1"/>
    <s v="Large"/>
  </r>
  <r>
    <x v="22"/>
    <x v="5"/>
    <x v="16"/>
    <x v="38"/>
    <n v="7602"/>
    <n v="102"/>
    <n v="74.529411764705884"/>
    <x v="1"/>
    <s v="Q3"/>
    <s v="Large"/>
  </r>
  <r>
    <x v="16"/>
    <x v="4"/>
    <x v="2"/>
    <x v="17"/>
    <n v="6790"/>
    <n v="188"/>
    <n v="36.117021276595743"/>
    <x v="4"/>
    <s v="Q1"/>
    <s v="Large"/>
  </r>
  <r>
    <x v="1"/>
    <x v="4"/>
    <x v="6"/>
    <x v="10"/>
    <n v="9737"/>
    <n v="160"/>
    <n v="60.856250000000003"/>
    <x v="0"/>
    <s v="Q1"/>
    <s v="Large"/>
  </r>
  <r>
    <x v="14"/>
    <x v="2"/>
    <x v="11"/>
    <x v="15"/>
    <n v="6979"/>
    <n v="18"/>
    <n v="387.72222222222223"/>
    <x v="4"/>
    <s v="Q1"/>
    <s v="Large"/>
  </r>
  <r>
    <x v="13"/>
    <x v="1"/>
    <x v="8"/>
    <x v="39"/>
    <n v="4382"/>
    <n v="303"/>
    <n v="14.462046204620462"/>
    <x v="5"/>
    <s v="Q2"/>
    <s v="Large"/>
  </r>
  <r>
    <x v="14"/>
    <x v="1"/>
    <x v="13"/>
    <x v="2"/>
    <n v="5243"/>
    <n v="176"/>
    <n v="29.789772727272727"/>
    <x v="2"/>
    <s v="Q3"/>
    <s v="Large"/>
  </r>
  <r>
    <x v="14"/>
    <x v="5"/>
    <x v="16"/>
    <x v="7"/>
    <n v="4865"/>
    <n v="70"/>
    <n v="69.5"/>
    <x v="6"/>
    <s v="Q1"/>
    <s v="Large"/>
  </r>
  <r>
    <x v="6"/>
    <x v="2"/>
    <x v="13"/>
    <x v="5"/>
    <n v="8575"/>
    <n v="23"/>
    <n v="372.82608695652175"/>
    <x v="5"/>
    <s v="Q2"/>
    <s v="Large"/>
  </r>
  <r>
    <x v="23"/>
    <x v="2"/>
    <x v="9"/>
    <x v="40"/>
    <n v="91"/>
    <n v="135"/>
    <n v="0.67407407407407405"/>
    <x v="2"/>
    <s v="Q3"/>
    <s v="Small"/>
  </r>
  <r>
    <x v="12"/>
    <x v="4"/>
    <x v="17"/>
    <x v="41"/>
    <n v="14798"/>
    <n v="83"/>
    <n v="178.28915662650601"/>
    <x v="3"/>
    <s v="Q2"/>
    <s v="Large"/>
  </r>
  <r>
    <x v="11"/>
    <x v="1"/>
    <x v="1"/>
    <x v="40"/>
    <n v="2205"/>
    <n v="179"/>
    <n v="12.318435754189943"/>
    <x v="2"/>
    <s v="Q3"/>
    <s v="Large"/>
  </r>
  <r>
    <x v="0"/>
    <x v="5"/>
    <x v="9"/>
    <x v="42"/>
    <n v="441"/>
    <n v="24"/>
    <n v="18.375"/>
    <x v="2"/>
    <s v="Q3"/>
    <s v="Small"/>
  </r>
  <r>
    <x v="24"/>
    <x v="3"/>
    <x v="12"/>
    <x v="15"/>
    <n v="3556"/>
    <n v="18"/>
    <n v="197.55555555555554"/>
    <x v="4"/>
    <s v="Q1"/>
    <s v="Large"/>
  </r>
  <r>
    <x v="6"/>
    <x v="5"/>
    <x v="4"/>
    <x v="43"/>
    <n v="16793"/>
    <n v="416"/>
    <n v="40.36778846153846"/>
    <x v="7"/>
    <s v="Q2"/>
    <s v="Large"/>
  </r>
  <r>
    <x v="8"/>
    <x v="2"/>
    <x v="13"/>
    <x v="30"/>
    <n v="15421"/>
    <n v="55"/>
    <n v="280.38181818181818"/>
    <x v="5"/>
    <s v="Q2"/>
    <s v="Large"/>
  </r>
  <r>
    <x v="19"/>
    <x v="2"/>
    <x v="6"/>
    <x v="34"/>
    <n v="4438"/>
    <n v="227"/>
    <n v="19.550660792951543"/>
    <x v="5"/>
    <s v="Q2"/>
    <s v="Large"/>
  </r>
  <r>
    <x v="19"/>
    <x v="2"/>
    <x v="9"/>
    <x v="44"/>
    <n v="1603"/>
    <n v="48"/>
    <n v="33.395833333333336"/>
    <x v="5"/>
    <s v="Q2"/>
    <s v="Large"/>
  </r>
  <r>
    <x v="11"/>
    <x v="2"/>
    <x v="10"/>
    <x v="45"/>
    <n v="273"/>
    <n v="174"/>
    <n v="1.5689655172413792"/>
    <x v="7"/>
    <s v="Q2"/>
    <s v="Small"/>
  </r>
  <r>
    <x v="20"/>
    <x v="5"/>
    <x v="19"/>
    <x v="46"/>
    <n v="3073"/>
    <n v="302"/>
    <n v="10.175496688741722"/>
    <x v="7"/>
    <s v="Q2"/>
    <s v="Large"/>
  </r>
  <r>
    <x v="10"/>
    <x v="1"/>
    <x v="16"/>
    <x v="47"/>
    <n v="6090"/>
    <n v="149"/>
    <n v="40.872483221476507"/>
    <x v="2"/>
    <s v="Q3"/>
    <s v="Large"/>
  </r>
  <r>
    <x v="4"/>
    <x v="1"/>
    <x v="4"/>
    <x v="48"/>
    <n v="10255"/>
    <n v="11"/>
    <n v="932.27272727272725"/>
    <x v="7"/>
    <s v="Q2"/>
    <s v="Large"/>
  </r>
  <r>
    <x v="18"/>
    <x v="2"/>
    <x v="20"/>
    <x v="49"/>
    <n v="2030"/>
    <n v="11"/>
    <n v="184.54545454545453"/>
    <x v="3"/>
    <s v="Q2"/>
    <s v="Large"/>
  </r>
  <r>
    <x v="1"/>
    <x v="2"/>
    <x v="10"/>
    <x v="50"/>
    <n v="19453"/>
    <n v="14"/>
    <n v="1389.5"/>
    <x v="1"/>
    <s v="Q3"/>
    <s v="Large"/>
  </r>
  <r>
    <x v="21"/>
    <x v="1"/>
    <x v="6"/>
    <x v="9"/>
    <n v="9275"/>
    <n v="411"/>
    <n v="22.566909975669098"/>
    <x v="2"/>
    <s v="Q3"/>
    <s v="Large"/>
  </r>
  <r>
    <x v="4"/>
    <x v="1"/>
    <x v="10"/>
    <x v="51"/>
    <n v="6181"/>
    <n v="56"/>
    <n v="110.375"/>
    <x v="2"/>
    <s v="Q3"/>
    <s v="Large"/>
  </r>
  <r>
    <x v="3"/>
    <x v="4"/>
    <x v="2"/>
    <x v="31"/>
    <n v="9037"/>
    <n v="102"/>
    <n v="88.598039215686271"/>
    <x v="2"/>
    <s v="Q3"/>
    <s v="Large"/>
  </r>
  <r>
    <x v="2"/>
    <x v="4"/>
    <x v="18"/>
    <x v="52"/>
    <n v="12313"/>
    <n v="103"/>
    <n v="119.54368932038835"/>
    <x v="6"/>
    <s v="Q1"/>
    <s v="Large"/>
  </r>
  <r>
    <x v="2"/>
    <x v="0"/>
    <x v="16"/>
    <x v="53"/>
    <n v="5642"/>
    <n v="9"/>
    <n v="626.88888888888891"/>
    <x v="0"/>
    <s v="Q1"/>
    <s v="Large"/>
  </r>
  <r>
    <x v="0"/>
    <x v="3"/>
    <x v="14"/>
    <x v="54"/>
    <n v="2800"/>
    <n v="241"/>
    <n v="11.618257261410788"/>
    <x v="6"/>
    <s v="Q1"/>
    <s v="Large"/>
  </r>
  <r>
    <x v="19"/>
    <x v="3"/>
    <x v="2"/>
    <x v="55"/>
    <n v="959"/>
    <n v="265"/>
    <n v="3.6188679245283017"/>
    <x v="5"/>
    <s v="Q2"/>
    <s v="Large"/>
  </r>
  <r>
    <x v="1"/>
    <x v="0"/>
    <x v="10"/>
    <x v="56"/>
    <n v="2002"/>
    <n v="214"/>
    <n v="9.3551401869158877"/>
    <x v="1"/>
    <s v="Q3"/>
    <s v="Large"/>
  </r>
  <r>
    <x v="13"/>
    <x v="5"/>
    <x v="11"/>
    <x v="57"/>
    <n v="609"/>
    <n v="32"/>
    <n v="19.03125"/>
    <x v="2"/>
    <s v="Q3"/>
    <s v="Large"/>
  </r>
  <r>
    <x v="21"/>
    <x v="4"/>
    <x v="12"/>
    <x v="58"/>
    <n v="1274"/>
    <n v="244"/>
    <n v="5.221311475409836"/>
    <x v="4"/>
    <s v="Q1"/>
    <s v="Large"/>
  </r>
  <r>
    <x v="11"/>
    <x v="4"/>
    <x v="7"/>
    <x v="59"/>
    <n v="7595"/>
    <n v="181"/>
    <n v="41.961325966850829"/>
    <x v="0"/>
    <s v="Q1"/>
    <s v="Large"/>
  </r>
  <r>
    <x v="1"/>
    <x v="0"/>
    <x v="4"/>
    <x v="60"/>
    <n v="4725"/>
    <n v="137"/>
    <n v="34.489051094890513"/>
    <x v="0"/>
    <s v="Q1"/>
    <s v="Large"/>
  </r>
  <r>
    <x v="21"/>
    <x v="4"/>
    <x v="14"/>
    <x v="61"/>
    <n v="9681"/>
    <n v="24"/>
    <n v="403.375"/>
    <x v="1"/>
    <s v="Q3"/>
    <s v="Large"/>
  </r>
  <r>
    <x v="19"/>
    <x v="4"/>
    <x v="17"/>
    <x v="30"/>
    <n v="14504"/>
    <n v="21"/>
    <n v="690.66666666666663"/>
    <x v="5"/>
    <s v="Q2"/>
    <s v="Large"/>
  </r>
  <r>
    <x v="23"/>
    <x v="2"/>
    <x v="13"/>
    <x v="62"/>
    <n v="280"/>
    <n v="311"/>
    <n v="0.90032154340836013"/>
    <x v="1"/>
    <s v="Q3"/>
    <s v="Small"/>
  </r>
  <r>
    <x v="6"/>
    <x v="3"/>
    <x v="0"/>
    <x v="1"/>
    <n v="63"/>
    <n v="181"/>
    <n v="0.34806629834254144"/>
    <x v="1"/>
    <s v="Q3"/>
    <s v="Small"/>
  </r>
  <r>
    <x v="13"/>
    <x v="3"/>
    <x v="5"/>
    <x v="63"/>
    <n v="8001"/>
    <n v="10"/>
    <n v="800.1"/>
    <x v="7"/>
    <s v="Q2"/>
    <s v="Large"/>
  </r>
  <r>
    <x v="13"/>
    <x v="5"/>
    <x v="10"/>
    <x v="53"/>
    <n v="4032"/>
    <n v="82"/>
    <n v="49.170731707317074"/>
    <x v="0"/>
    <s v="Q1"/>
    <s v="Large"/>
  </r>
  <r>
    <x v="17"/>
    <x v="2"/>
    <x v="21"/>
    <x v="64"/>
    <n v="5859"/>
    <n v="108"/>
    <n v="54.25"/>
    <x v="4"/>
    <s v="Q1"/>
    <s v="Large"/>
  </r>
  <r>
    <x v="10"/>
    <x v="4"/>
    <x v="7"/>
    <x v="65"/>
    <n v="11095"/>
    <n v="401"/>
    <n v="27.668329177057355"/>
    <x v="7"/>
    <s v="Q2"/>
    <s v="Large"/>
  </r>
  <r>
    <x v="22"/>
    <x v="2"/>
    <x v="12"/>
    <x v="66"/>
    <n v="7182"/>
    <n v="408"/>
    <n v="17.602941176470587"/>
    <x v="6"/>
    <s v="Q1"/>
    <s v="Large"/>
  </r>
  <r>
    <x v="17"/>
    <x v="2"/>
    <x v="1"/>
    <x v="16"/>
    <n v="6881"/>
    <n v="420"/>
    <n v="16.383333333333333"/>
    <x v="3"/>
    <s v="Q2"/>
    <s v="Large"/>
  </r>
  <r>
    <x v="19"/>
    <x v="5"/>
    <x v="20"/>
    <x v="67"/>
    <n v="7154"/>
    <n v="348"/>
    <n v="20.557471264367816"/>
    <x v="0"/>
    <s v="Q1"/>
    <s v="Large"/>
  </r>
  <r>
    <x v="17"/>
    <x v="0"/>
    <x v="8"/>
    <x v="7"/>
    <n v="6188"/>
    <n v="270"/>
    <n v="22.918518518518518"/>
    <x v="6"/>
    <s v="Q1"/>
    <s v="Large"/>
  </r>
  <r>
    <x v="22"/>
    <x v="1"/>
    <x v="17"/>
    <x v="2"/>
    <n v="4221"/>
    <n v="9"/>
    <n v="469"/>
    <x v="2"/>
    <s v="Q3"/>
    <s v="Large"/>
  </r>
  <r>
    <x v="1"/>
    <x v="4"/>
    <x v="5"/>
    <x v="68"/>
    <n v="630"/>
    <n v="264"/>
    <n v="2.3863636363636362"/>
    <x v="2"/>
    <s v="Q3"/>
    <s v="Large"/>
  </r>
  <r>
    <x v="18"/>
    <x v="2"/>
    <x v="10"/>
    <x v="2"/>
    <n v="1743"/>
    <n v="111"/>
    <n v="15.702702702702704"/>
    <x v="2"/>
    <s v="Q3"/>
    <s v="Large"/>
  </r>
  <r>
    <x v="10"/>
    <x v="5"/>
    <x v="6"/>
    <x v="42"/>
    <n v="2919"/>
    <n v="65"/>
    <n v="44.907692307692308"/>
    <x v="2"/>
    <s v="Q3"/>
    <s v="Large"/>
  </r>
  <r>
    <x v="13"/>
    <x v="3"/>
    <x v="7"/>
    <x v="69"/>
    <n v="49"/>
    <n v="97"/>
    <n v="0.50515463917525771"/>
    <x v="3"/>
    <s v="Q2"/>
    <s v="Small"/>
  </r>
  <r>
    <x v="12"/>
    <x v="2"/>
    <x v="8"/>
    <x v="55"/>
    <n v="1827"/>
    <n v="6"/>
    <n v="304.5"/>
    <x v="5"/>
    <s v="Q2"/>
    <s v="Large"/>
  </r>
  <r>
    <x v="20"/>
    <x v="0"/>
    <x v="13"/>
    <x v="28"/>
    <n v="13006"/>
    <n v="482"/>
    <n v="26.983402489626556"/>
    <x v="5"/>
    <s v="Q2"/>
    <s v="Large"/>
  </r>
  <r>
    <x v="11"/>
    <x v="4"/>
    <x v="6"/>
    <x v="26"/>
    <n v="1064"/>
    <n v="106"/>
    <n v="10.037735849056604"/>
    <x v="5"/>
    <s v="Q2"/>
    <s v="Large"/>
  </r>
  <r>
    <x v="15"/>
    <x v="4"/>
    <x v="5"/>
    <x v="70"/>
    <n v="11571"/>
    <n v="180"/>
    <n v="64.283333333333331"/>
    <x v="3"/>
    <s v="Q2"/>
    <s v="Large"/>
  </r>
  <r>
    <x v="17"/>
    <x v="2"/>
    <x v="17"/>
    <x v="22"/>
    <n v="5740"/>
    <n v="31"/>
    <n v="185.16129032258064"/>
    <x v="6"/>
    <s v="Q1"/>
    <s v="Large"/>
  </r>
  <r>
    <x v="19"/>
    <x v="4"/>
    <x v="13"/>
    <x v="42"/>
    <n v="1456"/>
    <n v="359"/>
    <n v="4.0557103064066853"/>
    <x v="2"/>
    <s v="Q3"/>
    <s v="Large"/>
  </r>
  <r>
    <x v="20"/>
    <x v="1"/>
    <x v="8"/>
    <x v="41"/>
    <n v="5334"/>
    <n v="80"/>
    <n v="66.674999999999997"/>
    <x v="3"/>
    <s v="Q2"/>
    <s v="Large"/>
  </r>
  <r>
    <x v="11"/>
    <x v="4"/>
    <x v="4"/>
    <x v="71"/>
    <n v="4151"/>
    <n v="296"/>
    <n v="14.023648648648649"/>
    <x v="6"/>
    <s v="Q1"/>
    <s v="Large"/>
  </r>
  <r>
    <x v="6"/>
    <x v="5"/>
    <x v="12"/>
    <x v="72"/>
    <n v="8106"/>
    <n v="101"/>
    <n v="80.257425742574256"/>
    <x v="6"/>
    <s v="Q1"/>
    <s v="Large"/>
  </r>
  <r>
    <x v="10"/>
    <x v="3"/>
    <x v="21"/>
    <x v="73"/>
    <n v="126"/>
    <n v="40"/>
    <n v="3.15"/>
    <x v="1"/>
    <s v="Q3"/>
    <s v="Small"/>
  </r>
  <r>
    <x v="15"/>
    <x v="0"/>
    <x v="12"/>
    <x v="74"/>
    <n v="4697"/>
    <n v="42"/>
    <n v="111.83333333333333"/>
    <x v="1"/>
    <s v="Q3"/>
    <s v="Large"/>
  </r>
  <r>
    <x v="11"/>
    <x v="4"/>
    <x v="16"/>
    <x v="75"/>
    <n v="7798"/>
    <n v="167"/>
    <n v="46.694610778443113"/>
    <x v="4"/>
    <s v="Q1"/>
    <s v="Large"/>
  </r>
  <r>
    <x v="20"/>
    <x v="1"/>
    <x v="7"/>
    <x v="76"/>
    <n v="9408"/>
    <n v="138"/>
    <n v="68.173913043478265"/>
    <x v="5"/>
    <s v="Q2"/>
    <s v="Large"/>
  </r>
  <r>
    <x v="3"/>
    <x v="1"/>
    <x v="12"/>
    <x v="77"/>
    <n v="1939"/>
    <n v="520"/>
    <n v="3.7288461538461539"/>
    <x v="3"/>
    <s v="Q2"/>
    <s v="Large"/>
  </r>
  <r>
    <x v="24"/>
    <x v="1"/>
    <x v="12"/>
    <x v="47"/>
    <n v="10906"/>
    <n v="94"/>
    <n v="116.02127659574468"/>
    <x v="2"/>
    <s v="Q3"/>
    <s v="Large"/>
  </r>
  <r>
    <x v="20"/>
    <x v="0"/>
    <x v="3"/>
    <x v="78"/>
    <n v="5929"/>
    <n v="175"/>
    <n v="33.880000000000003"/>
    <x v="0"/>
    <s v="Q1"/>
    <s v="Large"/>
  </r>
  <r>
    <x v="22"/>
    <x v="2"/>
    <x v="13"/>
    <x v="79"/>
    <n v="5579"/>
    <n v="92"/>
    <n v="60.641304347826086"/>
    <x v="0"/>
    <s v="Q1"/>
    <s v="Large"/>
  </r>
  <r>
    <x v="22"/>
    <x v="5"/>
    <x v="21"/>
    <x v="80"/>
    <n v="10927"/>
    <n v="141"/>
    <n v="77.496453900709213"/>
    <x v="0"/>
    <s v="Q1"/>
    <s v="Large"/>
  </r>
  <r>
    <x v="18"/>
    <x v="2"/>
    <x v="9"/>
    <x v="81"/>
    <n v="623"/>
    <n v="283"/>
    <n v="2.2014134275618376"/>
    <x v="3"/>
    <s v="Q2"/>
    <s v="Large"/>
  </r>
  <r>
    <x v="5"/>
    <x v="2"/>
    <x v="13"/>
    <x v="26"/>
    <n v="6013"/>
    <n v="21"/>
    <n v="286.33333333333331"/>
    <x v="5"/>
    <s v="Q2"/>
    <s v="Large"/>
  </r>
  <r>
    <x v="2"/>
    <x v="5"/>
    <x v="19"/>
    <x v="82"/>
    <n v="1505"/>
    <n v="47"/>
    <n v="32.021276595744681"/>
    <x v="0"/>
    <s v="Q1"/>
    <s v="Large"/>
  </r>
  <r>
    <x v="20"/>
    <x v="1"/>
    <x v="20"/>
    <x v="83"/>
    <n v="476"/>
    <n v="125"/>
    <n v="3.8079999999999998"/>
    <x v="6"/>
    <s v="Q1"/>
    <s v="Small"/>
  </r>
  <r>
    <x v="7"/>
    <x v="2"/>
    <x v="9"/>
    <x v="84"/>
    <n v="11550"/>
    <n v="396"/>
    <n v="29.166666666666668"/>
    <x v="4"/>
    <s v="Q1"/>
    <s v="Large"/>
  </r>
  <r>
    <x v="20"/>
    <x v="4"/>
    <x v="15"/>
    <x v="17"/>
    <n v="17318"/>
    <n v="87"/>
    <n v="199.05747126436782"/>
    <x v="4"/>
    <s v="Q1"/>
    <s v="Large"/>
  </r>
  <r>
    <x v="0"/>
    <x v="5"/>
    <x v="12"/>
    <x v="10"/>
    <n v="1848"/>
    <n v="27"/>
    <n v="68.444444444444443"/>
    <x v="0"/>
    <s v="Q1"/>
    <s v="Large"/>
  </r>
  <r>
    <x v="20"/>
    <x v="2"/>
    <x v="8"/>
    <x v="85"/>
    <n v="7273"/>
    <n v="547"/>
    <n v="13.296160877513712"/>
    <x v="6"/>
    <s v="Q1"/>
    <s v="Large"/>
  </r>
  <r>
    <x v="14"/>
    <x v="5"/>
    <x v="12"/>
    <x v="86"/>
    <n v="854"/>
    <n v="118"/>
    <n v="7.2372881355932206"/>
    <x v="5"/>
    <s v="Q2"/>
    <s v="Large"/>
  </r>
  <r>
    <x v="4"/>
    <x v="1"/>
    <x v="17"/>
    <x v="49"/>
    <n v="6832"/>
    <n v="46"/>
    <n v="148.52173913043478"/>
    <x v="3"/>
    <s v="Q2"/>
    <s v="Large"/>
  </r>
  <r>
    <x v="20"/>
    <x v="0"/>
    <x v="8"/>
    <x v="6"/>
    <n v="4606"/>
    <n v="57"/>
    <n v="80.807017543859644"/>
    <x v="0"/>
    <s v="Q1"/>
    <s v="Large"/>
  </r>
  <r>
    <x v="3"/>
    <x v="1"/>
    <x v="16"/>
    <x v="54"/>
    <n v="4466"/>
    <n v="22"/>
    <n v="203"/>
    <x v="6"/>
    <s v="Q1"/>
    <s v="Large"/>
  </r>
  <r>
    <x v="23"/>
    <x v="0"/>
    <x v="16"/>
    <x v="12"/>
    <n v="16114"/>
    <n v="96"/>
    <n v="167.85416666666666"/>
    <x v="2"/>
    <s v="Q3"/>
    <s v="Large"/>
  </r>
  <r>
    <x v="11"/>
    <x v="3"/>
    <x v="5"/>
    <x v="87"/>
    <n v="1561"/>
    <n v="44"/>
    <n v="35.477272727272727"/>
    <x v="6"/>
    <s v="Q1"/>
    <s v="Large"/>
  </r>
  <r>
    <x v="15"/>
    <x v="2"/>
    <x v="7"/>
    <x v="44"/>
    <n v="8897"/>
    <n v="188"/>
    <n v="47.324468085106382"/>
    <x v="5"/>
    <s v="Q2"/>
    <s v="Large"/>
  </r>
  <r>
    <x v="11"/>
    <x v="2"/>
    <x v="11"/>
    <x v="12"/>
    <n v="2464"/>
    <n v="387"/>
    <n v="6.3669250645994833"/>
    <x v="2"/>
    <s v="Q3"/>
    <s v="Large"/>
  </r>
  <r>
    <x v="20"/>
    <x v="5"/>
    <x v="4"/>
    <x v="88"/>
    <n v="4830"/>
    <n v="50"/>
    <n v="96.6"/>
    <x v="1"/>
    <s v="Q3"/>
    <s v="Large"/>
  </r>
  <r>
    <x v="16"/>
    <x v="2"/>
    <x v="15"/>
    <x v="89"/>
    <n v="2765"/>
    <n v="264"/>
    <n v="10.473484848484848"/>
    <x v="0"/>
    <s v="Q1"/>
    <s v="Large"/>
  </r>
  <r>
    <x v="12"/>
    <x v="3"/>
    <x v="14"/>
    <x v="7"/>
    <n v="7126"/>
    <n v="7"/>
    <n v="1018"/>
    <x v="6"/>
    <s v="Q1"/>
    <s v="Large"/>
  </r>
  <r>
    <x v="1"/>
    <x v="0"/>
    <x v="11"/>
    <x v="90"/>
    <n v="4263"/>
    <n v="90"/>
    <n v="47.366666666666667"/>
    <x v="2"/>
    <s v="Q3"/>
    <s v="Large"/>
  </r>
  <r>
    <x v="4"/>
    <x v="5"/>
    <x v="4"/>
    <x v="1"/>
    <n v="3605"/>
    <n v="403"/>
    <n v="8.9454094292803976"/>
    <x v="1"/>
    <s v="Q3"/>
    <s v="Large"/>
  </r>
  <r>
    <x v="1"/>
    <x v="1"/>
    <x v="10"/>
    <x v="45"/>
    <n v="19929"/>
    <n v="174"/>
    <n v="114.53448275862068"/>
    <x v="7"/>
    <s v="Q2"/>
    <s v="Large"/>
  </r>
  <r>
    <x v="13"/>
    <x v="1"/>
    <x v="3"/>
    <x v="50"/>
    <n v="5103"/>
    <n v="140"/>
    <n v="36.450000000000003"/>
    <x v="1"/>
    <s v="Q3"/>
    <s v="Large"/>
  </r>
  <r>
    <x v="3"/>
    <x v="1"/>
    <x v="8"/>
    <x v="79"/>
    <n v="2541"/>
    <n v="27"/>
    <n v="94.111111111111114"/>
    <x v="0"/>
    <s v="Q1"/>
    <s v="Large"/>
  </r>
  <r>
    <x v="24"/>
    <x v="0"/>
    <x v="3"/>
    <x v="36"/>
    <n v="5663"/>
    <n v="110"/>
    <n v="51.481818181818184"/>
    <x v="2"/>
    <s v="Q3"/>
    <s v="Large"/>
  </r>
  <r>
    <x v="18"/>
    <x v="4"/>
    <x v="5"/>
    <x v="91"/>
    <n v="392"/>
    <n v="30"/>
    <n v="13.066666666666666"/>
    <x v="3"/>
    <s v="Q2"/>
    <s v="Small"/>
  </r>
  <r>
    <x v="2"/>
    <x v="3"/>
    <x v="13"/>
    <x v="92"/>
    <n v="10976"/>
    <n v="121"/>
    <n v="90.710743801652896"/>
    <x v="3"/>
    <s v="Q2"/>
    <s v="Large"/>
  </r>
  <r>
    <x v="8"/>
    <x v="4"/>
    <x v="17"/>
    <x v="77"/>
    <n v="9282"/>
    <n v="101"/>
    <n v="91.900990099009903"/>
    <x v="3"/>
    <s v="Q2"/>
    <s v="Large"/>
  </r>
  <r>
    <x v="18"/>
    <x v="3"/>
    <x v="1"/>
    <x v="73"/>
    <n v="1827"/>
    <n v="117"/>
    <n v="15.615384615384615"/>
    <x v="1"/>
    <s v="Q3"/>
    <s v="Large"/>
  </r>
  <r>
    <x v="2"/>
    <x v="3"/>
    <x v="15"/>
    <x v="44"/>
    <n v="8267"/>
    <n v="272"/>
    <n v="30.393382352941178"/>
    <x v="5"/>
    <s v="Q2"/>
    <s v="Large"/>
  </r>
  <r>
    <x v="24"/>
    <x v="2"/>
    <x v="8"/>
    <x v="25"/>
    <n v="4116"/>
    <n v="128"/>
    <n v="32.15625"/>
    <x v="2"/>
    <s v="Q3"/>
    <s v="Large"/>
  </r>
  <r>
    <x v="7"/>
    <x v="3"/>
    <x v="18"/>
    <x v="76"/>
    <n v="2093"/>
    <n v="45"/>
    <n v="46.511111111111113"/>
    <x v="5"/>
    <s v="Q2"/>
    <s v="Large"/>
  </r>
  <r>
    <x v="6"/>
    <x v="3"/>
    <x v="3"/>
    <x v="93"/>
    <n v="1015"/>
    <n v="27"/>
    <n v="37.592592592592595"/>
    <x v="0"/>
    <s v="Q1"/>
    <s v="Large"/>
  </r>
  <r>
    <x v="6"/>
    <x v="2"/>
    <x v="19"/>
    <x v="0"/>
    <n v="12516"/>
    <n v="212"/>
    <n v="59.037735849056602"/>
    <x v="0"/>
    <s v="Q1"/>
    <s v="Large"/>
  </r>
  <r>
    <x v="17"/>
    <x v="2"/>
    <x v="4"/>
    <x v="60"/>
    <n v="2758"/>
    <n v="18"/>
    <n v="153.22222222222223"/>
    <x v="0"/>
    <s v="Q1"/>
    <s v="Large"/>
  </r>
  <r>
    <x v="20"/>
    <x v="1"/>
    <x v="16"/>
    <x v="22"/>
    <n v="3297"/>
    <n v="149"/>
    <n v="22.127516778523489"/>
    <x v="6"/>
    <s v="Q1"/>
    <s v="Large"/>
  </r>
  <r>
    <x v="21"/>
    <x v="2"/>
    <x v="21"/>
    <x v="94"/>
    <n v="6048"/>
    <n v="477"/>
    <n v="12.679245283018869"/>
    <x v="3"/>
    <s v="Q2"/>
    <s v="Large"/>
  </r>
  <r>
    <x v="4"/>
    <x v="1"/>
    <x v="3"/>
    <x v="64"/>
    <n v="10101"/>
    <n v="108"/>
    <n v="93.527777777777771"/>
    <x v="4"/>
    <s v="Q1"/>
    <s v="Large"/>
  </r>
  <r>
    <x v="16"/>
    <x v="0"/>
    <x v="10"/>
    <x v="95"/>
    <n v="2282"/>
    <n v="178"/>
    <n v="12.820224719101123"/>
    <x v="6"/>
    <s v="Q1"/>
    <s v="Large"/>
  </r>
  <r>
    <x v="11"/>
    <x v="1"/>
    <x v="20"/>
    <x v="83"/>
    <n v="4361"/>
    <n v="81"/>
    <n v="53.839506172839506"/>
    <x v="6"/>
    <s v="Q1"/>
    <s v="Large"/>
  </r>
  <r>
    <x v="10"/>
    <x v="0"/>
    <x v="8"/>
    <x v="6"/>
    <n v="7798"/>
    <n v="196"/>
    <n v="39.785714285714285"/>
    <x v="0"/>
    <s v="Q1"/>
    <s v="Large"/>
  </r>
  <r>
    <x v="1"/>
    <x v="1"/>
    <x v="19"/>
    <x v="55"/>
    <n v="3052"/>
    <n v="447"/>
    <n v="6.8277404921700224"/>
    <x v="5"/>
    <s v="Q2"/>
    <s v="Large"/>
  </r>
  <r>
    <x v="2"/>
    <x v="0"/>
    <x v="5"/>
    <x v="96"/>
    <n v="8029"/>
    <n v="175"/>
    <n v="45.88"/>
    <x v="6"/>
    <s v="Q1"/>
    <s v="Large"/>
  </r>
  <r>
    <x v="14"/>
    <x v="2"/>
    <x v="7"/>
    <x v="97"/>
    <n v="854"/>
    <n v="136"/>
    <n v="6.2794117647058822"/>
    <x v="2"/>
    <s v="Q3"/>
    <s v="Large"/>
  </r>
  <r>
    <x v="0"/>
    <x v="5"/>
    <x v="3"/>
    <x v="36"/>
    <n v="5460"/>
    <n v="138"/>
    <n v="39.565217391304351"/>
    <x v="2"/>
    <s v="Q3"/>
    <s v="Large"/>
  </r>
  <r>
    <x v="10"/>
    <x v="5"/>
    <x v="3"/>
    <x v="78"/>
    <n v="3017"/>
    <n v="184"/>
    <n v="16.396739130434781"/>
    <x v="0"/>
    <s v="Q1"/>
    <s v="Large"/>
  </r>
  <r>
    <x v="19"/>
    <x v="4"/>
    <x v="1"/>
    <x v="16"/>
    <n v="8911"/>
    <n v="82"/>
    <n v="108.67073170731707"/>
    <x v="3"/>
    <s v="Q2"/>
    <s v="Large"/>
  </r>
  <r>
    <x v="0"/>
    <x v="5"/>
    <x v="11"/>
    <x v="84"/>
    <n v="7203"/>
    <n v="12"/>
    <n v="600.25"/>
    <x v="4"/>
    <s v="Q1"/>
    <s v="Large"/>
  </r>
  <r>
    <x v="7"/>
    <x v="3"/>
    <x v="20"/>
    <x v="98"/>
    <n v="13083"/>
    <n v="14"/>
    <n v="934.5"/>
    <x v="7"/>
    <s v="Q2"/>
    <s v="Large"/>
  </r>
  <r>
    <x v="9"/>
    <x v="2"/>
    <x v="11"/>
    <x v="99"/>
    <n v="2779"/>
    <n v="104"/>
    <n v="26.721153846153847"/>
    <x v="2"/>
    <s v="Q3"/>
    <s v="Large"/>
  </r>
  <r>
    <x v="8"/>
    <x v="4"/>
    <x v="13"/>
    <x v="82"/>
    <n v="9058"/>
    <n v="46"/>
    <n v="196.91304347826087"/>
    <x v="0"/>
    <s v="Q1"/>
    <s v="Large"/>
  </r>
  <r>
    <x v="11"/>
    <x v="0"/>
    <x v="20"/>
    <x v="40"/>
    <n v="3549"/>
    <n v="112"/>
    <n v="31.6875"/>
    <x v="2"/>
    <s v="Q3"/>
    <s v="Large"/>
  </r>
  <r>
    <x v="9"/>
    <x v="3"/>
    <x v="15"/>
    <x v="100"/>
    <n v="9436"/>
    <n v="11"/>
    <n v="857.81818181818187"/>
    <x v="3"/>
    <s v="Q2"/>
    <s v="Large"/>
  </r>
  <r>
    <x v="13"/>
    <x v="1"/>
    <x v="2"/>
    <x v="58"/>
    <n v="10283"/>
    <n v="21"/>
    <n v="489.66666666666669"/>
    <x v="4"/>
    <s v="Q1"/>
    <s v="Large"/>
  </r>
  <r>
    <x v="13"/>
    <x v="3"/>
    <x v="11"/>
    <x v="52"/>
    <n v="5446"/>
    <n v="116"/>
    <n v="46.948275862068968"/>
    <x v="6"/>
    <s v="Q1"/>
    <s v="Large"/>
  </r>
  <r>
    <x v="24"/>
    <x v="2"/>
    <x v="14"/>
    <x v="52"/>
    <n v="1043"/>
    <n v="202"/>
    <n v="5.1633663366336631"/>
    <x v="6"/>
    <s v="Q1"/>
    <s v="Large"/>
  </r>
  <r>
    <x v="1"/>
    <x v="4"/>
    <x v="4"/>
    <x v="12"/>
    <n v="12586"/>
    <n v="6"/>
    <n v="2097.6666666666665"/>
    <x v="2"/>
    <s v="Q3"/>
    <s v="Large"/>
  </r>
  <r>
    <x v="20"/>
    <x v="1"/>
    <x v="5"/>
    <x v="101"/>
    <n v="1687"/>
    <n v="520"/>
    <n v="3.2442307692307693"/>
    <x v="0"/>
    <s v="Q1"/>
    <s v="Large"/>
  </r>
  <r>
    <x v="6"/>
    <x v="0"/>
    <x v="14"/>
    <x v="77"/>
    <n v="5299"/>
    <n v="167"/>
    <n v="31.730538922155688"/>
    <x v="3"/>
    <s v="Q2"/>
    <s v="Large"/>
  </r>
  <r>
    <x v="1"/>
    <x v="5"/>
    <x v="16"/>
    <x v="19"/>
    <n v="3213"/>
    <n v="72"/>
    <n v="44.625"/>
    <x v="5"/>
    <s v="Q2"/>
    <s v="Large"/>
  </r>
  <r>
    <x v="0"/>
    <x v="2"/>
    <x v="6"/>
    <x v="102"/>
    <n v="5194"/>
    <n v="418"/>
    <n v="12.425837320574162"/>
    <x v="0"/>
    <s v="Q1"/>
    <s v="Large"/>
  </r>
  <r>
    <x v="10"/>
    <x v="0"/>
    <x v="19"/>
    <x v="64"/>
    <n v="4753"/>
    <n v="389"/>
    <n v="12.218508997429305"/>
    <x v="4"/>
    <s v="Q1"/>
    <s v="Large"/>
  </r>
  <r>
    <x v="0"/>
    <x v="2"/>
    <x v="7"/>
    <x v="85"/>
    <n v="13706"/>
    <n v="26"/>
    <n v="527.15384615384619"/>
    <x v="6"/>
    <s v="Q1"/>
    <s v="Large"/>
  </r>
  <r>
    <x v="11"/>
    <x v="1"/>
    <x v="2"/>
    <x v="53"/>
    <n v="6489"/>
    <n v="146"/>
    <n v="44.445205479452056"/>
    <x v="0"/>
    <s v="Q1"/>
    <s v="Large"/>
  </r>
  <r>
    <x v="4"/>
    <x v="0"/>
    <x v="18"/>
    <x v="103"/>
    <n v="9324"/>
    <n v="41"/>
    <n v="227.41463414634146"/>
    <x v="6"/>
    <s v="Q1"/>
    <s v="Large"/>
  </r>
  <r>
    <x v="2"/>
    <x v="4"/>
    <x v="12"/>
    <x v="104"/>
    <n v="10829"/>
    <n v="54"/>
    <n v="200.53703703703704"/>
    <x v="0"/>
    <s v="Q1"/>
    <s v="Large"/>
  </r>
  <r>
    <x v="8"/>
    <x v="2"/>
    <x v="14"/>
    <x v="9"/>
    <n v="8113"/>
    <n v="370"/>
    <n v="21.927027027027027"/>
    <x v="2"/>
    <s v="Q3"/>
    <s v="Large"/>
  </r>
  <r>
    <x v="16"/>
    <x v="5"/>
    <x v="2"/>
    <x v="9"/>
    <n v="3269"/>
    <n v="176"/>
    <n v="18.573863636363637"/>
    <x v="2"/>
    <s v="Q3"/>
    <s v="Large"/>
  </r>
  <r>
    <x v="23"/>
    <x v="4"/>
    <x v="15"/>
    <x v="50"/>
    <n v="273"/>
    <n v="210"/>
    <n v="1.3"/>
    <x v="1"/>
    <s v="Q3"/>
    <s v="Small"/>
  </r>
  <r>
    <x v="17"/>
    <x v="2"/>
    <x v="6"/>
    <x v="69"/>
    <n v="7287"/>
    <n v="12"/>
    <n v="607.25"/>
    <x v="3"/>
    <s v="Q2"/>
    <s v="Large"/>
  </r>
  <r>
    <x v="2"/>
    <x v="1"/>
    <x v="17"/>
    <x v="105"/>
    <n v="2583"/>
    <n v="159"/>
    <n v="16.245283018867923"/>
    <x v="4"/>
    <s v="Q1"/>
    <s v="Large"/>
  </r>
  <r>
    <x v="21"/>
    <x v="0"/>
    <x v="14"/>
    <x v="67"/>
    <n v="9982"/>
    <n v="187"/>
    <n v="53.37967914438503"/>
    <x v="0"/>
    <s v="Q1"/>
    <s v="Large"/>
  </r>
  <r>
    <x v="10"/>
    <x v="1"/>
    <x v="9"/>
    <x v="106"/>
    <n v="4795"/>
    <n v="233"/>
    <n v="20.579399141630901"/>
    <x v="7"/>
    <s v="Q2"/>
    <s v="Large"/>
  </r>
  <r>
    <x v="23"/>
    <x v="0"/>
    <x v="4"/>
    <x v="67"/>
    <n v="9310"/>
    <n v="282"/>
    <n v="33.01418439716312"/>
    <x v="0"/>
    <s v="Q1"/>
    <s v="Large"/>
  </r>
  <r>
    <x v="15"/>
    <x v="3"/>
    <x v="20"/>
    <x v="59"/>
    <n v="497"/>
    <n v="475"/>
    <n v="1.0463157894736843"/>
    <x v="0"/>
    <s v="Q1"/>
    <s v="Small"/>
  </r>
  <r>
    <x v="8"/>
    <x v="0"/>
    <x v="6"/>
    <x v="82"/>
    <n v="581"/>
    <n v="65"/>
    <n v="8.9384615384615387"/>
    <x v="0"/>
    <s v="Q1"/>
    <s v="Large"/>
  </r>
  <r>
    <x v="14"/>
    <x v="2"/>
    <x v="10"/>
    <x v="44"/>
    <n v="3472"/>
    <n v="311"/>
    <n v="11.163987138263666"/>
    <x v="5"/>
    <s v="Q2"/>
    <s v="Large"/>
  </r>
  <r>
    <x v="15"/>
    <x v="0"/>
    <x v="18"/>
    <x v="52"/>
    <n v="4333"/>
    <n v="43"/>
    <n v="100.76744186046511"/>
    <x v="6"/>
    <s v="Q1"/>
    <s v="Large"/>
  </r>
  <r>
    <x v="18"/>
    <x v="2"/>
    <x v="5"/>
    <x v="48"/>
    <n v="3325"/>
    <n v="26"/>
    <n v="127.88461538461539"/>
    <x v="7"/>
    <s v="Q2"/>
    <s v="Large"/>
  </r>
  <r>
    <x v="17"/>
    <x v="4"/>
    <x v="16"/>
    <x v="30"/>
    <n v="11718"/>
    <n v="84"/>
    <n v="139.5"/>
    <x v="5"/>
    <s v="Q2"/>
    <s v="Large"/>
  </r>
  <r>
    <x v="8"/>
    <x v="5"/>
    <x v="2"/>
    <x v="76"/>
    <n v="2100"/>
    <n v="78"/>
    <n v="26.923076923076923"/>
    <x v="5"/>
    <s v="Q2"/>
    <s v="Large"/>
  </r>
  <r>
    <x v="16"/>
    <x v="4"/>
    <x v="21"/>
    <x v="65"/>
    <n v="4018"/>
    <n v="100"/>
    <n v="40.18"/>
    <x v="7"/>
    <s v="Q2"/>
    <s v="Large"/>
  </r>
  <r>
    <x v="8"/>
    <x v="3"/>
    <x v="17"/>
    <x v="99"/>
    <n v="6468"/>
    <n v="66"/>
    <n v="98"/>
    <x v="2"/>
    <s v="Q3"/>
    <s v="Large"/>
  </r>
  <r>
    <x v="17"/>
    <x v="0"/>
    <x v="14"/>
    <x v="13"/>
    <n v="7238"/>
    <n v="265"/>
    <n v="27.31320754716981"/>
    <x v="1"/>
    <s v="Q3"/>
    <s v="Large"/>
  </r>
  <r>
    <x v="8"/>
    <x v="1"/>
    <x v="19"/>
    <x v="61"/>
    <n v="6454"/>
    <n v="141"/>
    <n v="45.773049645390074"/>
    <x v="1"/>
    <s v="Q3"/>
    <s v="Large"/>
  </r>
  <r>
    <x v="1"/>
    <x v="3"/>
    <x v="3"/>
    <x v="107"/>
    <n v="3115"/>
    <n v="42"/>
    <n v="74.166666666666671"/>
    <x v="5"/>
    <s v="Q2"/>
    <s v="Large"/>
  </r>
  <r>
    <x v="12"/>
    <x v="0"/>
    <x v="14"/>
    <x v="30"/>
    <n v="6475"/>
    <n v="76"/>
    <n v="85.19736842105263"/>
    <x v="5"/>
    <s v="Q2"/>
    <s v="Large"/>
  </r>
  <r>
    <x v="21"/>
    <x v="3"/>
    <x v="0"/>
    <x v="108"/>
    <n v="1162"/>
    <n v="190"/>
    <n v="6.1157894736842104"/>
    <x v="5"/>
    <s v="Q2"/>
    <s v="Large"/>
  </r>
  <r>
    <x v="24"/>
    <x v="0"/>
    <x v="7"/>
    <x v="3"/>
    <n v="14238"/>
    <n v="54"/>
    <n v="263.66666666666669"/>
    <x v="3"/>
    <s v="Q2"/>
    <s v="Large"/>
  </r>
  <r>
    <x v="3"/>
    <x v="2"/>
    <x v="14"/>
    <x v="109"/>
    <n v="3472"/>
    <n v="32"/>
    <n v="108.5"/>
    <x v="2"/>
    <s v="Q3"/>
    <s v="Large"/>
  </r>
  <r>
    <x v="9"/>
    <x v="5"/>
    <x v="1"/>
    <x v="8"/>
    <n v="1428"/>
    <n v="424"/>
    <n v="3.3679245283018866"/>
    <x v="3"/>
    <s v="Q2"/>
    <s v="Large"/>
  </r>
  <r>
    <x v="7"/>
    <x v="1"/>
    <x v="12"/>
    <x v="0"/>
    <n v="8064"/>
    <n v="134"/>
    <n v="60.179104477611943"/>
    <x v="0"/>
    <s v="Q1"/>
    <s v="Large"/>
  </r>
  <r>
    <x v="24"/>
    <x v="2"/>
    <x v="0"/>
    <x v="84"/>
    <n v="9660"/>
    <n v="92"/>
    <n v="105"/>
    <x v="4"/>
    <s v="Q1"/>
    <s v="Large"/>
  </r>
  <r>
    <x v="10"/>
    <x v="2"/>
    <x v="14"/>
    <x v="79"/>
    <n v="7357"/>
    <n v="48"/>
    <n v="153.27083333333334"/>
    <x v="0"/>
    <s v="Q1"/>
    <s v="Large"/>
  </r>
  <r>
    <x v="12"/>
    <x v="1"/>
    <x v="9"/>
    <x v="42"/>
    <n v="6055"/>
    <n v="46"/>
    <n v="131.63043478260869"/>
    <x v="2"/>
    <s v="Q3"/>
    <s v="Large"/>
  </r>
  <r>
    <x v="6"/>
    <x v="2"/>
    <x v="18"/>
    <x v="63"/>
    <n v="5124"/>
    <n v="62"/>
    <n v="82.645161290322577"/>
    <x v="7"/>
    <s v="Q2"/>
    <s v="Large"/>
  </r>
  <r>
    <x v="10"/>
    <x v="5"/>
    <x v="8"/>
    <x v="8"/>
    <n v="3479"/>
    <n v="358"/>
    <n v="9.7178770949720672"/>
    <x v="3"/>
    <s v="Q2"/>
    <s v="Large"/>
  </r>
  <r>
    <x v="2"/>
    <x v="4"/>
    <x v="4"/>
    <x v="34"/>
    <n v="784"/>
    <n v="249"/>
    <n v="3.1485943775100402"/>
    <x v="5"/>
    <s v="Q2"/>
    <s v="Large"/>
  </r>
  <r>
    <x v="11"/>
    <x v="0"/>
    <x v="3"/>
    <x v="110"/>
    <n v="18991"/>
    <n v="88"/>
    <n v="215.80681818181819"/>
    <x v="7"/>
    <s v="Q2"/>
    <s v="Large"/>
  </r>
  <r>
    <x v="12"/>
    <x v="3"/>
    <x v="19"/>
    <x v="13"/>
    <n v="1372"/>
    <n v="144"/>
    <n v="9.5277777777777786"/>
    <x v="1"/>
    <s v="Q3"/>
    <s v="Large"/>
  </r>
  <r>
    <x v="12"/>
    <x v="2"/>
    <x v="11"/>
    <x v="63"/>
    <n v="735"/>
    <n v="390"/>
    <n v="1.8846153846153846"/>
    <x v="7"/>
    <s v="Q2"/>
    <s v="Large"/>
  </r>
  <r>
    <x v="1"/>
    <x v="0"/>
    <x v="17"/>
    <x v="83"/>
    <n v="6538"/>
    <n v="79"/>
    <n v="82.759493670886073"/>
    <x v="6"/>
    <s v="Q1"/>
    <s v="Large"/>
  </r>
  <r>
    <x v="3"/>
    <x v="2"/>
    <x v="7"/>
    <x v="9"/>
    <n v="3199"/>
    <n v="122"/>
    <n v="26.221311475409838"/>
    <x v="2"/>
    <s v="Q3"/>
    <s v="Large"/>
  </r>
  <r>
    <x v="0"/>
    <x v="1"/>
    <x v="6"/>
    <x v="25"/>
    <n v="3472"/>
    <n v="135"/>
    <n v="25.718518518518518"/>
    <x v="2"/>
    <s v="Q3"/>
    <s v="Large"/>
  </r>
  <r>
    <x v="22"/>
    <x v="4"/>
    <x v="5"/>
    <x v="111"/>
    <n v="4571"/>
    <n v="430"/>
    <n v="10.630232558139534"/>
    <x v="6"/>
    <s v="Q1"/>
    <s v="Large"/>
  </r>
  <r>
    <x v="8"/>
    <x v="0"/>
    <x v="17"/>
    <x v="38"/>
    <n v="5481"/>
    <n v="69"/>
    <n v="79.434782608695656"/>
    <x v="1"/>
    <s v="Q3"/>
    <s v="Large"/>
  </r>
  <r>
    <x v="24"/>
    <x v="2"/>
    <x v="21"/>
    <x v="89"/>
    <n v="3136"/>
    <n v="125"/>
    <n v="25.088000000000001"/>
    <x v="0"/>
    <s v="Q1"/>
    <s v="Large"/>
  </r>
  <r>
    <x v="11"/>
    <x v="0"/>
    <x v="19"/>
    <x v="39"/>
    <n v="252"/>
    <n v="154"/>
    <n v="1.6363636363636365"/>
    <x v="5"/>
    <s v="Q2"/>
    <s v="Small"/>
  </r>
  <r>
    <x v="16"/>
    <x v="2"/>
    <x v="2"/>
    <x v="112"/>
    <n v="5460"/>
    <n v="286"/>
    <n v="19.09090909090909"/>
    <x v="6"/>
    <s v="Q1"/>
    <s v="Large"/>
  </r>
  <r>
    <x v="7"/>
    <x v="1"/>
    <x v="16"/>
    <x v="109"/>
    <n v="3395"/>
    <n v="99"/>
    <n v="34.292929292929294"/>
    <x v="2"/>
    <s v="Q3"/>
    <s v="Large"/>
  </r>
  <r>
    <x v="15"/>
    <x v="0"/>
    <x v="20"/>
    <x v="35"/>
    <n v="14938"/>
    <n v="433"/>
    <n v="34.498845265588912"/>
    <x v="3"/>
    <s v="Q2"/>
    <s v="Large"/>
  </r>
  <r>
    <x v="13"/>
    <x v="1"/>
    <x v="7"/>
    <x v="19"/>
    <n v="4053"/>
    <n v="19"/>
    <n v="213.31578947368422"/>
    <x v="5"/>
    <s v="Q2"/>
    <s v="Large"/>
  </r>
  <r>
    <x v="0"/>
    <x v="0"/>
    <x v="21"/>
    <x v="49"/>
    <n v="5565"/>
    <n v="258"/>
    <n v="21.569767441860463"/>
    <x v="3"/>
    <s v="Q2"/>
    <s v="Large"/>
  </r>
  <r>
    <x v="15"/>
    <x v="2"/>
    <x v="15"/>
    <x v="111"/>
    <n v="7161"/>
    <n v="92"/>
    <n v="77.836956521739125"/>
    <x v="6"/>
    <s v="Q1"/>
    <s v="Large"/>
  </r>
  <r>
    <x v="22"/>
    <x v="4"/>
    <x v="8"/>
    <x v="113"/>
    <n v="8883"/>
    <n v="200"/>
    <n v="44.414999999999999"/>
    <x v="6"/>
    <s v="Q1"/>
    <s v="Large"/>
  </r>
  <r>
    <x v="6"/>
    <x v="1"/>
    <x v="8"/>
    <x v="94"/>
    <n v="1351"/>
    <n v="61"/>
    <n v="22.147540983606557"/>
    <x v="3"/>
    <s v="Q2"/>
    <s v="Large"/>
  </r>
  <r>
    <x v="9"/>
    <x v="3"/>
    <x v="14"/>
    <x v="75"/>
    <n v="3171"/>
    <n v="246"/>
    <n v="12.890243902439025"/>
    <x v="4"/>
    <s v="Q1"/>
    <s v="Large"/>
  </r>
  <r>
    <x v="15"/>
    <x v="4"/>
    <x v="11"/>
    <x v="52"/>
    <n v="854"/>
    <n v="56"/>
    <n v="15.25"/>
    <x v="6"/>
    <s v="Q1"/>
    <s v="Large"/>
  </r>
  <r>
    <x v="1"/>
    <x v="2"/>
    <x v="11"/>
    <x v="55"/>
    <n v="7910"/>
    <n v="87"/>
    <n v="90.919540229885058"/>
    <x v="5"/>
    <s v="Q2"/>
    <s v="Large"/>
  </r>
  <r>
    <x v="12"/>
    <x v="5"/>
    <x v="14"/>
    <x v="42"/>
    <n v="9275"/>
    <n v="173"/>
    <n v="53.612716763005778"/>
    <x v="2"/>
    <s v="Q3"/>
    <s v="Large"/>
  </r>
  <r>
    <x v="23"/>
    <x v="2"/>
    <x v="6"/>
    <x v="65"/>
    <n v="3108"/>
    <n v="252"/>
    <n v="12.333333333333334"/>
    <x v="7"/>
    <s v="Q2"/>
    <s v="Large"/>
  </r>
  <r>
    <x v="9"/>
    <x v="3"/>
    <x v="10"/>
    <x v="114"/>
    <n v="5075"/>
    <n v="256"/>
    <n v="19.82421875"/>
    <x v="2"/>
    <s v="Q3"/>
    <s v="Large"/>
  </r>
  <r>
    <x v="15"/>
    <x v="4"/>
    <x v="1"/>
    <x v="115"/>
    <n v="378"/>
    <n v="54"/>
    <n v="7"/>
    <x v="1"/>
    <s v="Q3"/>
    <s v="Small"/>
  </r>
  <r>
    <x v="22"/>
    <x v="2"/>
    <x v="6"/>
    <x v="90"/>
    <n v="7350"/>
    <n v="6"/>
    <n v="1225"/>
    <x v="2"/>
    <s v="Q3"/>
    <s v="Large"/>
  </r>
  <r>
    <x v="18"/>
    <x v="0"/>
    <x v="9"/>
    <x v="43"/>
    <n v="3388"/>
    <n v="55"/>
    <n v="61.6"/>
    <x v="7"/>
    <s v="Q2"/>
    <s v="Large"/>
  </r>
  <r>
    <x v="21"/>
    <x v="1"/>
    <x v="2"/>
    <x v="42"/>
    <n v="11837"/>
    <n v="277"/>
    <n v="42.73285198555957"/>
    <x v="2"/>
    <s v="Q3"/>
    <s v="Large"/>
  </r>
  <r>
    <x v="14"/>
    <x v="1"/>
    <x v="21"/>
    <x v="25"/>
    <n v="2282"/>
    <n v="44"/>
    <n v="51.863636363636367"/>
    <x v="2"/>
    <s v="Q3"/>
    <s v="Large"/>
  </r>
  <r>
    <x v="9"/>
    <x v="4"/>
    <x v="15"/>
    <x v="9"/>
    <n v="5425"/>
    <n v="96"/>
    <n v="56.510416666666664"/>
    <x v="2"/>
    <s v="Q3"/>
    <s v="Large"/>
  </r>
  <r>
    <x v="23"/>
    <x v="0"/>
    <x v="21"/>
    <x v="55"/>
    <n v="1267"/>
    <n v="216"/>
    <n v="5.8657407407407405"/>
    <x v="5"/>
    <s v="Q2"/>
    <s v="Large"/>
  </r>
  <r>
    <x v="5"/>
    <x v="2"/>
    <x v="16"/>
    <x v="6"/>
    <n v="3752"/>
    <n v="424"/>
    <n v="8.8490566037735849"/>
    <x v="0"/>
    <s v="Q1"/>
    <s v="Large"/>
  </r>
  <r>
    <x v="16"/>
    <x v="3"/>
    <x v="12"/>
    <x v="114"/>
    <n v="7728"/>
    <n v="37"/>
    <n v="208.86486486486487"/>
    <x v="2"/>
    <s v="Q3"/>
    <s v="Large"/>
  </r>
  <r>
    <x v="2"/>
    <x v="4"/>
    <x v="6"/>
    <x v="100"/>
    <n v="2296"/>
    <n v="59"/>
    <n v="38.915254237288138"/>
    <x v="3"/>
    <s v="Q2"/>
    <s v="Large"/>
  </r>
  <r>
    <x v="12"/>
    <x v="0"/>
    <x v="3"/>
    <x v="116"/>
    <n v="4403"/>
    <n v="76"/>
    <n v="57.934210526315788"/>
    <x v="7"/>
    <s v="Q2"/>
    <s v="Large"/>
  </r>
  <r>
    <x v="12"/>
    <x v="2"/>
    <x v="19"/>
    <x v="117"/>
    <n v="3192"/>
    <n v="109"/>
    <n v="29.284403669724771"/>
    <x v="1"/>
    <s v="Q3"/>
    <s v="Large"/>
  </r>
  <r>
    <x v="12"/>
    <x v="1"/>
    <x v="21"/>
    <x v="118"/>
    <n v="448"/>
    <n v="146"/>
    <n v="3.0684931506849313"/>
    <x v="5"/>
    <s v="Q2"/>
    <s v="Small"/>
  </r>
  <r>
    <x v="0"/>
    <x v="0"/>
    <x v="18"/>
    <x v="119"/>
    <n v="4270"/>
    <n v="185"/>
    <n v="23.081081081081081"/>
    <x v="3"/>
    <s v="Q2"/>
    <s v="Large"/>
  </r>
  <r>
    <x v="16"/>
    <x v="4"/>
    <x v="6"/>
    <x v="13"/>
    <n v="70"/>
    <n v="27"/>
    <n v="2.5925925925925926"/>
    <x v="1"/>
    <s v="Q3"/>
    <s v="Small"/>
  </r>
  <r>
    <x v="24"/>
    <x v="4"/>
    <x v="7"/>
    <x v="39"/>
    <n v="1743"/>
    <n v="69"/>
    <n v="25.260869565217391"/>
    <x v="5"/>
    <s v="Q2"/>
    <s v="Large"/>
  </r>
  <r>
    <x v="5"/>
    <x v="0"/>
    <x v="15"/>
    <x v="19"/>
    <n v="6762"/>
    <n v="46"/>
    <n v="147"/>
    <x v="5"/>
    <s v="Q2"/>
    <s v="Large"/>
  </r>
  <r>
    <x v="11"/>
    <x v="2"/>
    <x v="3"/>
    <x v="67"/>
    <n v="3745"/>
    <n v="170"/>
    <n v="22.029411764705884"/>
    <x v="0"/>
    <s v="Q1"/>
    <s v="Large"/>
  </r>
  <r>
    <x v="11"/>
    <x v="1"/>
    <x v="5"/>
    <x v="36"/>
    <n v="2639"/>
    <n v="179"/>
    <n v="14.743016759776536"/>
    <x v="2"/>
    <s v="Q3"/>
    <s v="Large"/>
  </r>
  <r>
    <x v="24"/>
    <x v="3"/>
    <x v="11"/>
    <x v="120"/>
    <n v="4389"/>
    <n v="126"/>
    <n v="34.833333333333336"/>
    <x v="1"/>
    <s v="Q3"/>
    <s v="Large"/>
  </r>
  <r>
    <x v="7"/>
    <x v="4"/>
    <x v="13"/>
    <x v="93"/>
    <n v="2604"/>
    <n v="65"/>
    <n v="40.061538461538461"/>
    <x v="0"/>
    <s v="Q1"/>
    <s v="Large"/>
  </r>
  <r>
    <x v="24"/>
    <x v="1"/>
    <x v="10"/>
    <x v="121"/>
    <n v="16569"/>
    <n v="99"/>
    <n v="167.36363636363637"/>
    <x v="6"/>
    <s v="Q1"/>
    <s v="Large"/>
  </r>
  <r>
    <x v="9"/>
    <x v="2"/>
    <x v="7"/>
    <x v="66"/>
    <n v="14658"/>
    <n v="275"/>
    <n v="53.301818181818184"/>
    <x v="6"/>
    <s v="Q1"/>
    <s v="Large"/>
  </r>
  <r>
    <x v="15"/>
    <x v="1"/>
    <x v="21"/>
    <x v="122"/>
    <n v="6454"/>
    <n v="157"/>
    <n v="41.108280254777071"/>
    <x v="7"/>
    <s v="Q2"/>
    <s v="Large"/>
  </r>
  <r>
    <x v="8"/>
    <x v="3"/>
    <x v="1"/>
    <x v="123"/>
    <n v="2100"/>
    <n v="157"/>
    <n v="13.375796178343949"/>
    <x v="7"/>
    <s v="Q2"/>
    <s v="Large"/>
  </r>
  <r>
    <x v="22"/>
    <x v="0"/>
    <x v="20"/>
    <x v="35"/>
    <n v="161"/>
    <n v="145"/>
    <n v="1.1103448275862069"/>
    <x v="3"/>
    <s v="Q2"/>
    <s v="Small"/>
  </r>
  <r>
    <x v="2"/>
    <x v="2"/>
    <x v="9"/>
    <x v="109"/>
    <n v="2807"/>
    <n v="139"/>
    <n v="20.194244604316548"/>
    <x v="2"/>
    <s v="Q3"/>
    <s v="Large"/>
  </r>
  <r>
    <x v="11"/>
    <x v="5"/>
    <x v="18"/>
    <x v="38"/>
    <n v="2639"/>
    <n v="406"/>
    <n v="6.5"/>
    <x v="1"/>
    <s v="Q3"/>
    <s v="Large"/>
  </r>
  <r>
    <x v="24"/>
    <x v="4"/>
    <x v="21"/>
    <x v="29"/>
    <n v="4571"/>
    <n v="122"/>
    <n v="37.467213114754095"/>
    <x v="7"/>
    <s v="Q2"/>
    <s v="Large"/>
  </r>
  <r>
    <x v="22"/>
    <x v="1"/>
    <x v="10"/>
    <x v="14"/>
    <n v="4781"/>
    <n v="38"/>
    <n v="125.81578947368421"/>
    <x v="0"/>
    <s v="Q1"/>
    <s v="Large"/>
  </r>
  <r>
    <x v="8"/>
    <x v="4"/>
    <x v="6"/>
    <x v="49"/>
    <n v="13034"/>
    <n v="117"/>
    <n v="111.4017094017094"/>
    <x v="3"/>
    <s v="Q2"/>
    <s v="Large"/>
  </r>
  <r>
    <x v="17"/>
    <x v="3"/>
    <x v="0"/>
    <x v="16"/>
    <n v="6454"/>
    <n v="417"/>
    <n v="15.477218225419664"/>
    <x v="3"/>
    <s v="Q2"/>
    <s v="Large"/>
  </r>
  <r>
    <x v="11"/>
    <x v="3"/>
    <x v="3"/>
    <x v="107"/>
    <n v="8484"/>
    <n v="57"/>
    <n v="148.84210526315789"/>
    <x v="5"/>
    <s v="Q2"/>
    <s v="Large"/>
  </r>
  <r>
    <x v="6"/>
    <x v="5"/>
    <x v="16"/>
    <x v="100"/>
    <n v="4781"/>
    <n v="125"/>
    <n v="38.247999999999998"/>
    <x v="3"/>
    <s v="Q2"/>
    <s v="Large"/>
  </r>
  <r>
    <x v="12"/>
    <x v="2"/>
    <x v="14"/>
    <x v="19"/>
    <n v="2240"/>
    <n v="166"/>
    <n v="13.493975903614459"/>
    <x v="5"/>
    <s v="Q2"/>
    <s v="Large"/>
  </r>
  <r>
    <x v="23"/>
    <x v="2"/>
    <x v="8"/>
    <x v="14"/>
    <n v="6979"/>
    <n v="3"/>
    <n v="2326.3333333333335"/>
    <x v="0"/>
    <s v="Q1"/>
    <s v="Large"/>
  </r>
  <r>
    <x v="8"/>
    <x v="0"/>
    <x v="14"/>
    <x v="25"/>
    <n v="1652"/>
    <n v="72"/>
    <n v="22.944444444444443"/>
    <x v="2"/>
    <s v="Q3"/>
    <s v="Large"/>
  </r>
  <r>
    <x v="12"/>
    <x v="5"/>
    <x v="19"/>
    <x v="124"/>
    <n v="13447"/>
    <n v="95"/>
    <n v="141.54736842105262"/>
    <x v="0"/>
    <s v="Q1"/>
    <s v="Large"/>
  </r>
  <r>
    <x v="20"/>
    <x v="4"/>
    <x v="14"/>
    <x v="66"/>
    <n v="9422"/>
    <n v="22"/>
    <n v="428.27272727272725"/>
    <x v="6"/>
    <s v="Q1"/>
    <s v="Large"/>
  </r>
  <r>
    <x v="16"/>
    <x v="5"/>
    <x v="6"/>
    <x v="72"/>
    <n v="8687"/>
    <n v="100"/>
    <n v="86.87"/>
    <x v="6"/>
    <s v="Q1"/>
    <s v="Large"/>
  </r>
  <r>
    <x v="10"/>
    <x v="5"/>
    <x v="10"/>
    <x v="42"/>
    <n v="2415"/>
    <n v="312"/>
    <n v="7.740384615384615"/>
    <x v="2"/>
    <s v="Q3"/>
    <s v="Large"/>
  </r>
  <r>
    <x v="16"/>
    <x v="0"/>
    <x v="2"/>
    <x v="29"/>
    <n v="6272"/>
    <n v="86"/>
    <n v="72.930232558139537"/>
    <x v="7"/>
    <s v="Q2"/>
    <s v="Large"/>
  </r>
  <r>
    <x v="10"/>
    <x v="4"/>
    <x v="11"/>
    <x v="59"/>
    <n v="4389"/>
    <n v="7"/>
    <n v="627"/>
    <x v="0"/>
    <s v="Q1"/>
    <s v="Large"/>
  </r>
  <r>
    <x v="10"/>
    <x v="1"/>
    <x v="7"/>
    <x v="19"/>
    <n v="3122"/>
    <n v="149"/>
    <n v="20.953020134228186"/>
    <x v="5"/>
    <s v="Q2"/>
    <s v="Large"/>
  </r>
  <r>
    <x v="24"/>
    <x v="1"/>
    <x v="3"/>
    <x v="13"/>
    <n v="8043"/>
    <n v="18"/>
    <n v="446.83333333333331"/>
    <x v="1"/>
    <s v="Q3"/>
    <s v="Large"/>
  </r>
  <r>
    <x v="18"/>
    <x v="3"/>
    <x v="0"/>
    <x v="125"/>
    <n v="11662"/>
    <n v="242"/>
    <n v="48.190082644628099"/>
    <x v="1"/>
    <s v="Q3"/>
    <s v="Large"/>
  </r>
  <r>
    <x v="18"/>
    <x v="2"/>
    <x v="13"/>
    <x v="26"/>
    <n v="392"/>
    <n v="102"/>
    <n v="3.8431372549019609"/>
    <x v="5"/>
    <s v="Q2"/>
    <s v="Small"/>
  </r>
  <r>
    <x v="17"/>
    <x v="0"/>
    <x v="2"/>
    <x v="64"/>
    <n v="8925"/>
    <n v="158"/>
    <n v="56.4873417721519"/>
    <x v="4"/>
    <s v="Q1"/>
    <s v="Large"/>
  </r>
  <r>
    <x v="10"/>
    <x v="2"/>
    <x v="16"/>
    <x v="51"/>
    <n v="7294"/>
    <n v="128"/>
    <n v="56.984375"/>
    <x v="2"/>
    <s v="Q3"/>
    <s v="Large"/>
  </r>
  <r>
    <x v="17"/>
    <x v="1"/>
    <x v="11"/>
    <x v="126"/>
    <n v="1526"/>
    <n v="96"/>
    <n v="15.895833333333334"/>
    <x v="3"/>
    <s v="Q2"/>
    <s v="Large"/>
  </r>
  <r>
    <x v="24"/>
    <x v="0"/>
    <x v="0"/>
    <x v="70"/>
    <n v="2688"/>
    <n v="209"/>
    <n v="12.861244019138756"/>
    <x v="3"/>
    <s v="Q2"/>
    <s v="Large"/>
  </r>
  <r>
    <x v="15"/>
    <x v="2"/>
    <x v="6"/>
    <x v="125"/>
    <n v="14889"/>
    <n v="52"/>
    <n v="286.32692307692309"/>
    <x v="1"/>
    <s v="Q3"/>
    <s v="Large"/>
  </r>
  <r>
    <x v="3"/>
    <x v="1"/>
    <x v="13"/>
    <x v="116"/>
    <n v="2912"/>
    <n v="55"/>
    <n v="52.945454545454545"/>
    <x v="7"/>
    <s v="Q2"/>
    <s v="Large"/>
  </r>
  <r>
    <x v="9"/>
    <x v="4"/>
    <x v="1"/>
    <x v="29"/>
    <n v="2632"/>
    <n v="108"/>
    <n v="24.37037037037037"/>
    <x v="7"/>
    <s v="Q2"/>
    <s v="Large"/>
  </r>
  <r>
    <x v="9"/>
    <x v="4"/>
    <x v="8"/>
    <x v="127"/>
    <n v="6328"/>
    <n v="51"/>
    <n v="124.07843137254902"/>
    <x v="6"/>
    <s v="Q1"/>
    <s v="Large"/>
  </r>
  <r>
    <x v="17"/>
    <x v="5"/>
    <x v="12"/>
    <x v="50"/>
    <n v="2527"/>
    <n v="216"/>
    <n v="11.699074074074074"/>
    <x v="1"/>
    <s v="Q3"/>
    <s v="Large"/>
  </r>
  <r>
    <x v="17"/>
    <x v="4"/>
    <x v="13"/>
    <x v="116"/>
    <n v="1414"/>
    <n v="318"/>
    <n v="4.4465408805031448"/>
    <x v="7"/>
    <s v="Q2"/>
    <s v="Large"/>
  </r>
  <r>
    <x v="20"/>
    <x v="4"/>
    <x v="4"/>
    <x v="61"/>
    <n v="7714"/>
    <n v="238"/>
    <n v="32.411764705882355"/>
    <x v="1"/>
    <s v="Q3"/>
    <s v="Large"/>
  </r>
  <r>
    <x v="23"/>
    <x v="5"/>
    <x v="17"/>
    <x v="13"/>
    <n v="4347"/>
    <n v="238"/>
    <n v="18.264705882352942"/>
    <x v="1"/>
    <s v="Q3"/>
    <s v="Large"/>
  </r>
  <r>
    <x v="11"/>
    <x v="3"/>
    <x v="11"/>
    <x v="102"/>
    <n v="7490"/>
    <n v="315"/>
    <n v="23.777777777777779"/>
    <x v="0"/>
    <s v="Q1"/>
    <s v="Large"/>
  </r>
  <r>
    <x v="22"/>
    <x v="2"/>
    <x v="18"/>
    <x v="70"/>
    <n v="2058"/>
    <n v="72"/>
    <n v="28.583333333333332"/>
    <x v="3"/>
    <s v="Q2"/>
    <s v="Large"/>
  </r>
  <r>
    <x v="20"/>
    <x v="0"/>
    <x v="7"/>
    <x v="1"/>
    <n v="3640"/>
    <n v="3"/>
    <n v="1213.3333333333333"/>
    <x v="1"/>
    <s v="Q3"/>
    <s v="Large"/>
  </r>
  <r>
    <x v="17"/>
    <x v="5"/>
    <x v="8"/>
    <x v="111"/>
    <n v="455"/>
    <n v="45"/>
    <n v="10.111111111111111"/>
    <x v="6"/>
    <s v="Q1"/>
    <s v="Small"/>
  </r>
  <r>
    <x v="10"/>
    <x v="1"/>
    <x v="0"/>
    <x v="42"/>
    <n v="10990"/>
    <n v="184"/>
    <n v="59.728260869565219"/>
    <x v="2"/>
    <s v="Q3"/>
    <s v="Large"/>
  </r>
  <r>
    <x v="8"/>
    <x v="3"/>
    <x v="16"/>
    <x v="10"/>
    <n v="5558"/>
    <n v="127"/>
    <n v="43.763779527559052"/>
    <x v="0"/>
    <s v="Q1"/>
    <s v="Large"/>
  </r>
  <r>
    <x v="9"/>
    <x v="2"/>
    <x v="1"/>
    <x v="56"/>
    <n v="2541"/>
    <n v="53"/>
    <n v="47.943396226415096"/>
    <x v="1"/>
    <s v="Q3"/>
    <s v="Large"/>
  </r>
  <r>
    <x v="24"/>
    <x v="5"/>
    <x v="8"/>
    <x v="53"/>
    <n v="1876"/>
    <n v="172"/>
    <n v="10.906976744186046"/>
    <x v="0"/>
    <s v="Q1"/>
    <s v="Large"/>
  </r>
  <r>
    <x v="2"/>
    <x v="2"/>
    <x v="14"/>
    <x v="29"/>
    <n v="5523"/>
    <n v="87"/>
    <n v="63.482758620689658"/>
    <x v="7"/>
    <s v="Q2"/>
    <s v="Large"/>
  </r>
  <r>
    <x v="12"/>
    <x v="3"/>
    <x v="1"/>
    <x v="128"/>
    <n v="11200"/>
    <n v="22"/>
    <n v="509.09090909090907"/>
    <x v="1"/>
    <s v="Q3"/>
    <s v="Large"/>
  </r>
  <r>
    <x v="16"/>
    <x v="4"/>
    <x v="20"/>
    <x v="129"/>
    <n v="5593"/>
    <n v="122"/>
    <n v="45.844262295081968"/>
    <x v="2"/>
    <s v="Q3"/>
    <s v="Large"/>
  </r>
  <r>
    <x v="9"/>
    <x v="2"/>
    <x v="16"/>
    <x v="1"/>
    <n v="7882"/>
    <n v="125"/>
    <n v="63.055999999999997"/>
    <x v="1"/>
    <s v="Q3"/>
    <s v="Large"/>
  </r>
  <r>
    <x v="6"/>
    <x v="5"/>
    <x v="1"/>
    <x v="20"/>
    <n v="10241"/>
    <n v="259"/>
    <n v="39.54054054054054"/>
    <x v="4"/>
    <s v="Q1"/>
    <s v="Large"/>
  </r>
  <r>
    <x v="6"/>
    <x v="2"/>
    <x v="9"/>
    <x v="109"/>
    <n v="6832"/>
    <n v="156"/>
    <n v="43.794871794871796"/>
    <x v="2"/>
    <s v="Q3"/>
    <s v="Large"/>
  </r>
  <r>
    <x v="23"/>
    <x v="4"/>
    <x v="7"/>
    <x v="37"/>
    <n v="1379"/>
    <n v="107"/>
    <n v="12.88785046728972"/>
    <x v="4"/>
    <s v="Q1"/>
    <s v="Large"/>
  </r>
  <r>
    <x v="7"/>
    <x v="2"/>
    <x v="6"/>
    <x v="127"/>
    <n v="3010"/>
    <n v="40"/>
    <n v="75.25"/>
    <x v="6"/>
    <s v="Q1"/>
    <s v="Large"/>
  </r>
  <r>
    <x v="17"/>
    <x v="1"/>
    <x v="4"/>
    <x v="130"/>
    <n v="6888"/>
    <n v="311"/>
    <n v="22.14790996784566"/>
    <x v="5"/>
    <s v="Q2"/>
    <s v="Large"/>
  </r>
  <r>
    <x v="14"/>
    <x v="0"/>
    <x v="14"/>
    <x v="131"/>
    <n v="1540"/>
    <n v="73"/>
    <n v="21.095890410958905"/>
    <x v="4"/>
    <s v="Q1"/>
    <s v="Large"/>
  </r>
  <r>
    <x v="20"/>
    <x v="2"/>
    <x v="5"/>
    <x v="52"/>
    <n v="6916"/>
    <n v="288"/>
    <n v="24.013888888888889"/>
    <x v="6"/>
    <s v="Q1"/>
    <s v="Large"/>
  </r>
  <r>
    <x v="2"/>
    <x v="0"/>
    <x v="13"/>
    <x v="81"/>
    <n v="1232"/>
    <n v="86"/>
    <n v="14.325581395348838"/>
    <x v="3"/>
    <s v="Q2"/>
    <s v="Large"/>
  </r>
  <r>
    <x v="5"/>
    <x v="2"/>
    <x v="17"/>
    <x v="103"/>
    <n v="602"/>
    <n v="72"/>
    <n v="8.3611111111111107"/>
    <x v="6"/>
    <s v="Q1"/>
    <s v="Large"/>
  </r>
  <r>
    <x v="14"/>
    <x v="0"/>
    <x v="13"/>
    <x v="132"/>
    <n v="10927"/>
    <n v="136"/>
    <n v="80.345588235294116"/>
    <x v="5"/>
    <s v="Q2"/>
    <s v="Large"/>
  </r>
  <r>
    <x v="8"/>
    <x v="5"/>
    <x v="6"/>
    <x v="40"/>
    <n v="10185"/>
    <n v="303"/>
    <n v="33.613861386138616"/>
    <x v="2"/>
    <s v="Q3"/>
    <s v="Large"/>
  </r>
  <r>
    <x v="14"/>
    <x v="4"/>
    <x v="12"/>
    <x v="36"/>
    <n v="1603"/>
    <n v="264"/>
    <n v="6.0719696969696972"/>
    <x v="2"/>
    <s v="Q3"/>
    <s v="Large"/>
  </r>
  <r>
    <x v="6"/>
    <x v="1"/>
    <x v="16"/>
    <x v="10"/>
    <n v="2170"/>
    <n v="218"/>
    <n v="9.9541284403669721"/>
    <x v="0"/>
    <s v="Q1"/>
    <s v="Large"/>
  </r>
  <r>
    <x v="4"/>
    <x v="3"/>
    <x v="3"/>
    <x v="2"/>
    <n v="8673"/>
    <n v="60"/>
    <n v="144.55000000000001"/>
    <x v="2"/>
    <s v="Q3"/>
    <s v="Large"/>
  </r>
  <r>
    <x v="3"/>
    <x v="1"/>
    <x v="1"/>
    <x v="63"/>
    <n v="4760"/>
    <n v="418"/>
    <n v="11.387559808612441"/>
    <x v="7"/>
    <s v="Q2"/>
    <s v="Large"/>
  </r>
  <r>
    <x v="11"/>
    <x v="1"/>
    <x v="13"/>
    <x v="100"/>
    <n v="4753"/>
    <n v="151"/>
    <n v="31.476821192052981"/>
    <x v="3"/>
    <s v="Q2"/>
    <s v="Large"/>
  </r>
  <r>
    <x v="19"/>
    <x v="3"/>
    <x v="6"/>
    <x v="52"/>
    <n v="3374"/>
    <n v="202"/>
    <n v="16.702970297029704"/>
    <x v="6"/>
    <s v="Q1"/>
    <s v="Large"/>
  </r>
  <r>
    <x v="5"/>
    <x v="5"/>
    <x v="17"/>
    <x v="130"/>
    <n v="2058"/>
    <n v="126"/>
    <n v="16.333333333333332"/>
    <x v="5"/>
    <s v="Q2"/>
    <s v="Large"/>
  </r>
  <r>
    <x v="20"/>
    <x v="4"/>
    <x v="9"/>
    <x v="68"/>
    <n v="6454"/>
    <n v="160"/>
    <n v="40.337499999999999"/>
    <x v="2"/>
    <s v="Q3"/>
    <s v="Large"/>
  </r>
  <r>
    <x v="1"/>
    <x v="5"/>
    <x v="14"/>
    <x v="127"/>
    <n v="420"/>
    <n v="3"/>
    <n v="140"/>
    <x v="6"/>
    <s v="Q1"/>
    <s v="Small"/>
  </r>
  <r>
    <x v="7"/>
    <x v="4"/>
    <x v="19"/>
    <x v="133"/>
    <n v="2863"/>
    <n v="58"/>
    <n v="49.362068965517238"/>
    <x v="5"/>
    <s v="Q2"/>
    <s v="Large"/>
  </r>
  <r>
    <x v="1"/>
    <x v="2"/>
    <x v="20"/>
    <x v="134"/>
    <n v="5936"/>
    <n v="59"/>
    <n v="100.61016949152543"/>
    <x v="7"/>
    <s v="Q2"/>
    <s v="Large"/>
  </r>
  <r>
    <x v="24"/>
    <x v="3"/>
    <x v="2"/>
    <x v="72"/>
    <n v="889"/>
    <n v="273"/>
    <n v="3.2564102564102564"/>
    <x v="6"/>
    <s v="Q1"/>
    <s v="Large"/>
  </r>
  <r>
    <x v="20"/>
    <x v="5"/>
    <x v="11"/>
    <x v="2"/>
    <n v="16016"/>
    <n v="28"/>
    <n v="572"/>
    <x v="2"/>
    <s v="Q3"/>
    <s v="Large"/>
  </r>
  <r>
    <x v="17"/>
    <x v="5"/>
    <x v="18"/>
    <x v="10"/>
    <n v="10479"/>
    <n v="118"/>
    <n v="88.805084745762713"/>
    <x v="0"/>
    <s v="Q1"/>
    <s v="Large"/>
  </r>
  <r>
    <x v="14"/>
    <x v="2"/>
    <x v="16"/>
    <x v="57"/>
    <n v="2912"/>
    <n v="75"/>
    <n v="38.826666666666668"/>
    <x v="2"/>
    <s v="Q3"/>
    <s v="Large"/>
  </r>
  <r>
    <x v="22"/>
    <x v="2"/>
    <x v="1"/>
    <x v="86"/>
    <n v="1575"/>
    <n v="329"/>
    <n v="4.7872340425531918"/>
    <x v="5"/>
    <s v="Q2"/>
    <s v="Large"/>
  </r>
  <r>
    <x v="2"/>
    <x v="0"/>
    <x v="6"/>
    <x v="135"/>
    <n v="8197"/>
    <n v="69"/>
    <n v="118.79710144927536"/>
    <x v="2"/>
    <s v="Q3"/>
    <s v="Large"/>
  </r>
  <r>
    <x v="24"/>
    <x v="0"/>
    <x v="15"/>
    <x v="21"/>
    <n v="4221"/>
    <n v="395"/>
    <n v="10.686075949367089"/>
    <x v="7"/>
    <s v="Q2"/>
    <s v="Large"/>
  </r>
  <r>
    <x v="2"/>
    <x v="0"/>
    <x v="21"/>
    <x v="136"/>
    <n v="840"/>
    <n v="81"/>
    <n v="10.37037037037037"/>
    <x v="5"/>
    <s v="Q2"/>
    <s v="Large"/>
  </r>
  <r>
    <x v="0"/>
    <x v="2"/>
    <x v="2"/>
    <x v="132"/>
    <n v="5691"/>
    <n v="38"/>
    <n v="149.76315789473685"/>
    <x v="5"/>
    <s v="Q2"/>
    <s v="Large"/>
  </r>
  <r>
    <x v="11"/>
    <x v="1"/>
    <x v="8"/>
    <x v="10"/>
    <n v="3472"/>
    <n v="96"/>
    <n v="36.166666666666664"/>
    <x v="0"/>
    <s v="Q1"/>
    <s v="Large"/>
  </r>
  <r>
    <x v="14"/>
    <x v="5"/>
    <x v="13"/>
    <x v="92"/>
    <n v="4193"/>
    <n v="195"/>
    <n v="21.502564102564104"/>
    <x v="3"/>
    <s v="Q2"/>
    <s v="Large"/>
  </r>
  <r>
    <x v="16"/>
    <x v="0"/>
    <x v="3"/>
    <x v="18"/>
    <n v="9016"/>
    <n v="554"/>
    <n v="16.274368231046932"/>
    <x v="5"/>
    <s v="Q2"/>
    <s v="Large"/>
  </r>
  <r>
    <x v="10"/>
    <x v="5"/>
    <x v="12"/>
    <x v="73"/>
    <n v="6328"/>
    <n v="47"/>
    <n v="134.63829787234042"/>
    <x v="1"/>
    <s v="Q3"/>
    <s v="Large"/>
  </r>
  <r>
    <x v="20"/>
    <x v="4"/>
    <x v="10"/>
    <x v="129"/>
    <n v="9870"/>
    <n v="152"/>
    <n v="64.934210526315795"/>
    <x v="2"/>
    <s v="Q3"/>
    <s v="Large"/>
  </r>
  <r>
    <x v="14"/>
    <x v="1"/>
    <x v="12"/>
    <x v="55"/>
    <n v="161"/>
    <n v="134"/>
    <n v="1.2014925373134329"/>
    <x v="5"/>
    <s v="Q2"/>
    <s v="Small"/>
  </r>
  <r>
    <x v="13"/>
    <x v="1"/>
    <x v="5"/>
    <x v="137"/>
    <n v="2576"/>
    <n v="112"/>
    <n v="23"/>
    <x v="5"/>
    <s v="Q2"/>
    <s v="Large"/>
  </r>
  <r>
    <x v="21"/>
    <x v="2"/>
    <x v="20"/>
    <x v="138"/>
    <n v="3178"/>
    <n v="16"/>
    <n v="198.625"/>
    <x v="7"/>
    <s v="Q2"/>
    <s v="Large"/>
  </r>
  <r>
    <x v="14"/>
    <x v="2"/>
    <x v="4"/>
    <x v="101"/>
    <n v="4676"/>
    <n v="84"/>
    <n v="55.666666666666664"/>
    <x v="0"/>
    <s v="Q1"/>
    <s v="Large"/>
  </r>
  <r>
    <x v="9"/>
    <x v="0"/>
    <x v="6"/>
    <x v="84"/>
    <n v="5502"/>
    <n v="99"/>
    <n v="55.575757575757578"/>
    <x v="4"/>
    <s v="Q1"/>
    <s v="Large"/>
  </r>
  <r>
    <x v="24"/>
    <x v="5"/>
    <x v="19"/>
    <x v="139"/>
    <n v="7462"/>
    <n v="371"/>
    <n v="20.113207547169811"/>
    <x v="6"/>
    <s v="Q1"/>
    <s v="Large"/>
  </r>
  <r>
    <x v="1"/>
    <x v="0"/>
    <x v="9"/>
    <x v="92"/>
    <n v="5803"/>
    <n v="136"/>
    <n v="42.669117647058826"/>
    <x v="3"/>
    <s v="Q2"/>
    <s v="Large"/>
  </r>
  <r>
    <x v="5"/>
    <x v="5"/>
    <x v="13"/>
    <x v="7"/>
    <n v="13888"/>
    <n v="203"/>
    <n v="68.41379310344827"/>
    <x v="6"/>
    <s v="Q1"/>
    <s v="Large"/>
  </r>
  <r>
    <x v="5"/>
    <x v="3"/>
    <x v="12"/>
    <x v="44"/>
    <n v="6867"/>
    <n v="183"/>
    <n v="37.524590163934427"/>
    <x v="5"/>
    <s v="Q2"/>
    <s v="Large"/>
  </r>
  <r>
    <x v="5"/>
    <x v="2"/>
    <x v="9"/>
    <x v="102"/>
    <n v="2317"/>
    <n v="195"/>
    <n v="11.882051282051282"/>
    <x v="0"/>
    <s v="Q1"/>
    <s v="Large"/>
  </r>
  <r>
    <x v="10"/>
    <x v="3"/>
    <x v="13"/>
    <x v="64"/>
    <n v="1218"/>
    <n v="135"/>
    <n v="9.0222222222222221"/>
    <x v="4"/>
    <s v="Q1"/>
    <s v="Large"/>
  </r>
  <r>
    <x v="17"/>
    <x v="3"/>
    <x v="9"/>
    <x v="124"/>
    <n v="4109"/>
    <n v="197"/>
    <n v="20.857868020304569"/>
    <x v="0"/>
    <s v="Q1"/>
    <s v="Large"/>
  </r>
  <r>
    <x v="0"/>
    <x v="1"/>
    <x v="4"/>
    <x v="75"/>
    <n v="1953"/>
    <n v="242"/>
    <n v="8.0702479338842981"/>
    <x v="4"/>
    <s v="Q1"/>
    <s v="Large"/>
  </r>
  <r>
    <x v="23"/>
    <x v="2"/>
    <x v="0"/>
    <x v="1"/>
    <n v="6790"/>
    <n v="25"/>
    <n v="271.60000000000002"/>
    <x v="1"/>
    <s v="Q3"/>
    <s v="Large"/>
  </r>
  <r>
    <x v="13"/>
    <x v="2"/>
    <x v="0"/>
    <x v="140"/>
    <n v="6797"/>
    <n v="252"/>
    <n v="26.972222222222221"/>
    <x v="7"/>
    <s v="Q2"/>
    <s v="Large"/>
  </r>
  <r>
    <x v="22"/>
    <x v="3"/>
    <x v="17"/>
    <x v="43"/>
    <n v="9226"/>
    <n v="415"/>
    <n v="22.231325301204819"/>
    <x v="7"/>
    <s v="Q2"/>
    <s v="Large"/>
  </r>
  <r>
    <x v="23"/>
    <x v="3"/>
    <x v="18"/>
    <x v="0"/>
    <n v="5733"/>
    <n v="348"/>
    <n v="16.474137931034484"/>
    <x v="0"/>
    <s v="Q1"/>
    <s v="Large"/>
  </r>
  <r>
    <x v="13"/>
    <x v="3"/>
    <x v="6"/>
    <x v="122"/>
    <n v="4312"/>
    <n v="211"/>
    <n v="20.436018957345972"/>
    <x v="7"/>
    <s v="Q2"/>
    <s v="Large"/>
  </r>
  <r>
    <x v="7"/>
    <x v="1"/>
    <x v="3"/>
    <x v="141"/>
    <n v="1638"/>
    <n v="81"/>
    <n v="20.222222222222221"/>
    <x v="7"/>
    <s v="Q2"/>
    <s v="Large"/>
  </r>
  <r>
    <x v="15"/>
    <x v="0"/>
    <x v="14"/>
    <x v="10"/>
    <n v="10815"/>
    <n v="145"/>
    <n v="74.58620689655173"/>
    <x v="0"/>
    <s v="Q1"/>
    <s v="Large"/>
  </r>
  <r>
    <x v="13"/>
    <x v="2"/>
    <x v="16"/>
    <x v="132"/>
    <n v="4466"/>
    <n v="74"/>
    <n v="60.351351351351354"/>
    <x v="5"/>
    <s v="Q2"/>
    <s v="Large"/>
  </r>
  <r>
    <x v="1"/>
    <x v="4"/>
    <x v="20"/>
    <x v="15"/>
    <n v="987"/>
    <n v="21"/>
    <n v="47"/>
    <x v="4"/>
    <s v="Q1"/>
    <s v="Large"/>
  </r>
  <r>
    <x v="21"/>
    <x v="2"/>
    <x v="4"/>
    <x v="93"/>
    <n v="4669"/>
    <n v="101"/>
    <n v="46.227722772277225"/>
    <x v="0"/>
    <s v="Q1"/>
    <s v="Large"/>
  </r>
  <r>
    <x v="16"/>
    <x v="1"/>
    <x v="11"/>
    <x v="138"/>
    <n v="2905"/>
    <n v="91"/>
    <n v="31.923076923076923"/>
    <x v="7"/>
    <s v="Q2"/>
    <s v="Large"/>
  </r>
  <r>
    <x v="24"/>
    <x v="2"/>
    <x v="3"/>
    <x v="45"/>
    <n v="7490"/>
    <n v="54"/>
    <n v="138.7037037037037"/>
    <x v="7"/>
    <s v="Q2"/>
    <s v="Large"/>
  </r>
  <r>
    <x v="9"/>
    <x v="4"/>
    <x v="16"/>
    <x v="82"/>
    <n v="6986"/>
    <n v="368"/>
    <n v="18.983695652173914"/>
    <x v="0"/>
    <s v="Q1"/>
    <s v="Large"/>
  </r>
  <r>
    <x v="16"/>
    <x v="5"/>
    <x v="4"/>
    <x v="132"/>
    <n v="1288"/>
    <n v="409"/>
    <n v="3.1491442542787285"/>
    <x v="5"/>
    <s v="Q2"/>
    <s v="Large"/>
  </r>
  <r>
    <x v="4"/>
    <x v="0"/>
    <x v="5"/>
    <x v="135"/>
    <n v="2345"/>
    <n v="104"/>
    <n v="22.548076923076923"/>
    <x v="2"/>
    <s v="Q3"/>
    <s v="Large"/>
  </r>
  <r>
    <x v="5"/>
    <x v="0"/>
    <x v="8"/>
    <x v="100"/>
    <n v="3619"/>
    <n v="164"/>
    <n v="22.067073170731707"/>
    <x v="3"/>
    <s v="Q2"/>
    <s v="Large"/>
  </r>
  <r>
    <x v="23"/>
    <x v="4"/>
    <x v="20"/>
    <x v="35"/>
    <n v="16982"/>
    <n v="76"/>
    <n v="223.44736842105263"/>
    <x v="3"/>
    <s v="Q2"/>
    <s v="Large"/>
  </r>
  <r>
    <x v="3"/>
    <x v="1"/>
    <x v="2"/>
    <x v="0"/>
    <n v="8092"/>
    <n v="178"/>
    <n v="45.460674157303373"/>
    <x v="0"/>
    <s v="Q1"/>
    <s v="Large"/>
  </r>
  <r>
    <x v="15"/>
    <x v="2"/>
    <x v="8"/>
    <x v="9"/>
    <n v="6993"/>
    <n v="31"/>
    <n v="225.58064516129033"/>
    <x v="2"/>
    <s v="Q3"/>
    <s v="Large"/>
  </r>
  <r>
    <x v="12"/>
    <x v="4"/>
    <x v="3"/>
    <x v="7"/>
    <n v="2317"/>
    <n v="352"/>
    <n v="6.5823863636363633"/>
    <x v="6"/>
    <s v="Q1"/>
    <s v="Large"/>
  </r>
  <r>
    <x v="21"/>
    <x v="2"/>
    <x v="15"/>
    <x v="103"/>
    <n v="637"/>
    <n v="169"/>
    <n v="3.7692307692307692"/>
    <x v="6"/>
    <s v="Q1"/>
    <s v="Large"/>
  </r>
  <r>
    <x v="4"/>
    <x v="2"/>
    <x v="16"/>
    <x v="142"/>
    <n v="6034"/>
    <n v="223"/>
    <n v="27.058295964125559"/>
    <x v="4"/>
    <s v="Q1"/>
    <s v="Large"/>
  </r>
  <r>
    <x v="3"/>
    <x v="4"/>
    <x v="7"/>
    <x v="28"/>
    <n v="980"/>
    <n v="146"/>
    <n v="6.7123287671232879"/>
    <x v="5"/>
    <s v="Q2"/>
    <s v="Large"/>
  </r>
  <r>
    <x v="2"/>
    <x v="4"/>
    <x v="13"/>
    <x v="27"/>
    <n v="2821"/>
    <n v="112"/>
    <n v="25.1875"/>
    <x v="7"/>
    <s v="Q2"/>
    <s v="Large"/>
  </r>
  <r>
    <x v="9"/>
    <x v="0"/>
    <x v="11"/>
    <x v="53"/>
    <n v="3563"/>
    <n v="284"/>
    <n v="12.545774647887324"/>
    <x v="0"/>
    <s v="Q1"/>
    <s v="Large"/>
  </r>
  <r>
    <x v="14"/>
    <x v="4"/>
    <x v="17"/>
    <x v="111"/>
    <n v="2996"/>
    <n v="139"/>
    <n v="21.553956834532375"/>
    <x v="6"/>
    <s v="Q1"/>
    <s v="Large"/>
  </r>
  <r>
    <x v="11"/>
    <x v="5"/>
    <x v="11"/>
    <x v="143"/>
    <n v="2436"/>
    <n v="309"/>
    <n v="7.883495145631068"/>
    <x v="4"/>
    <s v="Q1"/>
    <s v="Large"/>
  </r>
  <r>
    <x v="6"/>
    <x v="1"/>
    <x v="20"/>
    <x v="75"/>
    <n v="1540"/>
    <n v="100"/>
    <n v="15.4"/>
    <x v="4"/>
    <s v="Q1"/>
    <s v="Large"/>
  </r>
  <r>
    <x v="5"/>
    <x v="4"/>
    <x v="8"/>
    <x v="144"/>
    <n v="6916"/>
    <n v="42"/>
    <n v="164.66666666666666"/>
    <x v="7"/>
    <s v="Q2"/>
    <s v="Large"/>
  </r>
  <r>
    <x v="13"/>
    <x v="4"/>
    <x v="13"/>
    <x v="107"/>
    <n v="5509"/>
    <n v="24"/>
    <n v="229.54166666666666"/>
    <x v="5"/>
    <s v="Q2"/>
    <s v="Large"/>
  </r>
  <r>
    <x v="5"/>
    <x v="1"/>
    <x v="6"/>
    <x v="145"/>
    <n v="12992"/>
    <n v="83"/>
    <n v="156.53012048192772"/>
    <x v="1"/>
    <s v="Q3"/>
    <s v="Large"/>
  </r>
  <r>
    <x v="18"/>
    <x v="3"/>
    <x v="15"/>
    <x v="36"/>
    <n v="3724"/>
    <n v="234"/>
    <n v="15.914529914529915"/>
    <x v="2"/>
    <s v="Q3"/>
    <s v="Large"/>
  </r>
  <r>
    <x v="16"/>
    <x v="0"/>
    <x v="15"/>
    <x v="102"/>
    <n v="7133"/>
    <n v="118"/>
    <n v="60.449152542372879"/>
    <x v="0"/>
    <s v="Q1"/>
    <s v="Large"/>
  </r>
  <r>
    <x v="1"/>
    <x v="5"/>
    <x v="15"/>
    <x v="4"/>
    <n v="8617"/>
    <n v="46"/>
    <n v="187.32608695652175"/>
    <x v="4"/>
    <s v="Q1"/>
    <s v="Large"/>
  </r>
  <r>
    <x v="18"/>
    <x v="3"/>
    <x v="16"/>
    <x v="111"/>
    <n v="9198"/>
    <n v="144"/>
    <n v="63.875"/>
    <x v="6"/>
    <s v="Q1"/>
    <s v="Large"/>
  </r>
  <r>
    <x v="4"/>
    <x v="3"/>
    <x v="19"/>
    <x v="91"/>
    <n v="11823"/>
    <n v="47"/>
    <n v="251.55319148936169"/>
    <x v="3"/>
    <s v="Q2"/>
    <s v="Large"/>
  </r>
  <r>
    <x v="17"/>
    <x v="2"/>
    <x v="10"/>
    <x v="146"/>
    <n v="5775"/>
    <n v="41"/>
    <n v="140.85365853658536"/>
    <x v="7"/>
    <s v="Q2"/>
    <s v="Large"/>
  </r>
  <r>
    <x v="11"/>
    <x v="2"/>
    <x v="12"/>
    <x v="130"/>
    <n v="13125"/>
    <n v="275"/>
    <n v="47.727272727272727"/>
    <x v="5"/>
    <s v="Q2"/>
    <s v="Large"/>
  </r>
  <r>
    <x v="12"/>
    <x v="5"/>
    <x v="3"/>
    <x v="23"/>
    <n v="14287"/>
    <n v="370"/>
    <n v="38.61351351351351"/>
    <x v="4"/>
    <s v="Q1"/>
    <s v="Large"/>
  </r>
  <r>
    <x v="6"/>
    <x v="4"/>
    <x v="10"/>
    <x v="63"/>
    <n v="16233"/>
    <n v="138"/>
    <n v="117.6304347826087"/>
    <x v="7"/>
    <s v="Q2"/>
    <s v="Large"/>
  </r>
  <r>
    <x v="13"/>
    <x v="3"/>
    <x v="19"/>
    <x v="105"/>
    <n v="5313"/>
    <n v="215"/>
    <n v="24.711627906976744"/>
    <x v="4"/>
    <s v="Q1"/>
    <s v="Large"/>
  </r>
  <r>
    <x v="1"/>
    <x v="0"/>
    <x v="1"/>
    <x v="36"/>
    <n v="3577"/>
    <n v="134"/>
    <n v="26.694029850746269"/>
    <x v="2"/>
    <s v="Q3"/>
    <s v="Large"/>
  </r>
  <r>
    <x v="11"/>
    <x v="5"/>
    <x v="12"/>
    <x v="67"/>
    <n v="3528"/>
    <n v="336"/>
    <n v="10.5"/>
    <x v="0"/>
    <s v="Q1"/>
    <s v="Large"/>
  </r>
  <r>
    <x v="7"/>
    <x v="3"/>
    <x v="21"/>
    <x v="32"/>
    <n v="679"/>
    <n v="280"/>
    <n v="2.4249999999999998"/>
    <x v="1"/>
    <s v="Q3"/>
    <s v="Large"/>
  </r>
  <r>
    <x v="12"/>
    <x v="4"/>
    <x v="6"/>
    <x v="12"/>
    <n v="2450"/>
    <n v="352"/>
    <n v="6.9602272727272725"/>
    <x v="2"/>
    <s v="Q3"/>
    <s v="Large"/>
  </r>
  <r>
    <x v="6"/>
    <x v="4"/>
    <x v="0"/>
    <x v="63"/>
    <n v="10577"/>
    <n v="150"/>
    <n v="70.513333333333335"/>
    <x v="7"/>
    <s v="Q2"/>
    <s v="Large"/>
  </r>
  <r>
    <x v="10"/>
    <x v="3"/>
    <x v="8"/>
    <x v="141"/>
    <n v="2597"/>
    <n v="177"/>
    <n v="14.672316384180791"/>
    <x v="7"/>
    <s v="Q2"/>
    <s v="Large"/>
  </r>
  <r>
    <x v="8"/>
    <x v="1"/>
    <x v="9"/>
    <x v="82"/>
    <n v="2219"/>
    <n v="142"/>
    <n v="15.626760563380282"/>
    <x v="0"/>
    <s v="Q1"/>
    <s v="Large"/>
  </r>
  <r>
    <x v="11"/>
    <x v="0"/>
    <x v="7"/>
    <x v="5"/>
    <n v="11319"/>
    <n v="12"/>
    <n v="943.25"/>
    <x v="5"/>
    <s v="Q2"/>
    <s v="Large"/>
  </r>
  <r>
    <x v="6"/>
    <x v="3"/>
    <x v="19"/>
    <x v="97"/>
    <n v="5978"/>
    <n v="24"/>
    <n v="249.08333333333334"/>
    <x v="2"/>
    <s v="Q3"/>
    <s v="Large"/>
  </r>
  <r>
    <x v="24"/>
    <x v="5"/>
    <x v="12"/>
    <x v="147"/>
    <n v="5327"/>
    <n v="183"/>
    <n v="29.10928961748634"/>
    <x v="1"/>
    <s v="Q3"/>
    <s v="Large"/>
  </r>
  <r>
    <x v="6"/>
    <x v="4"/>
    <x v="7"/>
    <x v="82"/>
    <n v="6020"/>
    <n v="147"/>
    <n v="40.952380952380949"/>
    <x v="0"/>
    <s v="Q1"/>
    <s v="Large"/>
  </r>
  <r>
    <x v="16"/>
    <x v="1"/>
    <x v="12"/>
    <x v="148"/>
    <n v="5614"/>
    <n v="137"/>
    <n v="40.978102189781019"/>
    <x v="1"/>
    <s v="Q3"/>
    <s v="Large"/>
  </r>
  <r>
    <x v="9"/>
    <x v="4"/>
    <x v="6"/>
    <x v="41"/>
    <n v="1736"/>
    <n v="13"/>
    <n v="133.53846153846155"/>
    <x v="3"/>
    <s v="Q2"/>
    <s v="Large"/>
  </r>
  <r>
    <x v="9"/>
    <x v="0"/>
    <x v="0"/>
    <x v="28"/>
    <n v="6384"/>
    <n v="2"/>
    <n v="3192"/>
    <x v="5"/>
    <s v="Q2"/>
    <s v="Large"/>
  </r>
  <r>
    <x v="12"/>
    <x v="1"/>
    <x v="18"/>
    <x v="4"/>
    <n v="3577"/>
    <n v="261"/>
    <n v="13.704980842911878"/>
    <x v="4"/>
    <s v="Q1"/>
    <s v="Large"/>
  </r>
  <r>
    <x v="22"/>
    <x v="0"/>
    <x v="3"/>
    <x v="72"/>
    <n v="14539"/>
    <n v="84"/>
    <n v="173.08333333333334"/>
    <x v="6"/>
    <s v="Q1"/>
    <s v="Large"/>
  </r>
  <r>
    <x v="2"/>
    <x v="1"/>
    <x v="8"/>
    <x v="136"/>
    <n v="3493"/>
    <n v="68"/>
    <n v="51.367647058823529"/>
    <x v="5"/>
    <s v="Q2"/>
    <s v="Large"/>
  </r>
  <r>
    <x v="7"/>
    <x v="2"/>
    <x v="10"/>
    <x v="14"/>
    <n v="994"/>
    <n v="105"/>
    <n v="9.4666666666666668"/>
    <x v="0"/>
    <s v="Q1"/>
    <s v="Large"/>
  </r>
  <r>
    <x v="4"/>
    <x v="3"/>
    <x v="14"/>
    <x v="39"/>
    <n v="4361"/>
    <n v="40"/>
    <n v="109.02500000000001"/>
    <x v="5"/>
    <s v="Q2"/>
    <s v="Large"/>
  </r>
  <r>
    <x v="19"/>
    <x v="0"/>
    <x v="9"/>
    <x v="123"/>
    <n v="1554"/>
    <n v="65"/>
    <n v="23.907692307692308"/>
    <x v="7"/>
    <s v="Q2"/>
    <s v="Large"/>
  </r>
  <r>
    <x v="20"/>
    <x v="1"/>
    <x v="11"/>
    <x v="35"/>
    <n v="966"/>
    <n v="107"/>
    <n v="9.0280373831775709"/>
    <x v="3"/>
    <s v="Q2"/>
    <s v="Large"/>
  </r>
  <r>
    <x v="10"/>
    <x v="3"/>
    <x v="20"/>
    <x v="60"/>
    <n v="5334"/>
    <n v="227"/>
    <n v="23.497797356828194"/>
    <x v="0"/>
    <s v="Q1"/>
    <s v="Large"/>
  </r>
  <r>
    <x v="19"/>
    <x v="3"/>
    <x v="10"/>
    <x v="72"/>
    <n v="4935"/>
    <n v="39"/>
    <n v="126.53846153846153"/>
    <x v="6"/>
    <s v="Q1"/>
    <s v="Large"/>
  </r>
  <r>
    <x v="8"/>
    <x v="3"/>
    <x v="5"/>
    <x v="41"/>
    <n v="10024"/>
    <n v="84"/>
    <n v="119.33333333333333"/>
    <x v="3"/>
    <s v="Q2"/>
    <s v="Large"/>
  </r>
  <r>
    <x v="12"/>
    <x v="0"/>
    <x v="16"/>
    <x v="45"/>
    <n v="2506"/>
    <n v="100"/>
    <n v="25.06"/>
    <x v="7"/>
    <s v="Q2"/>
    <s v="Large"/>
  </r>
  <r>
    <x v="4"/>
    <x v="2"/>
    <x v="17"/>
    <x v="20"/>
    <n v="1043"/>
    <n v="120"/>
    <n v="8.6916666666666664"/>
    <x v="4"/>
    <s v="Q1"/>
    <s v="Large"/>
  </r>
  <r>
    <x v="17"/>
    <x v="4"/>
    <x v="17"/>
    <x v="93"/>
    <n v="6524"/>
    <n v="257"/>
    <n v="25.3852140077821"/>
    <x v="0"/>
    <s v="Q1"/>
    <s v="Large"/>
  </r>
  <r>
    <x v="13"/>
    <x v="5"/>
    <x v="7"/>
    <x v="24"/>
    <n v="8148"/>
    <n v="85"/>
    <n v="95.858823529411765"/>
    <x v="4"/>
    <s v="Q1"/>
    <s v="Large"/>
  </r>
  <r>
    <x v="9"/>
    <x v="5"/>
    <x v="7"/>
    <x v="85"/>
    <n v="3577"/>
    <n v="178"/>
    <n v="20.09550561797753"/>
    <x v="6"/>
    <s v="Q1"/>
    <s v="Large"/>
  </r>
  <r>
    <x v="22"/>
    <x v="3"/>
    <x v="20"/>
    <x v="131"/>
    <n v="3374"/>
    <n v="151"/>
    <n v="22.344370860927153"/>
    <x v="4"/>
    <s v="Q1"/>
    <s v="Large"/>
  </r>
  <r>
    <x v="9"/>
    <x v="1"/>
    <x v="9"/>
    <x v="66"/>
    <n v="3948"/>
    <n v="142"/>
    <n v="27.802816901408452"/>
    <x v="6"/>
    <s v="Q1"/>
    <s v="Large"/>
  </r>
  <r>
    <x v="24"/>
    <x v="0"/>
    <x v="14"/>
    <x v="67"/>
    <n v="3269"/>
    <n v="226"/>
    <n v="14.464601769911505"/>
    <x v="0"/>
    <s v="Q1"/>
    <s v="Large"/>
  </r>
  <r>
    <x v="24"/>
    <x v="4"/>
    <x v="14"/>
    <x v="58"/>
    <n v="5271"/>
    <n v="341"/>
    <n v="15.457478005865102"/>
    <x v="4"/>
    <s v="Q1"/>
    <s v="Large"/>
  </r>
  <r>
    <x v="17"/>
    <x v="3"/>
    <x v="7"/>
    <x v="83"/>
    <n v="4571"/>
    <n v="140"/>
    <n v="32.65"/>
    <x v="6"/>
    <s v="Q1"/>
    <s v="Large"/>
  </r>
  <r>
    <x v="23"/>
    <x v="1"/>
    <x v="14"/>
    <x v="88"/>
    <n v="12327"/>
    <n v="330"/>
    <n v="37.354545454545452"/>
    <x v="1"/>
    <s v="Q3"/>
    <s v="Large"/>
  </r>
  <r>
    <x v="2"/>
    <x v="1"/>
    <x v="15"/>
    <x v="65"/>
    <n v="4935"/>
    <n v="73"/>
    <n v="67.602739726027394"/>
    <x v="7"/>
    <s v="Q2"/>
    <s v="Large"/>
  </r>
  <r>
    <x v="1"/>
    <x v="1"/>
    <x v="12"/>
    <x v="149"/>
    <n v="6167"/>
    <n v="4"/>
    <n v="1541.75"/>
    <x v="3"/>
    <s v="Q2"/>
    <s v="Large"/>
  </r>
  <r>
    <x v="3"/>
    <x v="3"/>
    <x v="0"/>
    <x v="30"/>
    <n v="18340"/>
    <n v="285"/>
    <n v="64.350877192982452"/>
    <x v="5"/>
    <s v="Q2"/>
    <s v="Large"/>
  </r>
  <r>
    <x v="23"/>
    <x v="3"/>
    <x v="14"/>
    <x v="26"/>
    <n v="7014"/>
    <n v="60"/>
    <n v="116.9"/>
    <x v="5"/>
    <s v="Q2"/>
    <s v="Large"/>
  </r>
  <r>
    <x v="7"/>
    <x v="5"/>
    <x v="20"/>
    <x v="1"/>
    <n v="7119"/>
    <n v="101"/>
    <n v="70.485148514851488"/>
    <x v="1"/>
    <s v="Q3"/>
    <s v="Large"/>
  </r>
  <r>
    <x v="16"/>
    <x v="4"/>
    <x v="11"/>
    <x v="26"/>
    <n v="15491"/>
    <n v="58"/>
    <n v="267.08620689655174"/>
    <x v="5"/>
    <s v="Q2"/>
    <s v="Large"/>
  </r>
  <r>
    <x v="6"/>
    <x v="1"/>
    <x v="5"/>
    <x v="86"/>
    <n v="5747"/>
    <n v="45"/>
    <n v="127.71111111111111"/>
    <x v="5"/>
    <s v="Q2"/>
    <s v="Large"/>
  </r>
  <r>
    <x v="4"/>
    <x v="3"/>
    <x v="17"/>
    <x v="110"/>
    <n v="4550"/>
    <n v="281"/>
    <n v="16.192170818505339"/>
    <x v="7"/>
    <s v="Q2"/>
    <s v="Large"/>
  </r>
  <r>
    <x v="17"/>
    <x v="4"/>
    <x v="9"/>
    <x v="146"/>
    <n v="2191"/>
    <n v="138"/>
    <n v="15.876811594202898"/>
    <x v="7"/>
    <s v="Q2"/>
    <s v="Large"/>
  </r>
  <r>
    <x v="4"/>
    <x v="1"/>
    <x v="8"/>
    <x v="74"/>
    <n v="5663"/>
    <n v="322"/>
    <n v="17.586956521739129"/>
    <x v="1"/>
    <s v="Q3"/>
    <s v="Large"/>
  </r>
  <r>
    <x v="24"/>
    <x v="3"/>
    <x v="10"/>
    <x v="42"/>
    <n v="7623"/>
    <n v="85"/>
    <n v="89.682352941176475"/>
    <x v="2"/>
    <s v="Q3"/>
    <s v="Large"/>
  </r>
  <r>
    <x v="2"/>
    <x v="0"/>
    <x v="19"/>
    <x v="45"/>
    <n v="9023"/>
    <n v="409"/>
    <n v="22.061124694376527"/>
    <x v="7"/>
    <s v="Q2"/>
    <s v="Large"/>
  </r>
  <r>
    <x v="3"/>
    <x v="2"/>
    <x v="6"/>
    <x v="107"/>
    <n v="3402"/>
    <n v="182"/>
    <n v="18.692307692307693"/>
    <x v="5"/>
    <s v="Q2"/>
    <s v="Large"/>
  </r>
  <r>
    <x v="12"/>
    <x v="2"/>
    <x v="3"/>
    <x v="6"/>
    <n v="10507"/>
    <n v="467"/>
    <n v="22.498929336188436"/>
    <x v="0"/>
    <s v="Q1"/>
    <s v="Large"/>
  </r>
  <r>
    <x v="24"/>
    <x v="4"/>
    <x v="10"/>
    <x v="12"/>
    <n v="7721"/>
    <n v="14"/>
    <n v="551.5"/>
    <x v="2"/>
    <s v="Q3"/>
    <s v="Large"/>
  </r>
  <r>
    <x v="6"/>
    <x v="5"/>
    <x v="0"/>
    <x v="82"/>
    <n v="5033"/>
    <n v="178"/>
    <n v="28.275280898876403"/>
    <x v="0"/>
    <s v="Q1"/>
    <s v="Large"/>
  </r>
  <r>
    <x v="16"/>
    <x v="0"/>
    <x v="7"/>
    <x v="28"/>
    <n v="1960"/>
    <n v="191"/>
    <n v="10.261780104712042"/>
    <x v="5"/>
    <s v="Q2"/>
    <s v="Large"/>
  </r>
  <r>
    <x v="10"/>
    <x v="2"/>
    <x v="21"/>
    <x v="132"/>
    <n v="238"/>
    <n v="317"/>
    <n v="0.75078864353312302"/>
    <x v="5"/>
    <s v="Q2"/>
    <s v="Small"/>
  </r>
  <r>
    <x v="5"/>
    <x v="5"/>
    <x v="0"/>
    <x v="114"/>
    <n v="7756"/>
    <n v="410"/>
    <n v="18.917073170731708"/>
    <x v="2"/>
    <s v="Q3"/>
    <s v="Large"/>
  </r>
  <r>
    <x v="13"/>
    <x v="4"/>
    <x v="2"/>
    <x v="75"/>
    <n v="1736"/>
    <n v="137"/>
    <n v="12.671532846715328"/>
    <x v="4"/>
    <s v="Q1"/>
    <s v="Large"/>
  </r>
  <r>
    <x v="14"/>
    <x v="5"/>
    <x v="3"/>
    <x v="1"/>
    <n v="2660"/>
    <n v="12"/>
    <n v="221.66666666666666"/>
    <x v="1"/>
    <s v="Q3"/>
    <s v="Large"/>
  </r>
  <r>
    <x v="4"/>
    <x v="2"/>
    <x v="11"/>
    <x v="136"/>
    <n v="7672"/>
    <n v="254"/>
    <n v="30.204724409448819"/>
    <x v="5"/>
    <s v="Q2"/>
    <s v="Large"/>
  </r>
  <r>
    <x v="21"/>
    <x v="3"/>
    <x v="12"/>
    <x v="6"/>
    <n v="11564"/>
    <n v="24"/>
    <n v="481.83333333333331"/>
    <x v="0"/>
    <s v="Q1"/>
    <s v="Large"/>
  </r>
  <r>
    <x v="2"/>
    <x v="0"/>
    <x v="11"/>
    <x v="134"/>
    <n v="1365"/>
    <n v="232"/>
    <n v="5.8836206896551726"/>
    <x v="7"/>
    <s v="Q2"/>
    <s v="Large"/>
  </r>
  <r>
    <x v="19"/>
    <x v="2"/>
    <x v="1"/>
    <x v="62"/>
    <n v="4186"/>
    <n v="233"/>
    <n v="17.965665236051503"/>
    <x v="1"/>
    <s v="Q3"/>
    <s v="Large"/>
  </r>
  <r>
    <x v="21"/>
    <x v="2"/>
    <x v="3"/>
    <x v="150"/>
    <n v="7406"/>
    <n v="118"/>
    <n v="62.762711864406782"/>
    <x v="6"/>
    <s v="Q1"/>
    <s v="Large"/>
  </r>
  <r>
    <x v="13"/>
    <x v="1"/>
    <x v="20"/>
    <x v="21"/>
    <n v="8911"/>
    <n v="543"/>
    <n v="16.410681399631677"/>
    <x v="7"/>
    <s v="Q2"/>
    <s v="Large"/>
  </r>
  <r>
    <x v="10"/>
    <x v="4"/>
    <x v="9"/>
    <x v="28"/>
    <n v="112"/>
    <n v="223"/>
    <n v="0.50224215246636772"/>
    <x v="5"/>
    <s v="Q2"/>
    <s v="Small"/>
  </r>
  <r>
    <x v="19"/>
    <x v="5"/>
    <x v="10"/>
    <x v="0"/>
    <n v="8204"/>
    <n v="204"/>
    <n v="40.215686274509807"/>
    <x v="0"/>
    <s v="Q1"/>
    <s v="Large"/>
  </r>
  <r>
    <x v="0"/>
    <x v="2"/>
    <x v="9"/>
    <x v="102"/>
    <n v="2611"/>
    <n v="65"/>
    <n v="40.169230769230772"/>
    <x v="0"/>
    <s v="Q1"/>
    <s v="Large"/>
  </r>
  <r>
    <x v="10"/>
    <x v="4"/>
    <x v="0"/>
    <x v="142"/>
    <n v="15652"/>
    <n v="53"/>
    <n v="295.32075471698113"/>
    <x v="4"/>
    <s v="Q1"/>
    <s v="Large"/>
  </r>
  <r>
    <x v="14"/>
    <x v="3"/>
    <x v="12"/>
    <x v="53"/>
    <n v="4074"/>
    <n v="469"/>
    <n v="8.6865671641791042"/>
    <x v="0"/>
    <s v="Q1"/>
    <s v="Large"/>
  </r>
  <r>
    <x v="22"/>
    <x v="4"/>
    <x v="14"/>
    <x v="116"/>
    <n v="12250"/>
    <n v="213"/>
    <n v="57.51173708920188"/>
    <x v="7"/>
    <s v="Q2"/>
    <s v="Large"/>
  </r>
  <r>
    <x v="19"/>
    <x v="4"/>
    <x v="12"/>
    <x v="123"/>
    <n v="2366"/>
    <n v="5"/>
    <n v="473.2"/>
    <x v="7"/>
    <s v="Q2"/>
    <s v="Large"/>
  </r>
  <r>
    <x v="8"/>
    <x v="3"/>
    <x v="13"/>
    <x v="151"/>
    <n v="1687"/>
    <n v="147"/>
    <n v="11.476190476190476"/>
    <x v="3"/>
    <s v="Q2"/>
    <s v="Large"/>
  </r>
  <r>
    <x v="4"/>
    <x v="5"/>
    <x v="10"/>
    <x v="25"/>
    <n v="1232"/>
    <n v="74"/>
    <n v="16.648648648648649"/>
    <x v="2"/>
    <s v="Q3"/>
    <s v="Large"/>
  </r>
  <r>
    <x v="22"/>
    <x v="0"/>
    <x v="10"/>
    <x v="129"/>
    <n v="6965"/>
    <n v="163"/>
    <n v="42.730061349693251"/>
    <x v="2"/>
    <s v="Q3"/>
    <s v="Large"/>
  </r>
  <r>
    <x v="23"/>
    <x v="4"/>
    <x v="0"/>
    <x v="84"/>
    <n v="5292"/>
    <n v="248"/>
    <n v="21.338709677419356"/>
    <x v="4"/>
    <s v="Q1"/>
    <s v="Large"/>
  </r>
  <r>
    <x v="20"/>
    <x v="4"/>
    <x v="7"/>
    <x v="152"/>
    <n v="1379"/>
    <n v="138"/>
    <n v="9.9927536231884062"/>
    <x v="4"/>
    <s v="Q1"/>
    <s v="Large"/>
  </r>
  <r>
    <x v="2"/>
    <x v="2"/>
    <x v="20"/>
    <x v="51"/>
    <n v="8001"/>
    <n v="151"/>
    <n v="52.986754966887418"/>
    <x v="2"/>
    <s v="Q3"/>
    <s v="Large"/>
  </r>
  <r>
    <x v="9"/>
    <x v="1"/>
    <x v="6"/>
    <x v="106"/>
    <n v="588"/>
    <n v="139"/>
    <n v="4.2302158273381298"/>
    <x v="7"/>
    <s v="Q2"/>
    <s v="Large"/>
  </r>
  <r>
    <x v="1"/>
    <x v="3"/>
    <x v="0"/>
    <x v="19"/>
    <n v="4046"/>
    <n v="103"/>
    <n v="39.28155339805825"/>
    <x v="5"/>
    <s v="Q2"/>
    <s v="Large"/>
  </r>
  <r>
    <x v="1"/>
    <x v="1"/>
    <x v="6"/>
    <x v="110"/>
    <n v="5103"/>
    <n v="129"/>
    <n v="39.558139534883722"/>
    <x v="7"/>
    <s v="Q2"/>
    <s v="Large"/>
  </r>
  <r>
    <x v="1"/>
    <x v="4"/>
    <x v="15"/>
    <x v="106"/>
    <n v="2317"/>
    <n v="102"/>
    <n v="22.715686274509803"/>
    <x v="7"/>
    <s v="Q2"/>
    <s v="Large"/>
  </r>
  <r>
    <x v="18"/>
    <x v="4"/>
    <x v="7"/>
    <x v="23"/>
    <n v="7042"/>
    <n v="37"/>
    <n v="190.32432432432432"/>
    <x v="4"/>
    <s v="Q1"/>
    <s v="Large"/>
  </r>
  <r>
    <x v="8"/>
    <x v="3"/>
    <x v="8"/>
    <x v="71"/>
    <n v="6713"/>
    <n v="31"/>
    <n v="216.54838709677421"/>
    <x v="6"/>
    <s v="Q1"/>
    <s v="Large"/>
  </r>
  <r>
    <x v="2"/>
    <x v="4"/>
    <x v="5"/>
    <x v="102"/>
    <n v="1848"/>
    <n v="227"/>
    <n v="8.140969162995594"/>
    <x v="0"/>
    <s v="Q1"/>
    <s v="Large"/>
  </r>
  <r>
    <x v="8"/>
    <x v="3"/>
    <x v="0"/>
    <x v="84"/>
    <n v="6440"/>
    <n v="145"/>
    <n v="44.413793103448278"/>
    <x v="4"/>
    <s v="Q1"/>
    <s v="Large"/>
  </r>
  <r>
    <x v="17"/>
    <x v="5"/>
    <x v="1"/>
    <x v="1"/>
    <n v="10885"/>
    <n v="90"/>
    <n v="120.94444444444444"/>
    <x v="1"/>
    <s v="Q3"/>
    <s v="Large"/>
  </r>
  <r>
    <x v="12"/>
    <x v="3"/>
    <x v="3"/>
    <x v="33"/>
    <n v="2387"/>
    <n v="59"/>
    <n v="40.457627118644069"/>
    <x v="7"/>
    <s v="Q2"/>
    <s v="Large"/>
  </r>
  <r>
    <x v="15"/>
    <x v="4"/>
    <x v="14"/>
    <x v="57"/>
    <n v="2030"/>
    <n v="60"/>
    <n v="33.833333333333336"/>
    <x v="2"/>
    <s v="Q3"/>
    <s v="Large"/>
  </r>
  <r>
    <x v="19"/>
    <x v="2"/>
    <x v="2"/>
    <x v="8"/>
    <n v="6678"/>
    <n v="148"/>
    <n v="45.121621621621621"/>
    <x v="3"/>
    <s v="Q2"/>
    <s v="Large"/>
  </r>
  <r>
    <x v="17"/>
    <x v="1"/>
    <x v="1"/>
    <x v="30"/>
    <n v="4515"/>
    <n v="22"/>
    <n v="205.22727272727272"/>
    <x v="5"/>
    <s v="Q2"/>
    <s v="Large"/>
  </r>
  <r>
    <x v="14"/>
    <x v="0"/>
    <x v="6"/>
    <x v="121"/>
    <n v="3374"/>
    <n v="142"/>
    <n v="23.760563380281692"/>
    <x v="6"/>
    <s v="Q1"/>
    <s v="Large"/>
  </r>
  <r>
    <x v="5"/>
    <x v="4"/>
    <x v="13"/>
    <x v="87"/>
    <n v="5852"/>
    <n v="93"/>
    <n v="62.924731182795696"/>
    <x v="6"/>
    <s v="Q1"/>
    <s v="Large"/>
  </r>
  <r>
    <x v="4"/>
    <x v="5"/>
    <x v="17"/>
    <x v="86"/>
    <n v="1750"/>
    <n v="208"/>
    <n v="8.4134615384615383"/>
    <x v="5"/>
    <s v="Q2"/>
    <s v="Large"/>
  </r>
  <r>
    <x v="2"/>
    <x v="0"/>
    <x v="9"/>
    <x v="30"/>
    <n v="5782"/>
    <n v="42"/>
    <n v="137.66666666666666"/>
    <x v="5"/>
    <s v="Q2"/>
    <s v="Large"/>
  </r>
  <r>
    <x v="20"/>
    <x v="1"/>
    <x v="0"/>
    <x v="12"/>
    <n v="2870"/>
    <n v="120"/>
    <n v="23.916666666666668"/>
    <x v="2"/>
    <s v="Q3"/>
    <s v="Large"/>
  </r>
  <r>
    <x v="10"/>
    <x v="5"/>
    <x v="2"/>
    <x v="153"/>
    <n v="3094"/>
    <n v="159"/>
    <n v="19.459119496855347"/>
    <x v="1"/>
    <s v="Q3"/>
    <s v="Large"/>
  </r>
  <r>
    <x v="8"/>
    <x v="0"/>
    <x v="0"/>
    <x v="2"/>
    <n v="3724"/>
    <n v="316"/>
    <n v="11.784810126582279"/>
    <x v="2"/>
    <s v="Q3"/>
    <s v="Large"/>
  </r>
  <r>
    <x v="8"/>
    <x v="4"/>
    <x v="1"/>
    <x v="74"/>
    <n v="12761"/>
    <n v="47"/>
    <n v="271.51063829787233"/>
    <x v="1"/>
    <s v="Q3"/>
    <s v="Large"/>
  </r>
  <r>
    <x v="15"/>
    <x v="5"/>
    <x v="8"/>
    <x v="154"/>
    <n v="3696"/>
    <n v="233"/>
    <n v="15.862660944206009"/>
    <x v="0"/>
    <s v="Q1"/>
    <s v="Large"/>
  </r>
  <r>
    <x v="3"/>
    <x v="2"/>
    <x v="21"/>
    <x v="72"/>
    <n v="5222"/>
    <n v="384"/>
    <n v="13.598958333333334"/>
    <x v="6"/>
    <s v="Q1"/>
    <s v="Large"/>
  </r>
  <r>
    <x v="11"/>
    <x v="3"/>
    <x v="13"/>
    <x v="74"/>
    <n v="8939"/>
    <n v="4"/>
    <n v="2234.75"/>
    <x v="1"/>
    <s v="Q3"/>
    <s v="Large"/>
  </r>
  <r>
    <x v="24"/>
    <x v="0"/>
    <x v="2"/>
    <x v="35"/>
    <n v="2156"/>
    <n v="260"/>
    <n v="8.292307692307693"/>
    <x v="3"/>
    <s v="Q2"/>
    <s v="Large"/>
  </r>
  <r>
    <x v="16"/>
    <x v="4"/>
    <x v="10"/>
    <x v="54"/>
    <n v="2380"/>
    <n v="22"/>
    <n v="108.18181818181819"/>
    <x v="6"/>
    <s v="Q1"/>
    <s v="Large"/>
  </r>
  <r>
    <x v="21"/>
    <x v="4"/>
    <x v="17"/>
    <x v="98"/>
    <n v="3339"/>
    <n v="18"/>
    <n v="185.5"/>
    <x v="7"/>
    <s v="Q2"/>
    <s v="Large"/>
  </r>
  <r>
    <x v="6"/>
    <x v="3"/>
    <x v="15"/>
    <x v="107"/>
    <n v="14980"/>
    <n v="42"/>
    <n v="356.66666666666669"/>
    <x v="5"/>
    <s v="Q2"/>
    <s v="Large"/>
  </r>
  <r>
    <x v="0"/>
    <x v="3"/>
    <x v="5"/>
    <x v="49"/>
    <n v="1512"/>
    <n v="73"/>
    <n v="20.712328767123289"/>
    <x v="3"/>
    <s v="Q2"/>
    <s v="Large"/>
  </r>
  <r>
    <x v="0"/>
    <x v="4"/>
    <x v="3"/>
    <x v="2"/>
    <n v="6657"/>
    <n v="154"/>
    <n v="43.227272727272727"/>
    <x v="2"/>
    <s v="Q3"/>
    <s v="Large"/>
  </r>
  <r>
    <x v="22"/>
    <x v="1"/>
    <x v="0"/>
    <x v="32"/>
    <n v="3836"/>
    <n v="71"/>
    <n v="54.028169014084504"/>
    <x v="1"/>
    <s v="Q3"/>
    <s v="Large"/>
  </r>
  <r>
    <x v="0"/>
    <x v="1"/>
    <x v="8"/>
    <x v="4"/>
    <n v="8771"/>
    <n v="127"/>
    <n v="69.062992125984252"/>
    <x v="4"/>
    <s v="Q1"/>
    <s v="Large"/>
  </r>
  <r>
    <x v="10"/>
    <x v="5"/>
    <x v="17"/>
    <x v="122"/>
    <n v="651"/>
    <n v="224"/>
    <n v="2.90625"/>
    <x v="7"/>
    <s v="Q2"/>
    <s v="Large"/>
  </r>
  <r>
    <x v="16"/>
    <x v="2"/>
    <x v="21"/>
    <x v="143"/>
    <n v="6706"/>
    <n v="223"/>
    <n v="30.071748878923767"/>
    <x v="4"/>
    <s v="Q1"/>
    <s v="Large"/>
  </r>
  <r>
    <x v="13"/>
    <x v="0"/>
    <x v="21"/>
    <x v="7"/>
    <n v="1421"/>
    <n v="284"/>
    <n v="5.003521126760563"/>
    <x v="6"/>
    <s v="Q1"/>
    <s v="Large"/>
  </r>
  <r>
    <x v="7"/>
    <x v="4"/>
    <x v="9"/>
    <x v="55"/>
    <n v="8526"/>
    <n v="73"/>
    <n v="116.79452054794521"/>
    <x v="5"/>
    <s v="Q2"/>
    <s v="Large"/>
  </r>
  <r>
    <x v="9"/>
    <x v="5"/>
    <x v="15"/>
    <x v="66"/>
    <n v="1435"/>
    <n v="112"/>
    <n v="12.8125"/>
    <x v="6"/>
    <s v="Q1"/>
    <s v="Large"/>
  </r>
  <r>
    <x v="16"/>
    <x v="2"/>
    <x v="13"/>
    <x v="55"/>
    <n v="7434"/>
    <n v="85"/>
    <n v="87.45882352941176"/>
    <x v="5"/>
    <s v="Q2"/>
    <s v="Large"/>
  </r>
  <r>
    <x v="4"/>
    <x v="3"/>
    <x v="10"/>
    <x v="20"/>
    <n v="15316"/>
    <n v="270"/>
    <n v="56.725925925925928"/>
    <x v="4"/>
    <s v="Q1"/>
    <s v="Large"/>
  </r>
  <r>
    <x v="22"/>
    <x v="0"/>
    <x v="4"/>
    <x v="14"/>
    <n v="10479"/>
    <n v="45"/>
    <n v="232.86666666666667"/>
    <x v="0"/>
    <s v="Q1"/>
    <s v="Large"/>
  </r>
  <r>
    <x v="22"/>
    <x v="2"/>
    <x v="0"/>
    <x v="138"/>
    <n v="2751"/>
    <n v="153"/>
    <n v="17.980392156862745"/>
    <x v="7"/>
    <s v="Q2"/>
    <s v="Large"/>
  </r>
  <r>
    <x v="14"/>
    <x v="5"/>
    <x v="4"/>
    <x v="2"/>
    <n v="12586"/>
    <n v="7"/>
    <n v="1798"/>
    <x v="2"/>
    <s v="Q3"/>
    <s v="Large"/>
  </r>
  <r>
    <x v="7"/>
    <x v="2"/>
    <x v="19"/>
    <x v="38"/>
    <n v="2786"/>
    <n v="51"/>
    <n v="54.627450980392155"/>
    <x v="1"/>
    <s v="Q3"/>
    <s v="Large"/>
  </r>
  <r>
    <x v="10"/>
    <x v="2"/>
    <x v="5"/>
    <x v="155"/>
    <n v="2303"/>
    <n v="67"/>
    <n v="34.373134328358212"/>
    <x v="1"/>
    <s v="Q3"/>
    <s v="Large"/>
  </r>
  <r>
    <x v="11"/>
    <x v="0"/>
    <x v="4"/>
    <x v="10"/>
    <n v="8113"/>
    <n v="194"/>
    <n v="41.819587628865982"/>
    <x v="0"/>
    <s v="Q1"/>
    <s v="Large"/>
  </r>
  <r>
    <x v="5"/>
    <x v="2"/>
    <x v="6"/>
    <x v="52"/>
    <n v="12271"/>
    <n v="116"/>
    <n v="105.78448275862068"/>
    <x v="6"/>
    <s v="Q1"/>
    <s v="Large"/>
  </r>
  <r>
    <x v="11"/>
    <x v="2"/>
    <x v="18"/>
    <x v="109"/>
    <n v="11298"/>
    <n v="41"/>
    <n v="275.5609756097561"/>
    <x v="2"/>
    <s v="Q3"/>
    <s v="Large"/>
  </r>
  <r>
    <x v="20"/>
    <x v="3"/>
    <x v="9"/>
    <x v="11"/>
    <n v="15855"/>
    <n v="111"/>
    <n v="142.83783783783784"/>
    <x v="6"/>
    <s v="Q1"/>
    <s v="Large"/>
  </r>
  <r>
    <x v="12"/>
    <x v="4"/>
    <x v="1"/>
    <x v="62"/>
    <n v="12404"/>
    <n v="334"/>
    <n v="37.137724550898206"/>
    <x v="1"/>
    <s v="Q3"/>
    <s v="Large"/>
  </r>
  <r>
    <x v="13"/>
    <x v="4"/>
    <x v="8"/>
    <x v="91"/>
    <n v="3990"/>
    <n v="155"/>
    <n v="25.741935483870968"/>
    <x v="3"/>
    <s v="Q2"/>
    <s v="Large"/>
  </r>
  <r>
    <x v="17"/>
    <x v="0"/>
    <x v="11"/>
    <x v="66"/>
    <n v="10808"/>
    <n v="407"/>
    <n v="26.555282555282556"/>
    <x v="6"/>
    <s v="Q1"/>
    <s v="Large"/>
  </r>
  <r>
    <x v="18"/>
    <x v="0"/>
    <x v="10"/>
    <x v="97"/>
    <n v="4858"/>
    <n v="52"/>
    <n v="93.42307692307692"/>
    <x v="2"/>
    <s v="Q3"/>
    <s v="Large"/>
  </r>
  <r>
    <x v="22"/>
    <x v="4"/>
    <x v="7"/>
    <x v="45"/>
    <n v="7742"/>
    <n v="138"/>
    <n v="56.10144927536232"/>
    <x v="7"/>
    <s v="Q2"/>
    <s v="Large"/>
  </r>
  <r>
    <x v="5"/>
    <x v="1"/>
    <x v="3"/>
    <x v="52"/>
    <n v="3752"/>
    <n v="70"/>
    <n v="53.6"/>
    <x v="6"/>
    <s v="Q1"/>
    <s v="Large"/>
  </r>
  <r>
    <x v="11"/>
    <x v="3"/>
    <x v="1"/>
    <x v="21"/>
    <n v="1218"/>
    <n v="149"/>
    <n v="8.1744966442953029"/>
    <x v="7"/>
    <s v="Q2"/>
    <s v="Large"/>
  </r>
  <r>
    <x v="11"/>
    <x v="0"/>
    <x v="15"/>
    <x v="39"/>
    <n v="10983"/>
    <n v="179"/>
    <n v="61.357541899441344"/>
    <x v="5"/>
    <s v="Q2"/>
    <s v="Large"/>
  </r>
  <r>
    <x v="6"/>
    <x v="4"/>
    <x v="4"/>
    <x v="90"/>
    <n v="6769"/>
    <n v="353"/>
    <n v="19.175637393767705"/>
    <x v="2"/>
    <s v="Q3"/>
    <s v="Large"/>
  </r>
  <r>
    <x v="12"/>
    <x v="3"/>
    <x v="0"/>
    <x v="133"/>
    <n v="4361"/>
    <n v="97"/>
    <n v="44.958762886597938"/>
    <x v="5"/>
    <s v="Q2"/>
    <s v="Large"/>
  </r>
  <r>
    <x v="17"/>
    <x v="4"/>
    <x v="11"/>
    <x v="65"/>
    <n v="777"/>
    <n v="60"/>
    <n v="12.95"/>
    <x v="7"/>
    <s v="Q2"/>
    <s v="Large"/>
  </r>
  <r>
    <x v="5"/>
    <x v="4"/>
    <x v="9"/>
    <x v="122"/>
    <n v="3843"/>
    <n v="5"/>
    <n v="768.6"/>
    <x v="7"/>
    <s v="Q2"/>
    <s v="Large"/>
  </r>
  <r>
    <x v="6"/>
    <x v="5"/>
    <x v="15"/>
    <x v="145"/>
    <n v="6930"/>
    <n v="182"/>
    <n v="38.07692307692308"/>
    <x v="1"/>
    <s v="Q3"/>
    <s v="Large"/>
  </r>
  <r>
    <x v="1"/>
    <x v="1"/>
    <x v="18"/>
    <x v="100"/>
    <n v="5733"/>
    <n v="114"/>
    <n v="50.289473684210527"/>
    <x v="3"/>
    <s v="Q2"/>
    <s v="Large"/>
  </r>
  <r>
    <x v="19"/>
    <x v="4"/>
    <x v="20"/>
    <x v="138"/>
    <n v="8393"/>
    <n v="46"/>
    <n v="182.45652173913044"/>
    <x v="7"/>
    <s v="Q2"/>
    <s v="Large"/>
  </r>
  <r>
    <x v="23"/>
    <x v="4"/>
    <x v="4"/>
    <x v="145"/>
    <n v="3822"/>
    <n v="320"/>
    <n v="11.94375"/>
    <x v="1"/>
    <s v="Q3"/>
    <s v="Large"/>
  </r>
  <r>
    <x v="21"/>
    <x v="2"/>
    <x v="17"/>
    <x v="62"/>
    <n v="6342"/>
    <n v="178"/>
    <n v="35.629213483146067"/>
    <x v="1"/>
    <s v="Q3"/>
    <s v="Large"/>
  </r>
  <r>
    <x v="5"/>
    <x v="1"/>
    <x v="12"/>
    <x v="110"/>
    <n v="6510"/>
    <n v="170"/>
    <n v="38.294117647058826"/>
    <x v="7"/>
    <s v="Q2"/>
    <s v="Large"/>
  </r>
  <r>
    <x v="10"/>
    <x v="4"/>
    <x v="15"/>
    <x v="131"/>
    <n v="10171"/>
    <n v="67"/>
    <n v="151.80597014925374"/>
    <x v="4"/>
    <s v="Q1"/>
    <s v="Large"/>
  </r>
  <r>
    <x v="21"/>
    <x v="4"/>
    <x v="6"/>
    <x v="130"/>
    <n v="5908"/>
    <n v="301"/>
    <n v="19.627906976744185"/>
    <x v="5"/>
    <s v="Q2"/>
    <s v="Large"/>
  </r>
  <r>
    <x v="22"/>
    <x v="0"/>
    <x v="18"/>
    <x v="27"/>
    <n v="10164"/>
    <n v="134"/>
    <n v="75.850746268656721"/>
    <x v="7"/>
    <s v="Q2"/>
    <s v="Large"/>
  </r>
  <r>
    <x v="3"/>
    <x v="5"/>
    <x v="0"/>
    <x v="69"/>
    <n v="1064"/>
    <n v="211"/>
    <n v="5.0426540284360186"/>
    <x v="3"/>
    <s v="Q2"/>
    <s v="Large"/>
  </r>
  <r>
    <x v="21"/>
    <x v="5"/>
    <x v="21"/>
    <x v="109"/>
    <n v="9716"/>
    <n v="151"/>
    <n v="64.344370860927157"/>
    <x v="2"/>
    <s v="Q3"/>
    <s v="Large"/>
  </r>
  <r>
    <x v="24"/>
    <x v="1"/>
    <x v="2"/>
    <x v="59"/>
    <n v="22050"/>
    <n v="208"/>
    <n v="106.00961538461539"/>
    <x v="0"/>
    <s v="Q1"/>
    <s v="Large"/>
  </r>
  <r>
    <x v="3"/>
    <x v="1"/>
    <x v="18"/>
    <x v="153"/>
    <n v="2541"/>
    <n v="134"/>
    <n v="18.96268656716418"/>
    <x v="1"/>
    <s v="Q3"/>
    <s v="Large"/>
  </r>
  <r>
    <x v="2"/>
    <x v="5"/>
    <x v="16"/>
    <x v="131"/>
    <n v="9989"/>
    <n v="49"/>
    <n v="203.85714285714286"/>
    <x v="4"/>
    <s v="Q1"/>
    <s v="Large"/>
  </r>
  <r>
    <x v="7"/>
    <x v="1"/>
    <x v="5"/>
    <x v="52"/>
    <n v="4739"/>
    <n v="204"/>
    <n v="23.230392156862745"/>
    <x v="6"/>
    <s v="Q1"/>
    <s v="Large"/>
  </r>
  <r>
    <x v="20"/>
    <x v="2"/>
    <x v="4"/>
    <x v="30"/>
    <n v="3185"/>
    <n v="34"/>
    <n v="93.67647058823529"/>
    <x v="5"/>
    <s v="Q2"/>
    <s v="Large"/>
  </r>
  <r>
    <x v="23"/>
    <x v="2"/>
    <x v="12"/>
    <x v="154"/>
    <n v="8225"/>
    <n v="91"/>
    <n v="90.384615384615387"/>
    <x v="0"/>
    <s v="Q1"/>
    <s v="Large"/>
  </r>
  <r>
    <x v="6"/>
    <x v="4"/>
    <x v="11"/>
    <x v="2"/>
    <n v="14301"/>
    <n v="130"/>
    <n v="110.00769230769231"/>
    <x v="2"/>
    <s v="Q3"/>
    <s v="Large"/>
  </r>
  <r>
    <x v="9"/>
    <x v="3"/>
    <x v="0"/>
    <x v="60"/>
    <n v="1316"/>
    <n v="107"/>
    <n v="12.299065420560748"/>
    <x v="0"/>
    <s v="Q1"/>
    <s v="Large"/>
  </r>
  <r>
    <x v="12"/>
    <x v="0"/>
    <x v="4"/>
    <x v="50"/>
    <n v="3486"/>
    <n v="121"/>
    <n v="28.809917355371901"/>
    <x v="1"/>
    <s v="Q3"/>
    <s v="Large"/>
  </r>
  <r>
    <x v="12"/>
    <x v="4"/>
    <x v="2"/>
    <x v="61"/>
    <n v="13930"/>
    <n v="339"/>
    <n v="41.091445427728615"/>
    <x v="1"/>
    <s v="Q3"/>
    <s v="Large"/>
  </r>
  <r>
    <x v="6"/>
    <x v="3"/>
    <x v="14"/>
    <x v="26"/>
    <n v="5509"/>
    <n v="321"/>
    <n v="17.161993769470406"/>
    <x v="5"/>
    <s v="Q2"/>
    <s v="Large"/>
  </r>
  <r>
    <x v="11"/>
    <x v="4"/>
    <x v="19"/>
    <x v="14"/>
    <n v="8470"/>
    <n v="9"/>
    <n v="941.11111111111109"/>
    <x v="0"/>
    <s v="Q1"/>
    <s v="Large"/>
  </r>
  <r>
    <x v="20"/>
    <x v="4"/>
    <x v="12"/>
    <x v="94"/>
    <n v="77"/>
    <n v="69"/>
    <n v="1.1159420289855073"/>
    <x v="3"/>
    <s v="Q2"/>
    <s v="Small"/>
  </r>
  <r>
    <x v="9"/>
    <x v="5"/>
    <x v="14"/>
    <x v="150"/>
    <n v="3381"/>
    <n v="72"/>
    <n v="46.958333333333336"/>
    <x v="6"/>
    <s v="Q1"/>
    <s v="Large"/>
  </r>
  <r>
    <x v="16"/>
    <x v="2"/>
    <x v="16"/>
    <x v="105"/>
    <n v="4102"/>
    <n v="392"/>
    <n v="10.464285714285714"/>
    <x v="4"/>
    <s v="Q1"/>
    <s v="Large"/>
  </r>
  <r>
    <x v="4"/>
    <x v="4"/>
    <x v="3"/>
    <x v="72"/>
    <n v="3577"/>
    <n v="158"/>
    <n v="22.639240506329113"/>
    <x v="6"/>
    <s v="Q1"/>
    <s v="Large"/>
  </r>
  <r>
    <x v="17"/>
    <x v="1"/>
    <x v="3"/>
    <x v="2"/>
    <n v="2975"/>
    <n v="9"/>
    <n v="330.55555555555554"/>
    <x v="2"/>
    <s v="Q3"/>
    <s v="Large"/>
  </r>
  <r>
    <x v="21"/>
    <x v="3"/>
    <x v="20"/>
    <x v="156"/>
    <n v="4137"/>
    <n v="347"/>
    <n v="11.922190201729107"/>
    <x v="5"/>
    <s v="Q2"/>
    <s v="Large"/>
  </r>
  <r>
    <x v="3"/>
    <x v="5"/>
    <x v="20"/>
    <x v="73"/>
    <n v="9541"/>
    <n v="114"/>
    <n v="83.692982456140356"/>
    <x v="1"/>
    <s v="Q3"/>
    <s v="Large"/>
  </r>
  <r>
    <x v="4"/>
    <x v="4"/>
    <x v="19"/>
    <x v="153"/>
    <n v="8001"/>
    <n v="120"/>
    <n v="66.674999999999997"/>
    <x v="1"/>
    <s v="Q3"/>
    <s v="Large"/>
  </r>
  <r>
    <x v="22"/>
    <x v="3"/>
    <x v="2"/>
    <x v="82"/>
    <n v="5152"/>
    <n v="333"/>
    <n v="15.471471471471471"/>
    <x v="0"/>
    <s v="Q1"/>
    <s v="Large"/>
  </r>
  <r>
    <x v="20"/>
    <x v="2"/>
    <x v="7"/>
    <x v="94"/>
    <n v="11116"/>
    <n v="432"/>
    <n v="25.731481481481481"/>
    <x v="3"/>
    <s v="Q2"/>
    <s v="Large"/>
  </r>
  <r>
    <x v="11"/>
    <x v="2"/>
    <x v="15"/>
    <x v="16"/>
    <n v="13076"/>
    <n v="236"/>
    <n v="55.406779661016948"/>
    <x v="3"/>
    <s v="Q2"/>
    <s v="Large"/>
  </r>
  <r>
    <x v="16"/>
    <x v="5"/>
    <x v="15"/>
    <x v="93"/>
    <n v="10213"/>
    <n v="135"/>
    <n v="75.651851851851845"/>
    <x v="0"/>
    <s v="Q1"/>
    <s v="Large"/>
  </r>
  <r>
    <x v="0"/>
    <x v="0"/>
    <x v="19"/>
    <x v="45"/>
    <n v="2485"/>
    <n v="97"/>
    <n v="25.618556701030929"/>
    <x v="7"/>
    <s v="Q2"/>
    <s v="Large"/>
  </r>
  <r>
    <x v="20"/>
    <x v="2"/>
    <x v="14"/>
    <x v="32"/>
    <n v="8715"/>
    <n v="168"/>
    <n v="51.875"/>
    <x v="1"/>
    <s v="Q3"/>
    <s v="Large"/>
  </r>
  <r>
    <x v="14"/>
    <x v="1"/>
    <x v="1"/>
    <x v="93"/>
    <n v="273"/>
    <n v="402"/>
    <n v="0.67910447761194026"/>
    <x v="0"/>
    <s v="Q1"/>
    <s v="Small"/>
  </r>
  <r>
    <x v="16"/>
    <x v="4"/>
    <x v="8"/>
    <x v="38"/>
    <n v="7623"/>
    <n v="10"/>
    <n v="762.3"/>
    <x v="1"/>
    <s v="Q3"/>
    <s v="Large"/>
  </r>
  <r>
    <x v="5"/>
    <x v="0"/>
    <x v="4"/>
    <x v="66"/>
    <n v="7"/>
    <n v="84"/>
    <n v="8.3333333333333329E-2"/>
    <x v="6"/>
    <s v="Q1"/>
    <s v="Small"/>
  </r>
  <r>
    <x v="12"/>
    <x v="0"/>
    <x v="18"/>
    <x v="72"/>
    <n v="3010"/>
    <n v="69"/>
    <n v="43.623188405797102"/>
    <x v="6"/>
    <s v="Q1"/>
    <s v="Large"/>
  </r>
  <r>
    <x v="23"/>
    <x v="5"/>
    <x v="15"/>
    <x v="119"/>
    <n v="11550"/>
    <n v="111"/>
    <n v="104.05405405405405"/>
    <x v="3"/>
    <s v="Q2"/>
    <s v="Large"/>
  </r>
  <r>
    <x v="16"/>
    <x v="2"/>
    <x v="11"/>
    <x v="133"/>
    <n v="4046"/>
    <n v="89"/>
    <n v="45.460674157303373"/>
    <x v="5"/>
    <s v="Q2"/>
    <s v="Large"/>
  </r>
  <r>
    <x v="3"/>
    <x v="5"/>
    <x v="13"/>
    <x v="90"/>
    <n v="8904"/>
    <n v="199"/>
    <n v="44.743718592964825"/>
    <x v="2"/>
    <s v="Q3"/>
    <s v="Large"/>
  </r>
  <r>
    <x v="3"/>
    <x v="1"/>
    <x v="3"/>
    <x v="13"/>
    <n v="11298"/>
    <n v="89"/>
    <n v="126.9438202247191"/>
    <x v="1"/>
    <s v="Q3"/>
    <s v="Large"/>
  </r>
  <r>
    <x v="7"/>
    <x v="2"/>
    <x v="15"/>
    <x v="13"/>
    <n v="4396"/>
    <n v="131"/>
    <n v="33.55725190839695"/>
    <x v="1"/>
    <s v="Q3"/>
    <s v="Large"/>
  </r>
  <r>
    <x v="0"/>
    <x v="0"/>
    <x v="11"/>
    <x v="144"/>
    <n v="12068"/>
    <n v="227"/>
    <n v="53.162995594713657"/>
    <x v="7"/>
    <s v="Q2"/>
    <s v="Large"/>
  </r>
  <r>
    <x v="15"/>
    <x v="5"/>
    <x v="5"/>
    <x v="78"/>
    <n v="9772"/>
    <n v="301"/>
    <n v="32.465116279069768"/>
    <x v="0"/>
    <s v="Q1"/>
    <s v="Large"/>
  </r>
  <r>
    <x v="13"/>
    <x v="4"/>
    <x v="6"/>
    <x v="58"/>
    <n v="10458"/>
    <n v="316"/>
    <n v="33.094936708860757"/>
    <x v="4"/>
    <s v="Q1"/>
    <s v="Large"/>
  </r>
  <r>
    <x v="1"/>
    <x v="1"/>
    <x v="16"/>
    <x v="107"/>
    <n v="6426"/>
    <n v="390"/>
    <n v="16.476923076923075"/>
    <x v="5"/>
    <s v="Q2"/>
    <s v="Large"/>
  </r>
  <r>
    <x v="20"/>
    <x v="4"/>
    <x v="6"/>
    <x v="85"/>
    <n v="6188"/>
    <n v="223"/>
    <n v="27.748878923766817"/>
    <x v="6"/>
    <s v="Q1"/>
    <s v="Large"/>
  </r>
  <r>
    <x v="22"/>
    <x v="5"/>
    <x v="1"/>
    <x v="20"/>
    <n v="7504"/>
    <n v="101"/>
    <n v="74.297029702970292"/>
    <x v="4"/>
    <s v="Q1"/>
    <s v="Large"/>
  </r>
  <r>
    <x v="17"/>
    <x v="5"/>
    <x v="3"/>
    <x v="103"/>
    <n v="1750"/>
    <n v="479"/>
    <n v="3.6534446764091859"/>
    <x v="6"/>
    <s v="Q1"/>
    <s v="Large"/>
  </r>
  <r>
    <x v="9"/>
    <x v="2"/>
    <x v="12"/>
    <x v="28"/>
    <n v="5439"/>
    <n v="287"/>
    <n v="18.951219512195124"/>
    <x v="5"/>
    <s v="Q2"/>
    <s v="Large"/>
  </r>
  <r>
    <x v="24"/>
    <x v="5"/>
    <x v="18"/>
    <x v="32"/>
    <n v="15547"/>
    <n v="269"/>
    <n v="57.795539033457246"/>
    <x v="1"/>
    <s v="Q3"/>
    <s v="Large"/>
  </r>
  <r>
    <x v="2"/>
    <x v="5"/>
    <x v="12"/>
    <x v="9"/>
    <n v="11956"/>
    <n v="277"/>
    <n v="43.162454873646212"/>
    <x v="2"/>
    <s v="Q3"/>
    <s v="Large"/>
  </r>
  <r>
    <x v="13"/>
    <x v="3"/>
    <x v="16"/>
    <x v="71"/>
    <n v="2723"/>
    <n v="67"/>
    <n v="40.64179104477612"/>
    <x v="6"/>
    <s v="Q1"/>
    <s v="Large"/>
  </r>
  <r>
    <x v="14"/>
    <x v="1"/>
    <x v="3"/>
    <x v="41"/>
    <n v="19327"/>
    <n v="135"/>
    <n v="143.16296296296295"/>
    <x v="3"/>
    <s v="Q2"/>
    <s v="Large"/>
  </r>
  <r>
    <x v="24"/>
    <x v="3"/>
    <x v="0"/>
    <x v="93"/>
    <n v="9058"/>
    <n v="229"/>
    <n v="39.554585152838428"/>
    <x v="0"/>
    <s v="Q1"/>
    <s v="Large"/>
  </r>
  <r>
    <x v="1"/>
    <x v="3"/>
    <x v="13"/>
    <x v="154"/>
    <n v="2996"/>
    <n v="88"/>
    <n v="34.045454545454547"/>
    <x v="0"/>
    <s v="Q1"/>
    <s v="Large"/>
  </r>
  <r>
    <x v="19"/>
    <x v="3"/>
    <x v="0"/>
    <x v="142"/>
    <n v="8848"/>
    <n v="211"/>
    <n v="41.933649289099527"/>
    <x v="4"/>
    <s v="Q1"/>
    <s v="Large"/>
  </r>
  <r>
    <x v="19"/>
    <x v="0"/>
    <x v="11"/>
    <x v="58"/>
    <n v="14336"/>
    <n v="293"/>
    <n v="48.928327645051198"/>
    <x v="4"/>
    <s v="Q1"/>
    <s v="Large"/>
  </r>
  <r>
    <x v="21"/>
    <x v="4"/>
    <x v="15"/>
    <x v="139"/>
    <n v="16401"/>
    <n v="179"/>
    <n v="91.625698324022352"/>
    <x v="6"/>
    <s v="Q1"/>
    <s v="Large"/>
  </r>
  <r>
    <x v="5"/>
    <x v="3"/>
    <x v="16"/>
    <x v="79"/>
    <n v="5173"/>
    <n v="129"/>
    <n v="40.100775193798448"/>
    <x v="0"/>
    <s v="Q1"/>
    <s v="Large"/>
  </r>
  <r>
    <x v="6"/>
    <x v="1"/>
    <x v="17"/>
    <x v="21"/>
    <n v="6328"/>
    <n v="164"/>
    <n v="38.585365853658537"/>
    <x v="7"/>
    <s v="Q2"/>
    <s v="Large"/>
  </r>
  <r>
    <x v="0"/>
    <x v="4"/>
    <x v="4"/>
    <x v="0"/>
    <n v="2534"/>
    <n v="219"/>
    <n v="11.570776255707763"/>
    <x v="0"/>
    <s v="Q1"/>
    <s v="Large"/>
  </r>
  <r>
    <x v="12"/>
    <x v="2"/>
    <x v="13"/>
    <x v="119"/>
    <n v="1435"/>
    <n v="258"/>
    <n v="5.5620155038759691"/>
    <x v="3"/>
    <s v="Q2"/>
    <s v="Large"/>
  </r>
  <r>
    <x v="2"/>
    <x v="5"/>
    <x v="11"/>
    <x v="157"/>
    <n v="3052"/>
    <n v="116"/>
    <n v="26.310344827586206"/>
    <x v="4"/>
    <s v="Q1"/>
    <s v="Large"/>
  </r>
  <r>
    <x v="23"/>
    <x v="1"/>
    <x v="12"/>
    <x v="153"/>
    <n v="910"/>
    <n v="204"/>
    <n v="4.4607843137254903"/>
    <x v="1"/>
    <s v="Q3"/>
    <s v="Large"/>
  </r>
  <r>
    <x v="5"/>
    <x v="4"/>
    <x v="10"/>
    <x v="50"/>
    <n v="2331"/>
    <n v="321"/>
    <n v="7.2616822429906538"/>
    <x v="1"/>
    <s v="Q3"/>
    <s v="Large"/>
  </r>
  <r>
    <x v="20"/>
    <x v="2"/>
    <x v="17"/>
    <x v="76"/>
    <n v="679"/>
    <n v="56"/>
    <n v="12.125"/>
    <x v="5"/>
    <s v="Q2"/>
    <s v="Large"/>
  </r>
  <r>
    <x v="0"/>
    <x v="1"/>
    <x v="19"/>
    <x v="5"/>
    <n v="2086"/>
    <n v="74"/>
    <n v="28.189189189189189"/>
    <x v="5"/>
    <s v="Q2"/>
    <s v="Large"/>
  </r>
  <r>
    <x v="10"/>
    <x v="3"/>
    <x v="19"/>
    <x v="16"/>
    <n v="5012"/>
    <n v="189"/>
    <n v="26.518518518518519"/>
    <x v="3"/>
    <s v="Q2"/>
    <s v="Large"/>
  </r>
  <r>
    <x v="18"/>
    <x v="4"/>
    <x v="6"/>
    <x v="158"/>
    <n v="4501"/>
    <n v="131"/>
    <n v="34.358778625954201"/>
    <x v="3"/>
    <s v="Q2"/>
    <s v="Large"/>
  </r>
  <r>
    <x v="19"/>
    <x v="1"/>
    <x v="6"/>
    <x v="60"/>
    <n v="13482"/>
    <n v="15"/>
    <n v="898.8"/>
    <x v="0"/>
    <s v="Q1"/>
    <s v="Large"/>
  </r>
  <r>
    <x v="22"/>
    <x v="4"/>
    <x v="19"/>
    <x v="38"/>
    <n v="5621"/>
    <n v="140"/>
    <n v="40.15"/>
    <x v="1"/>
    <s v="Q3"/>
    <s v="Large"/>
  </r>
  <r>
    <x v="0"/>
    <x v="2"/>
    <x v="4"/>
    <x v="75"/>
    <n v="10486"/>
    <n v="198"/>
    <n v="52.959595959595958"/>
    <x v="4"/>
    <s v="Q1"/>
    <s v="Large"/>
  </r>
  <r>
    <x v="3"/>
    <x v="2"/>
    <x v="0"/>
    <x v="105"/>
    <n v="17626"/>
    <n v="103"/>
    <n v="171.126213592233"/>
    <x v="4"/>
    <s v="Q1"/>
    <s v="Large"/>
  </r>
  <r>
    <x v="4"/>
    <x v="3"/>
    <x v="11"/>
    <x v="89"/>
    <n v="4494"/>
    <n v="187"/>
    <n v="24.032085561497325"/>
    <x v="0"/>
    <s v="Q1"/>
    <s v="Large"/>
  </r>
  <r>
    <x v="6"/>
    <x v="0"/>
    <x v="16"/>
    <x v="63"/>
    <n v="105"/>
    <n v="125"/>
    <n v="0.84"/>
    <x v="7"/>
    <s v="Q2"/>
    <s v="Small"/>
  </r>
  <r>
    <x v="20"/>
    <x v="1"/>
    <x v="3"/>
    <x v="131"/>
    <n v="2464"/>
    <n v="8"/>
    <n v="308"/>
    <x v="4"/>
    <s v="Q1"/>
    <s v="Large"/>
  </r>
  <r>
    <x v="7"/>
    <x v="0"/>
    <x v="8"/>
    <x v="3"/>
    <n v="1379"/>
    <n v="70"/>
    <n v="19.7"/>
    <x v="3"/>
    <s v="Q2"/>
    <s v="Large"/>
  </r>
  <r>
    <x v="2"/>
    <x v="4"/>
    <x v="3"/>
    <x v="31"/>
    <n v="2583"/>
    <n v="126"/>
    <n v="20.5"/>
    <x v="2"/>
    <s v="Q3"/>
    <s v="Large"/>
  </r>
  <r>
    <x v="14"/>
    <x v="3"/>
    <x v="0"/>
    <x v="14"/>
    <n v="3220"/>
    <n v="265"/>
    <n v="12.150943396226415"/>
    <x v="0"/>
    <s v="Q1"/>
    <s v="Large"/>
  </r>
  <r>
    <x v="14"/>
    <x v="4"/>
    <x v="0"/>
    <x v="32"/>
    <n v="4802"/>
    <n v="296"/>
    <n v="16.222972972972972"/>
    <x v="1"/>
    <s v="Q3"/>
    <s v="Large"/>
  </r>
  <r>
    <x v="22"/>
    <x v="3"/>
    <x v="13"/>
    <x v="93"/>
    <n v="5677"/>
    <n v="21"/>
    <n v="270.33333333333331"/>
    <x v="0"/>
    <s v="Q1"/>
    <s v="Large"/>
  </r>
  <r>
    <x v="10"/>
    <x v="1"/>
    <x v="1"/>
    <x v="159"/>
    <n v="945"/>
    <n v="83"/>
    <n v="11.385542168674698"/>
    <x v="6"/>
    <s v="Q1"/>
    <s v="Large"/>
  </r>
  <r>
    <x v="24"/>
    <x v="2"/>
    <x v="20"/>
    <x v="154"/>
    <n v="8757"/>
    <n v="162"/>
    <n v="54.055555555555557"/>
    <x v="0"/>
    <s v="Q1"/>
    <s v="Large"/>
  </r>
  <r>
    <x v="20"/>
    <x v="4"/>
    <x v="13"/>
    <x v="20"/>
    <n v="4816"/>
    <n v="145"/>
    <n v="33.213793103448275"/>
    <x v="4"/>
    <s v="Q1"/>
    <s v="Large"/>
  </r>
  <r>
    <x v="20"/>
    <x v="5"/>
    <x v="2"/>
    <x v="70"/>
    <n v="7532"/>
    <n v="44"/>
    <n v="171.18181818181819"/>
    <x v="3"/>
    <s v="Q2"/>
    <s v="Large"/>
  </r>
  <r>
    <x v="2"/>
    <x v="5"/>
    <x v="9"/>
    <x v="47"/>
    <n v="3549"/>
    <n v="82"/>
    <n v="43.280487804878049"/>
    <x v="2"/>
    <s v="Q3"/>
    <s v="Large"/>
  </r>
  <r>
    <x v="15"/>
    <x v="1"/>
    <x v="13"/>
    <x v="92"/>
    <n v="4340"/>
    <n v="226"/>
    <n v="19.20353982300885"/>
    <x v="3"/>
    <s v="Q2"/>
    <s v="Large"/>
  </r>
  <r>
    <x v="3"/>
    <x v="3"/>
    <x v="10"/>
    <x v="52"/>
    <n v="1799"/>
    <n v="207"/>
    <n v="8.6908212560386477"/>
    <x v="6"/>
    <s v="Q1"/>
    <s v="Large"/>
  </r>
  <r>
    <x v="2"/>
    <x v="3"/>
    <x v="17"/>
    <x v="145"/>
    <n v="1127"/>
    <n v="176"/>
    <n v="6.4034090909090908"/>
    <x v="1"/>
    <s v="Q3"/>
    <s v="Large"/>
  </r>
  <r>
    <x v="17"/>
    <x v="2"/>
    <x v="11"/>
    <x v="133"/>
    <n v="10038"/>
    <n v="286"/>
    <n v="35.0979020979021"/>
    <x v="5"/>
    <s v="Q2"/>
    <s v="Large"/>
  </r>
  <r>
    <x v="24"/>
    <x v="0"/>
    <x v="20"/>
    <x v="34"/>
    <n v="2926"/>
    <n v="300"/>
    <n v="9.7533333333333339"/>
    <x v="5"/>
    <s v="Q2"/>
    <s v="Large"/>
  </r>
  <r>
    <x v="1"/>
    <x v="4"/>
    <x v="13"/>
    <x v="25"/>
    <n v="6279"/>
    <n v="235"/>
    <n v="26.719148936170214"/>
    <x v="2"/>
    <s v="Q3"/>
    <s v="Large"/>
  </r>
  <r>
    <x v="19"/>
    <x v="5"/>
    <x v="8"/>
    <x v="155"/>
    <n v="308"/>
    <n v="125"/>
    <n v="2.464"/>
    <x v="1"/>
    <s v="Q3"/>
    <s v="Small"/>
  </r>
  <r>
    <x v="22"/>
    <x v="1"/>
    <x v="18"/>
    <x v="58"/>
    <n v="3500"/>
    <n v="145"/>
    <n v="24.137931034482758"/>
    <x v="4"/>
    <s v="Q1"/>
    <s v="Large"/>
  </r>
  <r>
    <x v="20"/>
    <x v="3"/>
    <x v="12"/>
    <x v="155"/>
    <n v="658"/>
    <n v="65"/>
    <n v="10.123076923076923"/>
    <x v="1"/>
    <s v="Q3"/>
    <s v="Large"/>
  </r>
  <r>
    <x v="13"/>
    <x v="2"/>
    <x v="9"/>
    <x v="65"/>
    <n v="12565"/>
    <n v="102"/>
    <n v="123.18627450980392"/>
    <x v="7"/>
    <s v="Q2"/>
    <s v="Large"/>
  </r>
  <r>
    <x v="18"/>
    <x v="4"/>
    <x v="11"/>
    <x v="42"/>
    <n v="5012"/>
    <n v="93"/>
    <n v="53.892473118279568"/>
    <x v="2"/>
    <s v="Q3"/>
    <s v="Large"/>
  </r>
  <r>
    <x v="19"/>
    <x v="1"/>
    <x v="10"/>
    <x v="93"/>
    <n v="3955"/>
    <n v="134"/>
    <n v="29.514925373134329"/>
    <x v="0"/>
    <s v="Q1"/>
    <s v="Large"/>
  </r>
  <r>
    <x v="22"/>
    <x v="0"/>
    <x v="13"/>
    <x v="79"/>
    <n v="8512"/>
    <n v="189"/>
    <n v="45.037037037037038"/>
    <x v="0"/>
    <s v="Q1"/>
    <s v="Large"/>
  </r>
  <r>
    <x v="14"/>
    <x v="2"/>
    <x v="6"/>
    <x v="28"/>
    <n v="504"/>
    <n v="232"/>
    <n v="2.1724137931034484"/>
    <x v="5"/>
    <s v="Q2"/>
    <s v="Large"/>
  </r>
  <r>
    <x v="6"/>
    <x v="5"/>
    <x v="17"/>
    <x v="107"/>
    <n v="2800"/>
    <n v="45"/>
    <n v="62.222222222222221"/>
    <x v="5"/>
    <s v="Q2"/>
    <s v="Large"/>
  </r>
  <r>
    <x v="5"/>
    <x v="1"/>
    <x v="0"/>
    <x v="115"/>
    <n v="4256"/>
    <n v="67"/>
    <n v="63.522388059701491"/>
    <x v="1"/>
    <s v="Q3"/>
    <s v="Large"/>
  </r>
  <r>
    <x v="17"/>
    <x v="1"/>
    <x v="0"/>
    <x v="85"/>
    <n v="13573"/>
    <n v="138"/>
    <n v="98.35507246376811"/>
    <x v="6"/>
    <s v="Q1"/>
    <s v="Large"/>
  </r>
  <r>
    <x v="8"/>
    <x v="1"/>
    <x v="20"/>
    <x v="0"/>
    <n v="6566"/>
    <n v="99"/>
    <n v="66.323232323232318"/>
    <x v="0"/>
    <s v="Q1"/>
    <s v="Large"/>
  </r>
  <r>
    <x v="6"/>
    <x v="1"/>
    <x v="11"/>
    <x v="105"/>
    <n v="13503"/>
    <n v="251"/>
    <n v="53.796812749003983"/>
    <x v="4"/>
    <s v="Q1"/>
    <s v="Large"/>
  </r>
  <r>
    <x v="12"/>
    <x v="0"/>
    <x v="12"/>
    <x v="20"/>
    <n v="8680"/>
    <n v="252"/>
    <n v="34.444444444444443"/>
    <x v="4"/>
    <s v="Q1"/>
    <s v="Large"/>
  </r>
  <r>
    <x v="8"/>
    <x v="4"/>
    <x v="16"/>
    <x v="152"/>
    <n v="385"/>
    <n v="78"/>
    <n v="4.9358974358974361"/>
    <x v="4"/>
    <s v="Q1"/>
    <s v="Small"/>
  </r>
  <r>
    <x v="1"/>
    <x v="5"/>
    <x v="17"/>
    <x v="103"/>
    <n v="1267"/>
    <n v="130"/>
    <n v="9.7461538461538453"/>
    <x v="6"/>
    <s v="Q1"/>
    <s v="Large"/>
  </r>
  <r>
    <x v="18"/>
    <x v="2"/>
    <x v="19"/>
    <x v="6"/>
    <n v="2961"/>
    <n v="154"/>
    <n v="19.227272727272727"/>
    <x v="0"/>
    <s v="Q1"/>
    <s v="Large"/>
  </r>
  <r>
    <x v="6"/>
    <x v="2"/>
    <x v="11"/>
    <x v="109"/>
    <n v="1981"/>
    <n v="52"/>
    <n v="38.096153846153847"/>
    <x v="2"/>
    <s v="Q3"/>
    <s v="Large"/>
  </r>
  <r>
    <x v="15"/>
    <x v="2"/>
    <x v="13"/>
    <x v="82"/>
    <n v="7959"/>
    <n v="53"/>
    <n v="150.16981132075472"/>
    <x v="0"/>
    <s v="Q1"/>
    <s v="Large"/>
  </r>
  <r>
    <x v="22"/>
    <x v="2"/>
    <x v="10"/>
    <x v="25"/>
    <n v="10794"/>
    <n v="50"/>
    <n v="215.88"/>
    <x v="2"/>
    <s v="Q3"/>
    <s v="Large"/>
  </r>
  <r>
    <x v="1"/>
    <x v="1"/>
    <x v="14"/>
    <x v="111"/>
    <n v="1897"/>
    <n v="44"/>
    <n v="43.113636363636367"/>
    <x v="6"/>
    <s v="Q1"/>
    <s v="Large"/>
  </r>
  <r>
    <x v="5"/>
    <x v="5"/>
    <x v="5"/>
    <x v="117"/>
    <n v="2744"/>
    <n v="200"/>
    <n v="13.72"/>
    <x v="1"/>
    <s v="Q3"/>
    <s v="Large"/>
  </r>
  <r>
    <x v="3"/>
    <x v="4"/>
    <x v="13"/>
    <x v="19"/>
    <n v="4382"/>
    <n v="361"/>
    <n v="12.138504155124654"/>
    <x v="5"/>
    <s v="Q2"/>
    <s v="Large"/>
  </r>
  <r>
    <x v="3"/>
    <x v="5"/>
    <x v="5"/>
    <x v="57"/>
    <n v="4515"/>
    <n v="172"/>
    <n v="26.25"/>
    <x v="2"/>
    <s v="Q3"/>
    <s v="Large"/>
  </r>
  <r>
    <x v="8"/>
    <x v="3"/>
    <x v="15"/>
    <x v="4"/>
    <n v="5474"/>
    <n v="239"/>
    <n v="22.90376569037657"/>
    <x v="4"/>
    <s v="Q1"/>
    <s v="Large"/>
  </r>
  <r>
    <x v="10"/>
    <x v="3"/>
    <x v="1"/>
    <x v="44"/>
    <n v="6069"/>
    <n v="55"/>
    <n v="110.34545454545454"/>
    <x v="5"/>
    <s v="Q2"/>
    <s v="Large"/>
  </r>
  <r>
    <x v="4"/>
    <x v="2"/>
    <x v="1"/>
    <x v="30"/>
    <n v="6944"/>
    <n v="27"/>
    <n v="257.18518518518516"/>
    <x v="5"/>
    <s v="Q2"/>
    <s v="Large"/>
  </r>
  <r>
    <x v="14"/>
    <x v="5"/>
    <x v="18"/>
    <x v="61"/>
    <n v="5859"/>
    <n v="7"/>
    <n v="837"/>
    <x v="1"/>
    <s v="Q3"/>
    <s v="Large"/>
  </r>
  <r>
    <x v="16"/>
    <x v="1"/>
    <x v="21"/>
    <x v="80"/>
    <n v="12173"/>
    <n v="301"/>
    <n v="40.441860465116278"/>
    <x v="0"/>
    <s v="Q1"/>
    <s v="Large"/>
  </r>
  <r>
    <x v="12"/>
    <x v="4"/>
    <x v="14"/>
    <x v="54"/>
    <n v="5292"/>
    <n v="134"/>
    <n v="39.492537313432834"/>
    <x v="6"/>
    <s v="Q1"/>
    <s v="Large"/>
  </r>
  <r>
    <x v="24"/>
    <x v="3"/>
    <x v="5"/>
    <x v="130"/>
    <n v="5705"/>
    <n v="350"/>
    <n v="16.3"/>
    <x v="5"/>
    <s v="Q2"/>
    <s v="Large"/>
  </r>
  <r>
    <x v="15"/>
    <x v="1"/>
    <x v="12"/>
    <x v="38"/>
    <n v="2492"/>
    <n v="33"/>
    <n v="75.515151515151516"/>
    <x v="1"/>
    <s v="Q3"/>
    <s v="Large"/>
  </r>
  <r>
    <x v="5"/>
    <x v="5"/>
    <x v="6"/>
    <x v="0"/>
    <n v="3024"/>
    <n v="23"/>
    <n v="131.47826086956522"/>
    <x v="0"/>
    <s v="Q1"/>
    <s v="Large"/>
  </r>
  <r>
    <x v="14"/>
    <x v="1"/>
    <x v="11"/>
    <x v="16"/>
    <n v="3437"/>
    <n v="201"/>
    <n v="17.099502487562191"/>
    <x v="3"/>
    <s v="Q2"/>
    <s v="Large"/>
  </r>
  <r>
    <x v="12"/>
    <x v="1"/>
    <x v="11"/>
    <x v="35"/>
    <n v="1869"/>
    <n v="323"/>
    <n v="5.7863777089783284"/>
    <x v="3"/>
    <s v="Q2"/>
    <s v="Large"/>
  </r>
  <r>
    <x v="15"/>
    <x v="2"/>
    <x v="14"/>
    <x v="29"/>
    <n v="3171"/>
    <n v="220"/>
    <n v="14.413636363636364"/>
    <x v="7"/>
    <s v="Q2"/>
    <s v="Large"/>
  </r>
  <r>
    <x v="19"/>
    <x v="5"/>
    <x v="15"/>
    <x v="129"/>
    <n v="4858"/>
    <n v="488"/>
    <n v="9.9549180327868854"/>
    <x v="2"/>
    <s v="Q3"/>
    <s v="Large"/>
  </r>
  <r>
    <x v="3"/>
    <x v="3"/>
    <x v="7"/>
    <x v="58"/>
    <n v="1225"/>
    <n v="84"/>
    <n v="14.583333333333334"/>
    <x v="4"/>
    <s v="Q1"/>
    <s v="Large"/>
  </r>
  <r>
    <x v="19"/>
    <x v="5"/>
    <x v="3"/>
    <x v="51"/>
    <n v="1155"/>
    <n v="79"/>
    <n v="14.620253164556962"/>
    <x v="2"/>
    <s v="Q3"/>
    <s v="Large"/>
  </r>
  <r>
    <x v="5"/>
    <x v="0"/>
    <x v="17"/>
    <x v="155"/>
    <n v="6811"/>
    <n v="344"/>
    <n v="19.799418604651162"/>
    <x v="1"/>
    <s v="Q3"/>
    <s v="Large"/>
  </r>
  <r>
    <x v="15"/>
    <x v="3"/>
    <x v="5"/>
    <x v="117"/>
    <n v="6433"/>
    <n v="7"/>
    <n v="919"/>
    <x v="1"/>
    <s v="Q3"/>
    <s v="Large"/>
  </r>
  <r>
    <x v="19"/>
    <x v="3"/>
    <x v="7"/>
    <x v="107"/>
    <n v="8169"/>
    <n v="88"/>
    <n v="92.829545454545453"/>
    <x v="5"/>
    <s v="Q2"/>
    <s v="Large"/>
  </r>
  <r>
    <x v="17"/>
    <x v="0"/>
    <x v="19"/>
    <x v="154"/>
    <n v="2275"/>
    <n v="275"/>
    <n v="8.2727272727272734"/>
    <x v="0"/>
    <s v="Q1"/>
    <s v="Large"/>
  </r>
  <r>
    <x v="0"/>
    <x v="5"/>
    <x v="7"/>
    <x v="130"/>
    <n v="3857"/>
    <n v="512"/>
    <n v="7.533203125"/>
    <x v="5"/>
    <s v="Q2"/>
    <s v="Large"/>
  </r>
  <r>
    <x v="0"/>
    <x v="0"/>
    <x v="3"/>
    <x v="32"/>
    <n v="1463"/>
    <n v="113"/>
    <n v="12.946902654867257"/>
    <x v="1"/>
    <s v="Q3"/>
    <s v="Large"/>
  </r>
  <r>
    <x v="19"/>
    <x v="0"/>
    <x v="20"/>
    <x v="76"/>
    <n v="7924"/>
    <n v="275"/>
    <n v="28.814545454545456"/>
    <x v="5"/>
    <s v="Q2"/>
    <s v="Large"/>
  </r>
  <r>
    <x v="3"/>
    <x v="0"/>
    <x v="14"/>
    <x v="137"/>
    <n v="8799"/>
    <n v="47"/>
    <n v="187.21276595744681"/>
    <x v="5"/>
    <s v="Q2"/>
    <s v="Large"/>
  </r>
  <r>
    <x v="23"/>
    <x v="4"/>
    <x v="13"/>
    <x v="57"/>
    <n v="2898"/>
    <n v="276"/>
    <n v="10.5"/>
    <x v="2"/>
    <s v="Q3"/>
    <s v="Large"/>
  </r>
  <r>
    <x v="20"/>
    <x v="0"/>
    <x v="18"/>
    <x v="27"/>
    <n v="9506"/>
    <n v="212"/>
    <n v="44.839622641509436"/>
    <x v="7"/>
    <s v="Q2"/>
    <s v="Large"/>
  </r>
  <r>
    <x v="5"/>
    <x v="3"/>
    <x v="5"/>
    <x v="145"/>
    <n v="7175"/>
    <n v="145"/>
    <n v="49.482758620689658"/>
    <x v="1"/>
    <s v="Q3"/>
    <s v="Large"/>
  </r>
  <r>
    <x v="16"/>
    <x v="5"/>
    <x v="1"/>
    <x v="81"/>
    <n v="1729"/>
    <n v="31"/>
    <n v="55.774193548387096"/>
    <x v="3"/>
    <s v="Q2"/>
    <s v="Large"/>
  </r>
  <r>
    <x v="3"/>
    <x v="3"/>
    <x v="15"/>
    <x v="12"/>
    <n v="1589"/>
    <n v="271"/>
    <n v="5.8634686346863472"/>
    <x v="2"/>
    <s v="Q3"/>
    <s v="Large"/>
  </r>
  <r>
    <x v="5"/>
    <x v="3"/>
    <x v="17"/>
    <x v="32"/>
    <n v="630"/>
    <n v="52"/>
    <n v="12.115384615384615"/>
    <x v="1"/>
    <s v="Q3"/>
    <s v="Large"/>
  </r>
  <r>
    <x v="1"/>
    <x v="2"/>
    <x v="4"/>
    <x v="154"/>
    <n v="112"/>
    <n v="128"/>
    <n v="0.875"/>
    <x v="0"/>
    <s v="Q1"/>
    <s v="Small"/>
  </r>
  <r>
    <x v="14"/>
    <x v="4"/>
    <x v="9"/>
    <x v="64"/>
    <n v="5187"/>
    <n v="142"/>
    <n v="36.528169014084504"/>
    <x v="4"/>
    <s v="Q1"/>
    <s v="Large"/>
  </r>
  <r>
    <x v="6"/>
    <x v="2"/>
    <x v="12"/>
    <x v="122"/>
    <n v="6223"/>
    <n v="256"/>
    <n v="24.30859375"/>
    <x v="7"/>
    <s v="Q2"/>
    <s v="Large"/>
  </r>
  <r>
    <x v="9"/>
    <x v="3"/>
    <x v="1"/>
    <x v="5"/>
    <n v="7714"/>
    <n v="106"/>
    <n v="72.773584905660371"/>
    <x v="5"/>
    <s v="Q2"/>
    <s v="Large"/>
  </r>
  <r>
    <x v="18"/>
    <x v="4"/>
    <x v="18"/>
    <x v="5"/>
    <n v="9457"/>
    <n v="6"/>
    <n v="1576.1666666666667"/>
    <x v="5"/>
    <s v="Q2"/>
    <s v="Large"/>
  </r>
  <r>
    <x v="12"/>
    <x v="3"/>
    <x v="10"/>
    <x v="27"/>
    <n v="6678"/>
    <n v="226"/>
    <n v="29.548672566371682"/>
    <x v="7"/>
    <s v="Q2"/>
    <s v="Large"/>
  </r>
  <r>
    <x v="5"/>
    <x v="0"/>
    <x v="6"/>
    <x v="10"/>
    <n v="2107"/>
    <n v="121"/>
    <n v="17.41322314049587"/>
    <x v="0"/>
    <s v="Q1"/>
    <s v="Large"/>
  </r>
  <r>
    <x v="11"/>
    <x v="4"/>
    <x v="17"/>
    <x v="123"/>
    <n v="6069"/>
    <n v="151"/>
    <n v="40.192052980132452"/>
    <x v="7"/>
    <s v="Q2"/>
    <s v="Large"/>
  </r>
  <r>
    <x v="0"/>
    <x v="0"/>
    <x v="14"/>
    <x v="28"/>
    <n v="1862"/>
    <n v="284"/>
    <n v="6.556338028169014"/>
    <x v="5"/>
    <s v="Q2"/>
    <s v="Large"/>
  </r>
  <r>
    <x v="0"/>
    <x v="3"/>
    <x v="1"/>
    <x v="54"/>
    <n v="6972"/>
    <n v="89"/>
    <n v="78.337078651685388"/>
    <x v="6"/>
    <s v="Q1"/>
    <s v="Large"/>
  </r>
  <r>
    <x v="23"/>
    <x v="4"/>
    <x v="1"/>
    <x v="91"/>
    <n v="10220"/>
    <n v="508"/>
    <n v="20.118110236220474"/>
    <x v="3"/>
    <s v="Q2"/>
    <s v="Large"/>
  </r>
  <r>
    <x v="7"/>
    <x v="2"/>
    <x v="3"/>
    <x v="21"/>
    <n v="3969"/>
    <n v="243"/>
    <n v="16.333333333333332"/>
    <x v="7"/>
    <s v="Q2"/>
    <s v="Large"/>
  </r>
  <r>
    <x v="14"/>
    <x v="1"/>
    <x v="15"/>
    <x v="123"/>
    <n v="1547"/>
    <n v="170"/>
    <n v="9.1"/>
    <x v="7"/>
    <s v="Q2"/>
    <s v="Large"/>
  </r>
  <r>
    <x v="9"/>
    <x v="4"/>
    <x v="2"/>
    <x v="123"/>
    <n v="1162"/>
    <n v="18"/>
    <n v="64.555555555555557"/>
    <x v="7"/>
    <s v="Q2"/>
    <s v="Large"/>
  </r>
  <r>
    <x v="1"/>
    <x v="5"/>
    <x v="2"/>
    <x v="132"/>
    <n v="6342"/>
    <n v="282"/>
    <n v="22.48936170212766"/>
    <x v="5"/>
    <s v="Q2"/>
    <s v="Large"/>
  </r>
  <r>
    <x v="20"/>
    <x v="3"/>
    <x v="3"/>
    <x v="54"/>
    <n v="10633"/>
    <n v="277"/>
    <n v="38.386281588447652"/>
    <x v="6"/>
    <s v="Q1"/>
    <s v="Large"/>
  </r>
  <r>
    <x v="7"/>
    <x v="4"/>
    <x v="3"/>
    <x v="109"/>
    <n v="15057"/>
    <n v="212"/>
    <n v="71.023584905660371"/>
    <x v="2"/>
    <s v="Q3"/>
    <s v="Large"/>
  </r>
  <r>
    <x v="7"/>
    <x v="4"/>
    <x v="14"/>
    <x v="160"/>
    <n v="4704"/>
    <n v="126"/>
    <n v="37.333333333333336"/>
    <x v="1"/>
    <s v="Q3"/>
    <s v="Large"/>
  </r>
  <r>
    <x v="13"/>
    <x v="5"/>
    <x v="3"/>
    <x v="66"/>
    <n v="9338"/>
    <n v="11"/>
    <n v="848.90909090909088"/>
    <x v="6"/>
    <s v="Q1"/>
    <s v="Large"/>
  </r>
  <r>
    <x v="14"/>
    <x v="3"/>
    <x v="5"/>
    <x v="16"/>
    <n v="7959"/>
    <n v="30"/>
    <n v="265.3"/>
    <x v="3"/>
    <s v="Q2"/>
    <s v="Large"/>
  </r>
  <r>
    <x v="21"/>
    <x v="1"/>
    <x v="1"/>
    <x v="116"/>
    <n v="9023"/>
    <n v="51"/>
    <n v="176.92156862745097"/>
    <x v="7"/>
    <s v="Q2"/>
    <s v="Large"/>
  </r>
  <r>
    <x v="24"/>
    <x v="4"/>
    <x v="18"/>
    <x v="0"/>
    <n v="14525"/>
    <n v="92"/>
    <n v="157.88043478260869"/>
    <x v="0"/>
    <s v="Q1"/>
    <s v="Large"/>
  </r>
  <r>
    <x v="11"/>
    <x v="2"/>
    <x v="19"/>
    <x v="10"/>
    <n v="5810"/>
    <n v="101"/>
    <n v="57.524752475247524"/>
    <x v="0"/>
    <s v="Q1"/>
    <s v="Large"/>
  </r>
  <r>
    <x v="18"/>
    <x v="3"/>
    <x v="13"/>
    <x v="36"/>
    <n v="6426"/>
    <n v="98"/>
    <n v="65.571428571428569"/>
    <x v="2"/>
    <s v="Q3"/>
    <s v="Large"/>
  </r>
  <r>
    <x v="16"/>
    <x v="2"/>
    <x v="0"/>
    <x v="134"/>
    <n v="4403"/>
    <n v="159"/>
    <n v="27.691823899371069"/>
    <x v="7"/>
    <s v="Q2"/>
    <s v="Large"/>
  </r>
  <r>
    <x v="21"/>
    <x v="3"/>
    <x v="2"/>
    <x v="129"/>
    <n v="1582"/>
    <n v="62"/>
    <n v="25.516129032258064"/>
    <x v="2"/>
    <s v="Q3"/>
    <s v="Large"/>
  </r>
  <r>
    <x v="14"/>
    <x v="5"/>
    <x v="10"/>
    <x v="105"/>
    <n v="791"/>
    <n v="22"/>
    <n v="35.954545454545453"/>
    <x v="4"/>
    <s v="Q1"/>
    <s v="Large"/>
  </r>
  <r>
    <x v="3"/>
    <x v="1"/>
    <x v="4"/>
    <x v="123"/>
    <n v="9100"/>
    <n v="187"/>
    <n v="48.663101604278076"/>
    <x v="7"/>
    <s v="Q2"/>
    <s v="Large"/>
  </r>
  <r>
    <x v="7"/>
    <x v="5"/>
    <x v="9"/>
    <x v="97"/>
    <n v="9884"/>
    <n v="200"/>
    <n v="49.42"/>
    <x v="2"/>
    <s v="Q3"/>
    <s v="Large"/>
  </r>
  <r>
    <x v="3"/>
    <x v="0"/>
    <x v="7"/>
    <x v="26"/>
    <n v="3780"/>
    <n v="201"/>
    <n v="18.805970149253731"/>
    <x v="5"/>
    <s v="Q2"/>
    <s v="Large"/>
  </r>
  <r>
    <x v="8"/>
    <x v="3"/>
    <x v="6"/>
    <x v="130"/>
    <n v="4557"/>
    <n v="308"/>
    <n v="14.795454545454545"/>
    <x v="5"/>
    <s v="Q2"/>
    <s v="Large"/>
  </r>
  <r>
    <x v="14"/>
    <x v="2"/>
    <x v="8"/>
    <x v="112"/>
    <n v="5796"/>
    <n v="55"/>
    <n v="105.38181818181818"/>
    <x v="6"/>
    <s v="Q1"/>
    <s v="Large"/>
  </r>
  <r>
    <x v="3"/>
    <x v="1"/>
    <x v="20"/>
    <x v="9"/>
    <n v="84"/>
    <n v="153"/>
    <n v="0.5490196078431373"/>
    <x v="2"/>
    <s v="Q3"/>
    <s v="Small"/>
  </r>
  <r>
    <x v="19"/>
    <x v="0"/>
    <x v="14"/>
    <x v="65"/>
    <n v="9037"/>
    <n v="101"/>
    <n v="89.475247524752476"/>
    <x v="7"/>
    <s v="Q2"/>
    <s v="Large"/>
  </r>
  <r>
    <x v="21"/>
    <x v="3"/>
    <x v="17"/>
    <x v="92"/>
    <n v="4746"/>
    <n v="137"/>
    <n v="34.642335766423358"/>
    <x v="3"/>
    <s v="Q2"/>
    <s v="Large"/>
  </r>
  <r>
    <x v="22"/>
    <x v="2"/>
    <x v="7"/>
    <x v="35"/>
    <n v="6713"/>
    <n v="398"/>
    <n v="16.866834170854272"/>
    <x v="3"/>
    <s v="Q2"/>
    <s v="Large"/>
  </r>
  <r>
    <x v="13"/>
    <x v="5"/>
    <x v="8"/>
    <x v="121"/>
    <n v="6237"/>
    <n v="88"/>
    <n v="70.875"/>
    <x v="6"/>
    <s v="Q1"/>
    <s v="Large"/>
  </r>
  <r>
    <x v="10"/>
    <x v="1"/>
    <x v="14"/>
    <x v="154"/>
    <n v="7483"/>
    <n v="232"/>
    <n v="32.254310344827587"/>
    <x v="0"/>
    <s v="Q1"/>
    <s v="Large"/>
  </r>
  <r>
    <x v="18"/>
    <x v="1"/>
    <x v="0"/>
    <x v="38"/>
    <n v="1309"/>
    <n v="51"/>
    <n v="25.666666666666668"/>
    <x v="1"/>
    <s v="Q3"/>
    <s v="Large"/>
  </r>
  <r>
    <x v="19"/>
    <x v="0"/>
    <x v="4"/>
    <x v="90"/>
    <n v="1155"/>
    <n v="66"/>
    <n v="17.5"/>
    <x v="2"/>
    <s v="Q3"/>
    <s v="Large"/>
  </r>
  <r>
    <x v="11"/>
    <x v="0"/>
    <x v="6"/>
    <x v="107"/>
    <n v="2989"/>
    <n v="124"/>
    <n v="24.10483870967742"/>
    <x v="5"/>
    <s v="Q2"/>
    <s v="Large"/>
  </r>
  <r>
    <x v="24"/>
    <x v="1"/>
    <x v="18"/>
    <x v="16"/>
    <n v="9625"/>
    <n v="78"/>
    <n v="123.3974358974359"/>
    <x v="3"/>
    <s v="Q2"/>
    <s v="Large"/>
  </r>
  <r>
    <x v="22"/>
    <x v="0"/>
    <x v="17"/>
    <x v="56"/>
    <n v="7357"/>
    <n v="341"/>
    <n v="21.574780058651026"/>
    <x v="1"/>
    <s v="Q3"/>
    <s v="Large"/>
  </r>
  <r>
    <x v="18"/>
    <x v="2"/>
    <x v="6"/>
    <x v="13"/>
    <n v="10031"/>
    <n v="114"/>
    <n v="87.991228070175438"/>
    <x v="1"/>
    <s v="Q3"/>
    <s v="Large"/>
  </r>
  <r>
    <x v="2"/>
    <x v="5"/>
    <x v="14"/>
    <x v="36"/>
    <n v="6587"/>
    <n v="4"/>
    <n v="1646.75"/>
    <x v="2"/>
    <s v="Q3"/>
    <s v="Large"/>
  </r>
  <r>
    <x v="18"/>
    <x v="3"/>
    <x v="8"/>
    <x v="54"/>
    <n v="3311"/>
    <n v="22"/>
    <n v="150.5"/>
    <x v="6"/>
    <s v="Q1"/>
    <s v="Large"/>
  </r>
  <r>
    <x v="6"/>
    <x v="0"/>
    <x v="2"/>
    <x v="53"/>
    <n v="15330"/>
    <n v="30"/>
    <n v="511"/>
    <x v="0"/>
    <s v="Q1"/>
    <s v="Large"/>
  </r>
  <r>
    <x v="13"/>
    <x v="0"/>
    <x v="19"/>
    <x v="92"/>
    <n v="14028"/>
    <n v="351"/>
    <n v="39.965811965811966"/>
    <x v="3"/>
    <s v="Q2"/>
    <s v="Large"/>
  </r>
  <r>
    <x v="10"/>
    <x v="2"/>
    <x v="6"/>
    <x v="154"/>
    <n v="6678"/>
    <n v="708"/>
    <n v="9.4322033898305087"/>
    <x v="0"/>
    <s v="Q1"/>
    <s v="Large"/>
  </r>
  <r>
    <x v="11"/>
    <x v="3"/>
    <x v="10"/>
    <x v="51"/>
    <n v="8624"/>
    <n v="50"/>
    <n v="172.48"/>
    <x v="2"/>
    <s v="Q3"/>
    <s v="Large"/>
  </r>
  <r>
    <x v="3"/>
    <x v="0"/>
    <x v="10"/>
    <x v="77"/>
    <n v="1197"/>
    <n v="356"/>
    <n v="3.3623595505617976"/>
    <x v="3"/>
    <s v="Q2"/>
    <s v="Large"/>
  </r>
  <r>
    <x v="7"/>
    <x v="5"/>
    <x v="13"/>
    <x v="32"/>
    <n v="483"/>
    <n v="185"/>
    <n v="2.6108108108108108"/>
    <x v="1"/>
    <s v="Q3"/>
    <s v="Small"/>
  </r>
  <r>
    <x v="24"/>
    <x v="0"/>
    <x v="18"/>
    <x v="76"/>
    <n v="1687"/>
    <n v="236"/>
    <n v="7.148305084745763"/>
    <x v="5"/>
    <s v="Q2"/>
    <s v="Large"/>
  </r>
  <r>
    <x v="5"/>
    <x v="5"/>
    <x v="16"/>
    <x v="12"/>
    <n v="1309"/>
    <n v="30"/>
    <n v="43.633333333333333"/>
    <x v="2"/>
    <s v="Q3"/>
    <s v="Large"/>
  </r>
  <r>
    <x v="15"/>
    <x v="4"/>
    <x v="4"/>
    <x v="84"/>
    <n v="9534"/>
    <n v="111"/>
    <n v="85.891891891891888"/>
    <x v="4"/>
    <s v="Q1"/>
    <s v="Large"/>
  </r>
  <r>
    <x v="17"/>
    <x v="5"/>
    <x v="0"/>
    <x v="70"/>
    <n v="1694"/>
    <n v="289"/>
    <n v="5.8615916955017298"/>
    <x v="3"/>
    <s v="Q2"/>
    <s v="Large"/>
  </r>
  <r>
    <x v="6"/>
    <x v="0"/>
    <x v="15"/>
    <x v="44"/>
    <n v="70"/>
    <n v="103"/>
    <n v="0.67961165048543692"/>
    <x v="5"/>
    <s v="Q2"/>
    <s v="Small"/>
  </r>
  <r>
    <x v="1"/>
    <x v="0"/>
    <x v="19"/>
    <x v="7"/>
    <n v="2443"/>
    <n v="20"/>
    <n v="122.15"/>
    <x v="6"/>
    <s v="Q1"/>
    <s v="Large"/>
  </r>
  <r>
    <x v="8"/>
    <x v="2"/>
    <x v="20"/>
    <x v="99"/>
    <n v="2933"/>
    <n v="55"/>
    <n v="53.327272727272728"/>
    <x v="2"/>
    <s v="Q3"/>
    <s v="Large"/>
  </r>
  <r>
    <x v="17"/>
    <x v="4"/>
    <x v="8"/>
    <x v="63"/>
    <n v="2044"/>
    <n v="90"/>
    <n v="22.711111111111112"/>
    <x v="7"/>
    <s v="Q2"/>
    <s v="Large"/>
  </r>
  <r>
    <x v="2"/>
    <x v="2"/>
    <x v="17"/>
    <x v="159"/>
    <n v="6524"/>
    <n v="303"/>
    <n v="21.53135313531353"/>
    <x v="6"/>
    <s v="Q1"/>
    <s v="Large"/>
  </r>
  <r>
    <x v="17"/>
    <x v="4"/>
    <x v="10"/>
    <x v="135"/>
    <n v="12656"/>
    <n v="126"/>
    <n v="100.44444444444444"/>
    <x v="2"/>
    <s v="Q3"/>
    <s v="Large"/>
  </r>
  <r>
    <x v="12"/>
    <x v="5"/>
    <x v="7"/>
    <x v="146"/>
    <n v="8722"/>
    <n v="109"/>
    <n v="80.018348623853214"/>
    <x v="7"/>
    <s v="Q2"/>
    <s v="Large"/>
  </r>
  <r>
    <x v="9"/>
    <x v="2"/>
    <x v="18"/>
    <x v="113"/>
    <n v="15750"/>
    <n v="92"/>
    <n v="171.19565217391303"/>
    <x v="6"/>
    <s v="Q1"/>
    <s v="Large"/>
  </r>
  <r>
    <x v="24"/>
    <x v="1"/>
    <x v="20"/>
    <x v="26"/>
    <n v="6839"/>
    <n v="56"/>
    <n v="122.125"/>
    <x v="5"/>
    <s v="Q2"/>
    <s v="Large"/>
  </r>
  <r>
    <x v="1"/>
    <x v="5"/>
    <x v="6"/>
    <x v="65"/>
    <n v="13685"/>
    <n v="58"/>
    <n v="235.94827586206895"/>
    <x v="7"/>
    <s v="Q2"/>
    <s v="Large"/>
  </r>
  <r>
    <x v="20"/>
    <x v="3"/>
    <x v="19"/>
    <x v="130"/>
    <n v="2912"/>
    <n v="110"/>
    <n v="26.472727272727273"/>
    <x v="5"/>
    <s v="Q2"/>
    <s v="Large"/>
  </r>
  <r>
    <x v="12"/>
    <x v="1"/>
    <x v="12"/>
    <x v="126"/>
    <n v="3339"/>
    <n v="171"/>
    <n v="19.526315789473685"/>
    <x v="3"/>
    <s v="Q2"/>
    <s v="Large"/>
  </r>
  <r>
    <x v="2"/>
    <x v="2"/>
    <x v="16"/>
    <x v="120"/>
    <n v="910"/>
    <n v="117"/>
    <n v="7.7777777777777777"/>
    <x v="1"/>
    <s v="Q3"/>
    <s v="Large"/>
  </r>
  <r>
    <x v="7"/>
    <x v="3"/>
    <x v="8"/>
    <x v="64"/>
    <n v="19481"/>
    <n v="51"/>
    <n v="381.98039215686276"/>
    <x v="4"/>
    <s v="Q1"/>
    <s v="Large"/>
  </r>
  <r>
    <x v="20"/>
    <x v="5"/>
    <x v="3"/>
    <x v="103"/>
    <n v="8099"/>
    <n v="118"/>
    <n v="68.63559322033899"/>
    <x v="6"/>
    <s v="Q1"/>
    <s v="Large"/>
  </r>
  <r>
    <x v="3"/>
    <x v="1"/>
    <x v="19"/>
    <x v="1"/>
    <n v="13727"/>
    <n v="79"/>
    <n v="173.75949367088609"/>
    <x v="1"/>
    <s v="Q3"/>
    <s v="Large"/>
  </r>
  <r>
    <x v="0"/>
    <x v="2"/>
    <x v="11"/>
    <x v="113"/>
    <n v="8659"/>
    <n v="29"/>
    <n v="298.58620689655174"/>
    <x v="6"/>
    <s v="Q1"/>
    <s v="Large"/>
  </r>
  <r>
    <x v="2"/>
    <x v="5"/>
    <x v="13"/>
    <x v="107"/>
    <n v="5782"/>
    <n v="103"/>
    <n v="56.135922330097088"/>
    <x v="5"/>
    <s v="Q2"/>
    <s v="Large"/>
  </r>
  <r>
    <x v="12"/>
    <x v="0"/>
    <x v="8"/>
    <x v="119"/>
    <n v="8463"/>
    <n v="155"/>
    <n v="54.6"/>
    <x v="3"/>
    <s v="Q2"/>
    <s v="Large"/>
  </r>
  <r>
    <x v="11"/>
    <x v="3"/>
    <x v="8"/>
    <x v="93"/>
    <n v="4914"/>
    <n v="31"/>
    <n v="158.51612903225808"/>
    <x v="0"/>
    <s v="Q1"/>
    <s v="Large"/>
  </r>
  <r>
    <x v="15"/>
    <x v="2"/>
    <x v="4"/>
    <x v="56"/>
    <n v="3087"/>
    <n v="128"/>
    <n v="24.1171875"/>
    <x v="1"/>
    <s v="Q3"/>
    <s v="Large"/>
  </r>
  <r>
    <x v="5"/>
    <x v="3"/>
    <x v="13"/>
    <x v="39"/>
    <n v="9205"/>
    <n v="419"/>
    <n v="21.968973747016708"/>
    <x v="5"/>
    <s v="Q2"/>
    <s v="Large"/>
  </r>
  <r>
    <x v="14"/>
    <x v="5"/>
    <x v="21"/>
    <x v="60"/>
    <n v="2303"/>
    <n v="7"/>
    <n v="329"/>
    <x v="0"/>
    <s v="Q1"/>
    <s v="Large"/>
  </r>
  <r>
    <x v="20"/>
    <x v="3"/>
    <x v="15"/>
    <x v="70"/>
    <n v="1358"/>
    <n v="106"/>
    <n v="12.811320754716981"/>
    <x v="3"/>
    <s v="Q2"/>
    <s v="Large"/>
  </r>
  <r>
    <x v="23"/>
    <x v="2"/>
    <x v="19"/>
    <x v="76"/>
    <n v="3605"/>
    <n v="68"/>
    <n v="53.014705882352942"/>
    <x v="5"/>
    <s v="Q2"/>
    <s v="Large"/>
  </r>
  <r>
    <x v="8"/>
    <x v="2"/>
    <x v="1"/>
    <x v="157"/>
    <n v="8498"/>
    <n v="44"/>
    <n v="193.13636363636363"/>
    <x v="4"/>
    <s v="Q1"/>
    <s v="Large"/>
  </r>
  <r>
    <x v="12"/>
    <x v="2"/>
    <x v="6"/>
    <x v="45"/>
    <n v="700"/>
    <n v="457"/>
    <n v="1.5317286652078774"/>
    <x v="7"/>
    <s v="Q2"/>
    <s v="Large"/>
  </r>
  <r>
    <x v="5"/>
    <x v="1"/>
    <x v="19"/>
    <x v="113"/>
    <n v="2191"/>
    <n v="524"/>
    <n v="4.1812977099236646"/>
    <x v="6"/>
    <s v="Q1"/>
    <s v="Large"/>
  </r>
  <r>
    <x v="1"/>
    <x v="2"/>
    <x v="6"/>
    <x v="57"/>
    <n v="644"/>
    <n v="137"/>
    <n v="4.7007299270072993"/>
    <x v="2"/>
    <s v="Q3"/>
    <s v="Large"/>
  </r>
  <r>
    <x v="4"/>
    <x v="4"/>
    <x v="15"/>
    <x v="90"/>
    <n v="4340"/>
    <n v="86"/>
    <n v="50.465116279069768"/>
    <x v="2"/>
    <s v="Q3"/>
    <s v="Large"/>
  </r>
  <r>
    <x v="1"/>
    <x v="5"/>
    <x v="18"/>
    <x v="125"/>
    <n v="2282"/>
    <n v="296"/>
    <n v="7.7094594594594597"/>
    <x v="1"/>
    <s v="Q3"/>
    <s v="Large"/>
  </r>
  <r>
    <x v="10"/>
    <x v="5"/>
    <x v="21"/>
    <x v="132"/>
    <n v="7714"/>
    <n v="597"/>
    <n v="12.921273031825796"/>
    <x v="5"/>
    <s v="Q2"/>
    <s v="Large"/>
  </r>
  <r>
    <x v="20"/>
    <x v="5"/>
    <x v="13"/>
    <x v="55"/>
    <n v="826"/>
    <n v="149"/>
    <n v="5.5436241610738257"/>
    <x v="5"/>
    <s v="Q2"/>
    <s v="Large"/>
  </r>
  <r>
    <x v="21"/>
    <x v="1"/>
    <x v="4"/>
    <x v="73"/>
    <n v="203"/>
    <n v="207"/>
    <n v="0.98067632850241548"/>
    <x v="1"/>
    <s v="Q3"/>
    <s v="Small"/>
  </r>
  <r>
    <x v="22"/>
    <x v="3"/>
    <x v="21"/>
    <x v="105"/>
    <n v="13356"/>
    <n v="93"/>
    <n v="143.61290322580646"/>
    <x v="4"/>
    <s v="Q1"/>
    <s v="Large"/>
  </r>
  <r>
    <x v="9"/>
    <x v="3"/>
    <x v="7"/>
    <x v="131"/>
    <n v="6510"/>
    <n v="23"/>
    <n v="283.04347826086956"/>
    <x v="4"/>
    <s v="Q1"/>
    <s v="Large"/>
  </r>
  <r>
    <x v="3"/>
    <x v="5"/>
    <x v="21"/>
    <x v="15"/>
    <n v="5894"/>
    <n v="305"/>
    <n v="19.324590163934428"/>
    <x v="4"/>
    <s v="Q1"/>
    <s v="Large"/>
  </r>
  <r>
    <x v="20"/>
    <x v="2"/>
    <x v="11"/>
    <x v="4"/>
    <n v="7910"/>
    <n v="125"/>
    <n v="63.28"/>
    <x v="4"/>
    <s v="Q1"/>
    <s v="Large"/>
  </r>
  <r>
    <x v="17"/>
    <x v="1"/>
    <x v="7"/>
    <x v="113"/>
    <n v="784"/>
    <n v="129"/>
    <n v="6.0775193798449614"/>
    <x v="6"/>
    <s v="Q1"/>
    <s v="Large"/>
  </r>
  <r>
    <x v="15"/>
    <x v="0"/>
    <x v="8"/>
    <x v="128"/>
    <n v="1750"/>
    <n v="252"/>
    <n v="6.9444444444444446"/>
    <x v="1"/>
    <s v="Q3"/>
    <s v="Large"/>
  </r>
  <r>
    <x v="2"/>
    <x v="4"/>
    <x v="2"/>
    <x v="122"/>
    <n v="280"/>
    <n v="75"/>
    <n v="3.7333333333333334"/>
    <x v="7"/>
    <s v="Q2"/>
    <s v="Small"/>
  </r>
  <r>
    <x v="18"/>
    <x v="4"/>
    <x v="3"/>
    <x v="93"/>
    <n v="504"/>
    <n v="87"/>
    <n v="5.7931034482758621"/>
    <x v="0"/>
    <s v="Q1"/>
    <s v="Large"/>
  </r>
  <r>
    <x v="14"/>
    <x v="1"/>
    <x v="14"/>
    <x v="9"/>
    <n v="7154"/>
    <n v="342"/>
    <n v="20.918128654970761"/>
    <x v="2"/>
    <s v="Q3"/>
    <s v="Large"/>
  </r>
  <r>
    <x v="4"/>
    <x v="3"/>
    <x v="12"/>
    <x v="161"/>
    <n v="1617"/>
    <n v="13"/>
    <n v="124.38461538461539"/>
    <x v="5"/>
    <s v="Q2"/>
    <s v="Large"/>
  </r>
  <r>
    <x v="12"/>
    <x v="3"/>
    <x v="2"/>
    <x v="37"/>
    <n v="10822"/>
    <n v="30"/>
    <n v="360.73333333333335"/>
    <x v="4"/>
    <s v="Q1"/>
    <s v="Large"/>
  </r>
  <r>
    <x v="23"/>
    <x v="3"/>
    <x v="4"/>
    <x v="122"/>
    <n v="10724"/>
    <n v="203"/>
    <n v="52.827586206896555"/>
    <x v="7"/>
    <s v="Q2"/>
    <s v="Large"/>
  </r>
  <r>
    <x v="20"/>
    <x v="1"/>
    <x v="21"/>
    <x v="5"/>
    <n v="3640"/>
    <n v="106"/>
    <n v="34.339622641509436"/>
    <x v="5"/>
    <s v="Q2"/>
    <s v="Large"/>
  </r>
  <r>
    <x v="20"/>
    <x v="1"/>
    <x v="9"/>
    <x v="9"/>
    <n v="7532"/>
    <n v="234"/>
    <n v="32.188034188034187"/>
    <x v="2"/>
    <s v="Q3"/>
    <s v="Large"/>
  </r>
  <r>
    <x v="6"/>
    <x v="3"/>
    <x v="9"/>
    <x v="5"/>
    <n v="1582"/>
    <n v="100"/>
    <n v="15.82"/>
    <x v="5"/>
    <s v="Q2"/>
    <s v="Large"/>
  </r>
  <r>
    <x v="23"/>
    <x v="2"/>
    <x v="16"/>
    <x v="110"/>
    <n v="1456"/>
    <n v="91"/>
    <n v="16"/>
    <x v="7"/>
    <s v="Q2"/>
    <s v="Large"/>
  </r>
  <r>
    <x v="18"/>
    <x v="3"/>
    <x v="10"/>
    <x v="60"/>
    <n v="2016"/>
    <n v="277"/>
    <n v="7.2779783393501809"/>
    <x v="0"/>
    <s v="Q1"/>
    <s v="Large"/>
  </r>
  <r>
    <x v="24"/>
    <x v="3"/>
    <x v="20"/>
    <x v="30"/>
    <n v="7588"/>
    <n v="42"/>
    <n v="180.66666666666666"/>
    <x v="5"/>
    <s v="Q2"/>
    <s v="Large"/>
  </r>
  <r>
    <x v="8"/>
    <x v="5"/>
    <x v="15"/>
    <x v="74"/>
    <n v="3402"/>
    <n v="249"/>
    <n v="13.662650602409638"/>
    <x v="1"/>
    <s v="Q3"/>
    <s v="Large"/>
  </r>
  <r>
    <x v="2"/>
    <x v="3"/>
    <x v="3"/>
    <x v="53"/>
    <n v="700"/>
    <n v="97"/>
    <n v="7.2164948453608249"/>
    <x v="0"/>
    <s v="Q1"/>
    <s v="Large"/>
  </r>
  <r>
    <x v="6"/>
    <x v="4"/>
    <x v="15"/>
    <x v="38"/>
    <n v="1904"/>
    <n v="8"/>
    <n v="238"/>
    <x v="1"/>
    <s v="Q3"/>
    <s v="Large"/>
  </r>
  <r>
    <x v="13"/>
    <x v="3"/>
    <x v="1"/>
    <x v="49"/>
    <n v="4844"/>
    <n v="275"/>
    <n v="17.614545454545453"/>
    <x v="3"/>
    <s v="Q2"/>
    <s v="Large"/>
  </r>
  <r>
    <x v="4"/>
    <x v="0"/>
    <x v="3"/>
    <x v="106"/>
    <n v="9625"/>
    <n v="313"/>
    <n v="30.750798722044728"/>
    <x v="7"/>
    <s v="Q2"/>
    <s v="Large"/>
  </r>
  <r>
    <x v="4"/>
    <x v="0"/>
    <x v="17"/>
    <x v="70"/>
    <n v="4599"/>
    <n v="323"/>
    <n v="14.238390092879257"/>
    <x v="3"/>
    <s v="Q2"/>
    <s v="Large"/>
  </r>
  <r>
    <x v="13"/>
    <x v="4"/>
    <x v="9"/>
    <x v="84"/>
    <n v="3003"/>
    <n v="155"/>
    <n v="19.374193548387098"/>
    <x v="4"/>
    <s v="Q1"/>
    <s v="Large"/>
  </r>
  <r>
    <x v="19"/>
    <x v="2"/>
    <x v="15"/>
    <x v="159"/>
    <n v="9744"/>
    <n v="377"/>
    <n v="25.846153846153847"/>
    <x v="6"/>
    <s v="Q1"/>
    <s v="Large"/>
  </r>
  <r>
    <x v="9"/>
    <x v="1"/>
    <x v="17"/>
    <x v="52"/>
    <n v="1400"/>
    <n v="2"/>
    <n v="700"/>
    <x v="6"/>
    <s v="Q1"/>
    <s v="Large"/>
  </r>
  <r>
    <x v="0"/>
    <x v="4"/>
    <x v="7"/>
    <x v="12"/>
    <n v="364"/>
    <n v="170"/>
    <n v="2.1411764705882352"/>
    <x v="2"/>
    <s v="Q3"/>
    <s v="Small"/>
  </r>
  <r>
    <x v="16"/>
    <x v="3"/>
    <x v="21"/>
    <x v="7"/>
    <n v="7231"/>
    <n v="38"/>
    <n v="190.28947368421052"/>
    <x v="6"/>
    <s v="Q1"/>
    <s v="Large"/>
  </r>
  <r>
    <x v="14"/>
    <x v="2"/>
    <x v="5"/>
    <x v="155"/>
    <n v="63"/>
    <n v="105"/>
    <n v="0.6"/>
    <x v="1"/>
    <s v="Q3"/>
    <s v="Small"/>
  </r>
  <r>
    <x v="15"/>
    <x v="0"/>
    <x v="16"/>
    <x v="134"/>
    <n v="8309"/>
    <n v="166"/>
    <n v="50.054216867469883"/>
    <x v="7"/>
    <s v="Q2"/>
    <s v="Large"/>
  </r>
  <r>
    <x v="16"/>
    <x v="5"/>
    <x v="18"/>
    <x v="43"/>
    <n v="3164"/>
    <n v="164"/>
    <n v="19.292682926829269"/>
    <x v="7"/>
    <s v="Q2"/>
    <s v="Large"/>
  </r>
  <r>
    <x v="13"/>
    <x v="0"/>
    <x v="2"/>
    <x v="120"/>
    <n v="5691"/>
    <n v="171"/>
    <n v="33.280701754385966"/>
    <x v="1"/>
    <s v="Q3"/>
    <s v="Large"/>
  </r>
  <r>
    <x v="24"/>
    <x v="3"/>
    <x v="8"/>
    <x v="92"/>
    <n v="490"/>
    <n v="49"/>
    <n v="10"/>
    <x v="3"/>
    <s v="Q2"/>
    <s v="Small"/>
  </r>
  <r>
    <x v="6"/>
    <x v="1"/>
    <x v="1"/>
    <x v="145"/>
    <n v="18032"/>
    <n v="205"/>
    <n v="87.960975609756105"/>
    <x v="1"/>
    <s v="Q3"/>
    <s v="Large"/>
  </r>
  <r>
    <x v="6"/>
    <x v="3"/>
    <x v="10"/>
    <x v="154"/>
    <n v="637"/>
    <n v="313"/>
    <n v="2.0351437699680512"/>
    <x v="0"/>
    <s v="Q1"/>
    <s v="Large"/>
  </r>
  <r>
    <x v="19"/>
    <x v="5"/>
    <x v="14"/>
    <x v="15"/>
    <n v="4067"/>
    <n v="29"/>
    <n v="140.24137931034483"/>
    <x v="4"/>
    <s v="Q1"/>
    <s v="Large"/>
  </r>
  <r>
    <x v="2"/>
    <x v="3"/>
    <x v="7"/>
    <x v="45"/>
    <n v="8204"/>
    <n v="307"/>
    <n v="26.723127035830618"/>
    <x v="7"/>
    <s v="Q2"/>
    <s v="Large"/>
  </r>
  <r>
    <x v="24"/>
    <x v="5"/>
    <x v="3"/>
    <x v="83"/>
    <n v="9870"/>
    <n v="121"/>
    <n v="81.570247933884303"/>
    <x v="6"/>
    <s v="Q1"/>
    <s v="Large"/>
  </r>
  <r>
    <x v="15"/>
    <x v="5"/>
    <x v="21"/>
    <x v="60"/>
    <n v="5131"/>
    <n v="285"/>
    <n v="18.003508771929823"/>
    <x v="0"/>
    <s v="Q1"/>
    <s v="Large"/>
  </r>
  <r>
    <x v="8"/>
    <x v="5"/>
    <x v="10"/>
    <x v="11"/>
    <n v="1141"/>
    <n v="205"/>
    <n v="5.565853658536585"/>
    <x v="6"/>
    <s v="Q1"/>
    <s v="Large"/>
  </r>
  <r>
    <x v="4"/>
    <x v="0"/>
    <x v="10"/>
    <x v="30"/>
    <n v="7980"/>
    <n v="157"/>
    <n v="50.828025477707008"/>
    <x v="5"/>
    <s v="Q2"/>
    <s v="Large"/>
  </r>
  <r>
    <x v="1"/>
    <x v="3"/>
    <x v="8"/>
    <x v="162"/>
    <n v="5229"/>
    <n v="182"/>
    <n v="28.73076923076923"/>
    <x v="6"/>
    <s v="Q1"/>
    <s v="Large"/>
  </r>
  <r>
    <x v="9"/>
    <x v="0"/>
    <x v="9"/>
    <x v="48"/>
    <n v="3423"/>
    <n v="100"/>
    <n v="34.229999999999997"/>
    <x v="7"/>
    <s v="Q2"/>
    <s v="Large"/>
  </r>
  <r>
    <x v="4"/>
    <x v="0"/>
    <x v="11"/>
    <x v="36"/>
    <n v="6468"/>
    <n v="223"/>
    <n v="29.004484304932735"/>
    <x v="2"/>
    <s v="Q3"/>
    <s v="Large"/>
  </r>
  <r>
    <x v="10"/>
    <x v="3"/>
    <x v="0"/>
    <x v="52"/>
    <n v="4326"/>
    <n v="61"/>
    <n v="70.918032786885249"/>
    <x v="6"/>
    <s v="Q1"/>
    <s v="Large"/>
  </r>
  <r>
    <x v="0"/>
    <x v="4"/>
    <x v="17"/>
    <x v="72"/>
    <n v="7154"/>
    <n v="133"/>
    <n v="53.789473684210527"/>
    <x v="6"/>
    <s v="Q1"/>
    <s v="Large"/>
  </r>
  <r>
    <x v="20"/>
    <x v="0"/>
    <x v="1"/>
    <x v="130"/>
    <n v="3997"/>
    <n v="228"/>
    <n v="17.530701754385966"/>
    <x v="5"/>
    <s v="Q2"/>
    <s v="Large"/>
  </r>
  <r>
    <x v="20"/>
    <x v="4"/>
    <x v="16"/>
    <x v="59"/>
    <n v="5180"/>
    <n v="233"/>
    <n v="22.231759656652361"/>
    <x v="0"/>
    <s v="Q1"/>
    <s v="Large"/>
  </r>
  <r>
    <x v="11"/>
    <x v="5"/>
    <x v="7"/>
    <x v="102"/>
    <n v="2723"/>
    <n v="425"/>
    <n v="6.4070588235294119"/>
    <x v="0"/>
    <s v="Q1"/>
    <s v="Large"/>
  </r>
  <r>
    <x v="17"/>
    <x v="1"/>
    <x v="13"/>
    <x v="99"/>
    <n v="952"/>
    <n v="24"/>
    <n v="39.666666666666664"/>
    <x v="2"/>
    <s v="Q3"/>
    <s v="Large"/>
  </r>
  <r>
    <x v="6"/>
    <x v="5"/>
    <x v="3"/>
    <x v="110"/>
    <n v="5691"/>
    <n v="495"/>
    <n v="11.496969696969696"/>
    <x v="7"/>
    <s v="Q2"/>
    <s v="Large"/>
  </r>
  <r>
    <x v="8"/>
    <x v="5"/>
    <x v="19"/>
    <x v="152"/>
    <n v="10969"/>
    <n v="170"/>
    <n v="64.523529411764713"/>
    <x v="4"/>
    <s v="Q1"/>
    <s v="Large"/>
  </r>
  <r>
    <x v="6"/>
    <x v="1"/>
    <x v="3"/>
    <x v="48"/>
    <n v="5964"/>
    <n v="26"/>
    <n v="229.38461538461539"/>
    <x v="7"/>
    <s v="Q2"/>
    <s v="Large"/>
  </r>
  <r>
    <x v="3"/>
    <x v="2"/>
    <x v="9"/>
    <x v="163"/>
    <n v="2821"/>
    <n v="24"/>
    <n v="117.54166666666667"/>
    <x v="4"/>
    <s v="Q1"/>
    <s v="Large"/>
  </r>
  <r>
    <x v="6"/>
    <x v="1"/>
    <x v="12"/>
    <x v="82"/>
    <n v="1302"/>
    <n v="33"/>
    <n v="39.454545454545453"/>
    <x v="0"/>
    <s v="Q1"/>
    <s v="Large"/>
  </r>
  <r>
    <x v="1"/>
    <x v="0"/>
    <x v="8"/>
    <x v="28"/>
    <n v="5474"/>
    <n v="109"/>
    <n v="50.220183486238533"/>
    <x v="5"/>
    <s v="Q2"/>
    <s v="Large"/>
  </r>
  <r>
    <x v="18"/>
    <x v="1"/>
    <x v="20"/>
    <x v="10"/>
    <n v="4179"/>
    <n v="276"/>
    <n v="15.141304347826088"/>
    <x v="0"/>
    <s v="Q1"/>
    <s v="Large"/>
  </r>
  <r>
    <x v="0"/>
    <x v="0"/>
    <x v="5"/>
    <x v="19"/>
    <n v="1946"/>
    <n v="164"/>
    <n v="11.865853658536585"/>
    <x v="5"/>
    <s v="Q2"/>
    <s v="Large"/>
  </r>
  <r>
    <x v="8"/>
    <x v="5"/>
    <x v="14"/>
    <x v="96"/>
    <n v="4291"/>
    <n v="1"/>
    <n v="4291"/>
    <x v="6"/>
    <s v="Q1"/>
    <s v="Large"/>
  </r>
  <r>
    <x v="5"/>
    <x v="1"/>
    <x v="10"/>
    <x v="161"/>
    <n v="7196"/>
    <n v="160"/>
    <n v="44.975000000000001"/>
    <x v="5"/>
    <s v="Q2"/>
    <s v="Large"/>
  </r>
  <r>
    <x v="9"/>
    <x v="5"/>
    <x v="3"/>
    <x v="139"/>
    <n v="1939"/>
    <n v="98"/>
    <n v="19.785714285714285"/>
    <x v="6"/>
    <s v="Q1"/>
    <s v="Large"/>
  </r>
  <r>
    <x v="9"/>
    <x v="1"/>
    <x v="8"/>
    <x v="77"/>
    <n v="10437"/>
    <n v="46"/>
    <n v="226.89130434782609"/>
    <x v="3"/>
    <s v="Q2"/>
    <s v="Large"/>
  </r>
  <r>
    <x v="7"/>
    <x v="2"/>
    <x v="17"/>
    <x v="78"/>
    <n v="6916"/>
    <n v="259"/>
    <n v="26.702702702702702"/>
    <x v="0"/>
    <s v="Q1"/>
    <s v="Large"/>
  </r>
  <r>
    <x v="10"/>
    <x v="0"/>
    <x v="6"/>
    <x v="81"/>
    <n v="3647"/>
    <n v="310"/>
    <n v="11.764516129032257"/>
    <x v="3"/>
    <s v="Q2"/>
    <s v="Large"/>
  </r>
  <r>
    <x v="16"/>
    <x v="2"/>
    <x v="6"/>
    <x v="73"/>
    <n v="8995"/>
    <n v="78"/>
    <n v="115.32051282051282"/>
    <x v="1"/>
    <s v="Q3"/>
    <s v="Large"/>
  </r>
  <r>
    <x v="2"/>
    <x v="2"/>
    <x v="8"/>
    <x v="77"/>
    <n v="7252"/>
    <n v="136"/>
    <n v="53.323529411764703"/>
    <x v="3"/>
    <s v="Q2"/>
    <s v="Large"/>
  </r>
  <r>
    <x v="4"/>
    <x v="1"/>
    <x v="9"/>
    <x v="129"/>
    <n v="16380"/>
    <n v="130"/>
    <n v="126"/>
    <x v="2"/>
    <s v="Q3"/>
    <s v="Large"/>
  </r>
  <r>
    <x v="1"/>
    <x v="3"/>
    <x v="19"/>
    <x v="127"/>
    <n v="9660"/>
    <n v="24"/>
    <n v="402.5"/>
    <x v="6"/>
    <s v="Q1"/>
    <s v="Large"/>
  </r>
  <r>
    <x v="15"/>
    <x v="1"/>
    <x v="2"/>
    <x v="122"/>
    <n v="4522"/>
    <n v="5"/>
    <n v="904.4"/>
    <x v="7"/>
    <s v="Q2"/>
    <s v="Large"/>
  </r>
  <r>
    <x v="19"/>
    <x v="2"/>
    <x v="19"/>
    <x v="145"/>
    <n v="329"/>
    <n v="109"/>
    <n v="3.0183486238532109"/>
    <x v="1"/>
    <s v="Q3"/>
    <s v="Small"/>
  </r>
  <r>
    <x v="22"/>
    <x v="5"/>
    <x v="18"/>
    <x v="164"/>
    <n v="3458"/>
    <n v="294"/>
    <n v="11.761904761904763"/>
    <x v="2"/>
    <s v="Q3"/>
    <s v="Large"/>
  </r>
  <r>
    <x v="6"/>
    <x v="1"/>
    <x v="21"/>
    <x v="49"/>
    <n v="4641"/>
    <n v="413"/>
    <n v="11.23728813559322"/>
    <x v="3"/>
    <s v="Q2"/>
    <s v="Large"/>
  </r>
  <r>
    <x v="0"/>
    <x v="5"/>
    <x v="14"/>
    <x v="6"/>
    <n v="4627"/>
    <n v="136"/>
    <n v="34.022058823529413"/>
    <x v="0"/>
    <s v="Q1"/>
    <s v="Large"/>
  </r>
  <r>
    <x v="19"/>
    <x v="2"/>
    <x v="16"/>
    <x v="91"/>
    <n v="3192"/>
    <n v="175"/>
    <n v="18.239999999999998"/>
    <x v="3"/>
    <s v="Q2"/>
    <s v="Large"/>
  </r>
  <r>
    <x v="23"/>
    <x v="5"/>
    <x v="5"/>
    <x v="154"/>
    <n v="252"/>
    <n v="237"/>
    <n v="1.0632911392405062"/>
    <x v="0"/>
    <s v="Q1"/>
    <s v="Small"/>
  </r>
  <r>
    <x v="10"/>
    <x v="4"/>
    <x v="8"/>
    <x v="88"/>
    <n v="868"/>
    <n v="125"/>
    <n v="6.944"/>
    <x v="1"/>
    <s v="Q3"/>
    <s v="Large"/>
  </r>
  <r>
    <x v="10"/>
    <x v="5"/>
    <x v="13"/>
    <x v="34"/>
    <n v="210"/>
    <n v="16"/>
    <n v="13.125"/>
    <x v="5"/>
    <s v="Q2"/>
    <s v="Small"/>
  </r>
  <r>
    <x v="5"/>
    <x v="4"/>
    <x v="1"/>
    <x v="30"/>
    <n v="7007"/>
    <n v="135"/>
    <n v="51.903703703703705"/>
    <x v="5"/>
    <s v="Q2"/>
    <s v="Large"/>
  </r>
  <r>
    <x v="23"/>
    <x v="3"/>
    <x v="17"/>
    <x v="157"/>
    <n v="5845"/>
    <n v="91"/>
    <n v="64.230769230769226"/>
    <x v="4"/>
    <s v="Q1"/>
    <s v="Large"/>
  </r>
  <r>
    <x v="11"/>
    <x v="5"/>
    <x v="20"/>
    <x v="37"/>
    <n v="1372"/>
    <n v="614"/>
    <n v="2.234527687296417"/>
    <x v="4"/>
    <s v="Q1"/>
    <s v="Large"/>
  </r>
  <r>
    <x v="17"/>
    <x v="1"/>
    <x v="10"/>
    <x v="59"/>
    <n v="8428"/>
    <n v="216"/>
    <n v="39.018518518518519"/>
    <x v="0"/>
    <s v="Q1"/>
    <s v="Large"/>
  </r>
  <r>
    <x v="21"/>
    <x v="0"/>
    <x v="0"/>
    <x v="46"/>
    <n v="4977"/>
    <n v="317"/>
    <n v="15.700315457413248"/>
    <x v="7"/>
    <s v="Q2"/>
    <s v="Large"/>
  </r>
  <r>
    <x v="6"/>
    <x v="4"/>
    <x v="21"/>
    <x v="49"/>
    <n v="1694"/>
    <n v="21"/>
    <n v="80.666666666666671"/>
    <x v="3"/>
    <s v="Q2"/>
    <s v="Large"/>
  </r>
  <r>
    <x v="22"/>
    <x v="2"/>
    <x v="4"/>
    <x v="1"/>
    <n v="4326"/>
    <n v="154"/>
    <n v="28.09090909090909"/>
    <x v="1"/>
    <s v="Q3"/>
    <s v="Large"/>
  </r>
  <r>
    <x v="9"/>
    <x v="2"/>
    <x v="8"/>
    <x v="38"/>
    <n v="9527"/>
    <n v="222"/>
    <n v="42.914414414414416"/>
    <x v="1"/>
    <s v="Q3"/>
    <s v="Large"/>
  </r>
  <r>
    <x v="11"/>
    <x v="1"/>
    <x v="4"/>
    <x v="31"/>
    <n v="10766"/>
    <n v="157"/>
    <n v="68.573248407643305"/>
    <x v="2"/>
    <s v="Q3"/>
    <s v="Large"/>
  </r>
  <r>
    <x v="15"/>
    <x v="4"/>
    <x v="13"/>
    <x v="165"/>
    <n v="1288"/>
    <n v="27"/>
    <n v="47.703703703703702"/>
    <x v="3"/>
    <s v="Q2"/>
    <s v="Large"/>
  </r>
  <r>
    <x v="20"/>
    <x v="2"/>
    <x v="16"/>
    <x v="21"/>
    <n v="4879"/>
    <n v="350"/>
    <n v="13.94"/>
    <x v="7"/>
    <s v="Q2"/>
    <s v="Large"/>
  </r>
  <r>
    <x v="24"/>
    <x v="4"/>
    <x v="11"/>
    <x v="129"/>
    <n v="2408"/>
    <n v="157"/>
    <n v="15.337579617834395"/>
    <x v="2"/>
    <s v="Q3"/>
    <s v="Large"/>
  </r>
  <r>
    <x v="3"/>
    <x v="0"/>
    <x v="20"/>
    <x v="73"/>
    <n v="3094"/>
    <n v="468"/>
    <n v="6.6111111111111107"/>
    <x v="1"/>
    <s v="Q3"/>
    <s v="Large"/>
  </r>
  <r>
    <x v="6"/>
    <x v="3"/>
    <x v="21"/>
    <x v="26"/>
    <n v="7231"/>
    <n v="130"/>
    <n v="55.623076923076923"/>
    <x v="5"/>
    <s v="Q2"/>
    <s v="Large"/>
  </r>
  <r>
    <x v="4"/>
    <x v="1"/>
    <x v="1"/>
    <x v="25"/>
    <n v="8981"/>
    <n v="130"/>
    <n v="69.08461538461539"/>
    <x v="2"/>
    <s v="Q3"/>
    <s v="Large"/>
  </r>
  <r>
    <x v="16"/>
    <x v="3"/>
    <x v="3"/>
    <x v="77"/>
    <n v="7"/>
    <n v="518"/>
    <n v="1.3513513513513514E-2"/>
    <x v="3"/>
    <s v="Q2"/>
    <s v="Small"/>
  </r>
  <r>
    <x v="2"/>
    <x v="2"/>
    <x v="21"/>
    <x v="61"/>
    <n v="1372"/>
    <n v="105"/>
    <n v="13.066666666666666"/>
    <x v="1"/>
    <s v="Q3"/>
    <s v="Large"/>
  </r>
  <r>
    <x v="3"/>
    <x v="0"/>
    <x v="6"/>
    <x v="89"/>
    <n v="5250"/>
    <n v="293"/>
    <n v="17.918088737201366"/>
    <x v="0"/>
    <s v="Q1"/>
    <s v="Large"/>
  </r>
  <r>
    <x v="5"/>
    <x v="5"/>
    <x v="14"/>
    <x v="155"/>
    <n v="7560"/>
    <n v="15"/>
    <n v="504"/>
    <x v="1"/>
    <s v="Q3"/>
    <s v="Large"/>
  </r>
  <r>
    <x v="0"/>
    <x v="2"/>
    <x v="12"/>
    <x v="10"/>
    <n v="5012"/>
    <n v="384"/>
    <n v="13.052083333333334"/>
    <x v="0"/>
    <s v="Q1"/>
    <s v="Large"/>
  </r>
  <r>
    <x v="15"/>
    <x v="0"/>
    <x v="19"/>
    <x v="94"/>
    <n v="3038"/>
    <n v="135"/>
    <n v="22.503703703703703"/>
    <x v="3"/>
    <s v="Q2"/>
    <s v="Large"/>
  </r>
  <r>
    <x v="7"/>
    <x v="3"/>
    <x v="5"/>
    <x v="2"/>
    <n v="1099"/>
    <n v="92"/>
    <n v="11.945652173913043"/>
    <x v="2"/>
    <s v="Q3"/>
    <s v="Large"/>
  </r>
  <r>
    <x v="22"/>
    <x v="3"/>
    <x v="0"/>
    <x v="54"/>
    <n v="7413"/>
    <n v="4"/>
    <n v="1853.25"/>
    <x v="6"/>
    <s v="Q1"/>
    <s v="Large"/>
  </r>
  <r>
    <x v="22"/>
    <x v="0"/>
    <x v="21"/>
    <x v="17"/>
    <n v="5397"/>
    <n v="239"/>
    <n v="22.581589958158997"/>
    <x v="4"/>
    <s v="Q1"/>
    <s v="Large"/>
  </r>
  <r>
    <x v="8"/>
    <x v="2"/>
    <x v="10"/>
    <x v="101"/>
    <n v="2303"/>
    <n v="33"/>
    <n v="69.787878787878782"/>
    <x v="0"/>
    <s v="Q1"/>
    <s v="Large"/>
  </r>
  <r>
    <x v="12"/>
    <x v="3"/>
    <x v="9"/>
    <x v="89"/>
    <n v="1141"/>
    <n v="518"/>
    <n v="2.2027027027027026"/>
    <x v="0"/>
    <s v="Q1"/>
    <s v="Large"/>
  </r>
  <r>
    <x v="12"/>
    <x v="1"/>
    <x v="8"/>
    <x v="133"/>
    <n v="10325"/>
    <n v="147"/>
    <n v="70.238095238095241"/>
    <x v="5"/>
    <s v="Q2"/>
    <s v="Large"/>
  </r>
  <r>
    <x v="19"/>
    <x v="1"/>
    <x v="8"/>
    <x v="45"/>
    <n v="2149"/>
    <n v="84"/>
    <n v="25.583333333333332"/>
    <x v="7"/>
    <s v="Q2"/>
    <s v="Large"/>
  </r>
  <r>
    <x v="2"/>
    <x v="0"/>
    <x v="1"/>
    <x v="130"/>
    <n v="12362"/>
    <n v="94"/>
    <n v="131.51063829787233"/>
    <x v="5"/>
    <s v="Q2"/>
    <s v="Large"/>
  </r>
  <r>
    <x v="13"/>
    <x v="0"/>
    <x v="17"/>
    <x v="82"/>
    <n v="12635"/>
    <n v="194"/>
    <n v="65.128865979381445"/>
    <x v="0"/>
    <s v="Q1"/>
    <s v="Large"/>
  </r>
  <r>
    <x v="23"/>
    <x v="0"/>
    <x v="0"/>
    <x v="166"/>
    <n v="2443"/>
    <n v="216"/>
    <n v="11.310185185185185"/>
    <x v="2"/>
    <s v="Q3"/>
    <s v="Large"/>
  </r>
  <r>
    <x v="8"/>
    <x v="5"/>
    <x v="9"/>
    <x v="158"/>
    <n v="6237"/>
    <n v="247"/>
    <n v="25.251012145748987"/>
    <x v="3"/>
    <s v="Q2"/>
    <s v="Large"/>
  </r>
  <r>
    <x v="4"/>
    <x v="4"/>
    <x v="11"/>
    <x v="107"/>
    <n v="1736"/>
    <n v="79"/>
    <n v="21.974683544303797"/>
    <x v="5"/>
    <s v="Q2"/>
    <s v="Large"/>
  </r>
  <r>
    <x v="4"/>
    <x v="0"/>
    <x v="7"/>
    <x v="35"/>
    <n v="7315"/>
    <n v="237"/>
    <n v="30.864978902953588"/>
    <x v="3"/>
    <s v="Q2"/>
    <s v="Large"/>
  </r>
  <r>
    <x v="14"/>
    <x v="5"/>
    <x v="2"/>
    <x v="33"/>
    <n v="4935"/>
    <n v="63"/>
    <n v="78.333333333333329"/>
    <x v="7"/>
    <s v="Q2"/>
    <s v="Large"/>
  </r>
  <r>
    <x v="2"/>
    <x v="1"/>
    <x v="14"/>
    <x v="100"/>
    <n v="1393"/>
    <n v="172"/>
    <n v="8.0988372093023262"/>
    <x v="3"/>
    <s v="Q2"/>
    <s v="Large"/>
  </r>
  <r>
    <x v="15"/>
    <x v="5"/>
    <x v="18"/>
    <x v="88"/>
    <n v="3381"/>
    <n v="408"/>
    <n v="8.2867647058823533"/>
    <x v="1"/>
    <s v="Q3"/>
    <s v="Large"/>
  </r>
  <r>
    <x v="18"/>
    <x v="1"/>
    <x v="18"/>
    <x v="38"/>
    <n v="2933"/>
    <n v="233"/>
    <n v="12.587982832618026"/>
    <x v="1"/>
    <s v="Q3"/>
    <s v="Large"/>
  </r>
  <r>
    <x v="18"/>
    <x v="3"/>
    <x v="19"/>
    <x v="119"/>
    <n v="3836"/>
    <n v="59"/>
    <n v="65.016949152542367"/>
    <x v="3"/>
    <s v="Q2"/>
    <s v="Large"/>
  </r>
  <r>
    <x v="16"/>
    <x v="0"/>
    <x v="18"/>
    <x v="13"/>
    <n v="8022"/>
    <n v="123"/>
    <n v="65.219512195121951"/>
    <x v="1"/>
    <s v="Q3"/>
    <s v="Large"/>
  </r>
  <r>
    <x v="17"/>
    <x v="3"/>
    <x v="10"/>
    <x v="0"/>
    <n v="371"/>
    <n v="229"/>
    <n v="1.6200873362445414"/>
    <x v="0"/>
    <s v="Q1"/>
    <s v="Small"/>
  </r>
  <r>
    <x v="20"/>
    <x v="5"/>
    <x v="5"/>
    <x v="10"/>
    <n v="16702"/>
    <n v="198"/>
    <n v="84.353535353535349"/>
    <x v="0"/>
    <s v="Q1"/>
    <s v="Large"/>
  </r>
  <r>
    <x v="1"/>
    <x v="2"/>
    <x v="19"/>
    <x v="29"/>
    <n v="13258"/>
    <n v="32"/>
    <n v="414.3125"/>
    <x v="7"/>
    <s v="Q2"/>
    <s v="Large"/>
  </r>
  <r>
    <x v="15"/>
    <x v="3"/>
    <x v="2"/>
    <x v="17"/>
    <n v="2058"/>
    <n v="236"/>
    <n v="8.7203389830508478"/>
    <x v="4"/>
    <s v="Q1"/>
    <s v="Large"/>
  </r>
  <r>
    <x v="16"/>
    <x v="0"/>
    <x v="20"/>
    <x v="98"/>
    <n v="10192"/>
    <n v="67"/>
    <n v="152.11940298507463"/>
    <x v="7"/>
    <s v="Q2"/>
    <s v="Large"/>
  </r>
  <r>
    <x v="0"/>
    <x v="0"/>
    <x v="9"/>
    <x v="152"/>
    <n v="7140"/>
    <n v="438"/>
    <n v="16.301369863013697"/>
    <x v="4"/>
    <s v="Q1"/>
    <s v="Large"/>
  </r>
  <r>
    <x v="12"/>
    <x v="1"/>
    <x v="15"/>
    <x v="141"/>
    <n v="9835"/>
    <n v="167"/>
    <n v="58.892215568862277"/>
    <x v="7"/>
    <s v="Q2"/>
    <s v="Large"/>
  </r>
  <r>
    <x v="5"/>
    <x v="0"/>
    <x v="18"/>
    <x v="30"/>
    <n v="5775"/>
    <n v="135"/>
    <n v="42.777777777777779"/>
    <x v="5"/>
    <s v="Q2"/>
    <s v="Large"/>
  </r>
  <r>
    <x v="5"/>
    <x v="0"/>
    <x v="3"/>
    <x v="127"/>
    <n v="749"/>
    <n v="148"/>
    <n v="5.0608108108108105"/>
    <x v="6"/>
    <s v="Q1"/>
    <s v="Large"/>
  </r>
  <r>
    <x v="21"/>
    <x v="5"/>
    <x v="7"/>
    <x v="20"/>
    <n v="7770"/>
    <n v="54"/>
    <n v="143.88888888888889"/>
    <x v="4"/>
    <s v="Q1"/>
    <s v="Large"/>
  </r>
  <r>
    <x v="0"/>
    <x v="0"/>
    <x v="1"/>
    <x v="2"/>
    <n v="5502"/>
    <n v="64"/>
    <n v="85.96875"/>
    <x v="2"/>
    <s v="Q3"/>
    <s v="Large"/>
  </r>
  <r>
    <x v="4"/>
    <x v="0"/>
    <x v="21"/>
    <x v="83"/>
    <n v="6223"/>
    <n v="181"/>
    <n v="34.381215469613259"/>
    <x v="6"/>
    <s v="Q1"/>
    <s v="Large"/>
  </r>
  <r>
    <x v="20"/>
    <x v="0"/>
    <x v="4"/>
    <x v="153"/>
    <n v="3507"/>
    <n v="114"/>
    <n v="30.763157894736842"/>
    <x v="1"/>
    <s v="Q3"/>
    <s v="Large"/>
  </r>
  <r>
    <x v="2"/>
    <x v="3"/>
    <x v="5"/>
    <x v="104"/>
    <n v="5600"/>
    <n v="181"/>
    <n v="30.939226519337016"/>
    <x v="0"/>
    <s v="Q1"/>
    <s v="Large"/>
  </r>
  <r>
    <x v="4"/>
    <x v="2"/>
    <x v="6"/>
    <x v="141"/>
    <n v="721"/>
    <n v="151"/>
    <n v="4.7748344370860929"/>
    <x v="7"/>
    <s v="Q2"/>
    <s v="Large"/>
  </r>
  <r>
    <x v="4"/>
    <x v="5"/>
    <x v="6"/>
    <x v="132"/>
    <n v="6615"/>
    <n v="137"/>
    <n v="48.284671532846716"/>
    <x v="5"/>
    <s v="Q2"/>
    <s v="Large"/>
  </r>
  <r>
    <x v="8"/>
    <x v="4"/>
    <x v="14"/>
    <x v="140"/>
    <n v="7420"/>
    <n v="163"/>
    <n v="45.521472392638039"/>
    <x v="7"/>
    <s v="Q2"/>
    <s v="Large"/>
  </r>
  <r>
    <x v="7"/>
    <x v="3"/>
    <x v="4"/>
    <x v="112"/>
    <n v="3164"/>
    <n v="84"/>
    <n v="37.666666666666664"/>
    <x v="6"/>
    <s v="Q1"/>
    <s v="Large"/>
  </r>
  <r>
    <x v="14"/>
    <x v="2"/>
    <x v="20"/>
    <x v="15"/>
    <n v="9114"/>
    <n v="140"/>
    <n v="65.099999999999994"/>
    <x v="4"/>
    <s v="Q1"/>
    <s v="Large"/>
  </r>
  <r>
    <x v="14"/>
    <x v="3"/>
    <x v="1"/>
    <x v="65"/>
    <n v="5404"/>
    <n v="187"/>
    <n v="28.898395721925134"/>
    <x v="7"/>
    <s v="Q2"/>
    <s v="Large"/>
  </r>
  <r>
    <x v="8"/>
    <x v="3"/>
    <x v="3"/>
    <x v="6"/>
    <n v="3990"/>
    <n v="169"/>
    <n v="23.609467455621303"/>
    <x v="0"/>
    <s v="Q1"/>
    <s v="Large"/>
  </r>
  <r>
    <x v="24"/>
    <x v="0"/>
    <x v="1"/>
    <x v="44"/>
    <n v="14924"/>
    <n v="12"/>
    <n v="1243.6666666666667"/>
    <x v="5"/>
    <s v="Q2"/>
    <s v="Large"/>
  </r>
  <r>
    <x v="17"/>
    <x v="2"/>
    <x v="9"/>
    <x v="57"/>
    <n v="7091"/>
    <n v="194"/>
    <n v="36.551546391752581"/>
    <x v="2"/>
    <s v="Q3"/>
    <s v="Large"/>
  </r>
  <r>
    <x v="13"/>
    <x v="4"/>
    <x v="11"/>
    <x v="45"/>
    <n v="2807"/>
    <n v="252"/>
    <n v="11.138888888888889"/>
    <x v="7"/>
    <s v="Q2"/>
    <s v="Large"/>
  </r>
  <r>
    <x v="3"/>
    <x v="1"/>
    <x v="5"/>
    <x v="22"/>
    <n v="6496"/>
    <n v="168"/>
    <n v="38.666666666666664"/>
    <x v="6"/>
    <s v="Q1"/>
    <s v="Large"/>
  </r>
  <r>
    <x v="5"/>
    <x v="4"/>
    <x v="5"/>
    <x v="88"/>
    <n v="3738"/>
    <n v="261"/>
    <n v="14.321839080459769"/>
    <x v="1"/>
    <s v="Q3"/>
    <s v="Large"/>
  </r>
  <r>
    <x v="24"/>
    <x v="1"/>
    <x v="7"/>
    <x v="17"/>
    <n v="1190"/>
    <n v="256"/>
    <n v="4.6484375"/>
    <x v="4"/>
    <s v="Q1"/>
    <s v="Large"/>
  </r>
  <r>
    <x v="9"/>
    <x v="0"/>
    <x v="15"/>
    <x v="26"/>
    <n v="8379"/>
    <n v="43"/>
    <n v="194.86046511627907"/>
    <x v="5"/>
    <s v="Q2"/>
    <s v="Large"/>
  </r>
  <r>
    <x v="8"/>
    <x v="2"/>
    <x v="17"/>
    <x v="48"/>
    <n v="9268"/>
    <n v="100"/>
    <n v="92.68"/>
    <x v="7"/>
    <s v="Q2"/>
    <s v="Large"/>
  </r>
  <r>
    <x v="18"/>
    <x v="4"/>
    <x v="9"/>
    <x v="107"/>
    <n v="1029"/>
    <n v="98"/>
    <n v="10.5"/>
    <x v="5"/>
    <s v="Q2"/>
    <s v="Large"/>
  </r>
  <r>
    <x v="18"/>
    <x v="1"/>
    <x v="8"/>
    <x v="75"/>
    <n v="3549"/>
    <n v="76"/>
    <n v="46.69736842105263"/>
    <x v="4"/>
    <s v="Q1"/>
    <s v="Large"/>
  </r>
  <r>
    <x v="18"/>
    <x v="1"/>
    <x v="5"/>
    <x v="117"/>
    <n v="12026"/>
    <n v="262"/>
    <n v="45.900763358778626"/>
    <x v="1"/>
    <s v="Q3"/>
    <s v="Large"/>
  </r>
  <r>
    <x v="20"/>
    <x v="1"/>
    <x v="4"/>
    <x v="44"/>
    <n v="2303"/>
    <n v="244"/>
    <n v="9.4385245901639347"/>
    <x v="5"/>
    <s v="Q2"/>
    <s v="Large"/>
  </r>
  <r>
    <x v="5"/>
    <x v="5"/>
    <x v="12"/>
    <x v="16"/>
    <n v="13405"/>
    <n v="12"/>
    <n v="1117.0833333333333"/>
    <x v="3"/>
    <s v="Q2"/>
    <s v="Large"/>
  </r>
  <r>
    <x v="22"/>
    <x v="5"/>
    <x v="2"/>
    <x v="25"/>
    <n v="14763"/>
    <n v="113"/>
    <n v="130.64601769911505"/>
    <x v="2"/>
    <s v="Q3"/>
    <s v="Large"/>
  </r>
  <r>
    <x v="16"/>
    <x v="3"/>
    <x v="8"/>
    <x v="167"/>
    <n v="12894"/>
    <n v="48"/>
    <n v="268.625"/>
    <x v="0"/>
    <s v="Q1"/>
    <s v="Large"/>
  </r>
  <r>
    <x v="24"/>
    <x v="3"/>
    <x v="9"/>
    <x v="17"/>
    <n v="8302"/>
    <n v="131"/>
    <n v="63.374045801526719"/>
    <x v="4"/>
    <s v="Q1"/>
    <s v="Large"/>
  </r>
  <r>
    <x v="14"/>
    <x v="0"/>
    <x v="9"/>
    <x v="97"/>
    <n v="455"/>
    <n v="174"/>
    <n v="2.6149425287356323"/>
    <x v="2"/>
    <s v="Q3"/>
    <s v="Small"/>
  </r>
  <r>
    <x v="20"/>
    <x v="1"/>
    <x v="17"/>
    <x v="86"/>
    <n v="8183"/>
    <n v="254"/>
    <n v="32.216535433070867"/>
    <x v="5"/>
    <s v="Q2"/>
    <s v="Large"/>
  </r>
  <r>
    <x v="23"/>
    <x v="2"/>
    <x v="18"/>
    <x v="100"/>
    <n v="1645"/>
    <n v="284"/>
    <n v="5.792253521126761"/>
    <x v="3"/>
    <s v="Q2"/>
    <s v="Large"/>
  </r>
  <r>
    <x v="16"/>
    <x v="0"/>
    <x v="6"/>
    <x v="84"/>
    <n v="3143"/>
    <n v="67"/>
    <n v="46.910447761194028"/>
    <x v="4"/>
    <s v="Q1"/>
    <s v="Large"/>
  </r>
  <r>
    <x v="13"/>
    <x v="5"/>
    <x v="18"/>
    <x v="29"/>
    <n v="5873"/>
    <n v="249"/>
    <n v="23.586345381526105"/>
    <x v="7"/>
    <s v="Q2"/>
    <s v="Large"/>
  </r>
  <r>
    <x v="24"/>
    <x v="1"/>
    <x v="6"/>
    <x v="35"/>
    <n v="11298"/>
    <n v="313"/>
    <n v="36.095846645367409"/>
    <x v="3"/>
    <s v="Q2"/>
    <s v="Large"/>
  </r>
  <r>
    <x v="4"/>
    <x v="5"/>
    <x v="2"/>
    <x v="76"/>
    <n v="12425"/>
    <n v="167"/>
    <n v="74.401197604790426"/>
    <x v="5"/>
    <s v="Q2"/>
    <s v="Large"/>
  </r>
  <r>
    <x v="4"/>
    <x v="0"/>
    <x v="14"/>
    <x v="19"/>
    <n v="1715"/>
    <n v="286"/>
    <n v="5.9965034965034967"/>
    <x v="5"/>
    <s v="Q2"/>
    <s v="Large"/>
  </r>
  <r>
    <x v="8"/>
    <x v="1"/>
    <x v="5"/>
    <x v="99"/>
    <n v="8190"/>
    <n v="109"/>
    <n v="75.137614678899084"/>
    <x v="2"/>
    <s v="Q3"/>
    <s v="Large"/>
  </r>
  <r>
    <x v="18"/>
    <x v="5"/>
    <x v="3"/>
    <x v="34"/>
    <n v="4991"/>
    <n v="166"/>
    <n v="30.066265060240966"/>
    <x v="5"/>
    <s v="Q2"/>
    <s v="Large"/>
  </r>
  <r>
    <x v="7"/>
    <x v="1"/>
    <x v="0"/>
    <x v="14"/>
    <n v="15491"/>
    <n v="85"/>
    <n v="182.24705882352941"/>
    <x v="0"/>
    <s v="Q1"/>
    <s v="Large"/>
  </r>
  <r>
    <x v="7"/>
    <x v="5"/>
    <x v="4"/>
    <x v="52"/>
    <n v="5096"/>
    <n v="142"/>
    <n v="35.887323943661968"/>
    <x v="6"/>
    <s v="Q1"/>
    <s v="Large"/>
  </r>
  <r>
    <x v="1"/>
    <x v="2"/>
    <x v="21"/>
    <x v="53"/>
    <n v="7063"/>
    <n v="104"/>
    <n v="67.913461538461533"/>
    <x v="0"/>
    <s v="Q1"/>
    <s v="Large"/>
  </r>
  <r>
    <x v="12"/>
    <x v="4"/>
    <x v="21"/>
    <x v="19"/>
    <n v="2275"/>
    <n v="115"/>
    <n v="19.782608695652176"/>
    <x v="5"/>
    <s v="Q2"/>
    <s v="Large"/>
  </r>
  <r>
    <x v="8"/>
    <x v="5"/>
    <x v="7"/>
    <x v="30"/>
    <n v="7602"/>
    <n v="18"/>
    <n v="422.33333333333331"/>
    <x v="5"/>
    <s v="Q2"/>
    <s v="Large"/>
  </r>
  <r>
    <x v="13"/>
    <x v="2"/>
    <x v="1"/>
    <x v="51"/>
    <n v="4200"/>
    <n v="80"/>
    <n v="52.5"/>
    <x v="2"/>
    <s v="Q3"/>
    <s v="Large"/>
  </r>
  <r>
    <x v="4"/>
    <x v="1"/>
    <x v="12"/>
    <x v="18"/>
    <n v="11137"/>
    <n v="88"/>
    <n v="126.55681818181819"/>
    <x v="5"/>
    <s v="Q2"/>
    <s v="Large"/>
  </r>
  <r>
    <x v="3"/>
    <x v="0"/>
    <x v="15"/>
    <x v="61"/>
    <n v="3388"/>
    <n v="212"/>
    <n v="15.981132075471699"/>
    <x v="1"/>
    <s v="Q3"/>
    <s v="Large"/>
  </r>
  <r>
    <x v="16"/>
    <x v="2"/>
    <x v="5"/>
    <x v="70"/>
    <n v="6832"/>
    <n v="306"/>
    <n v="22.326797385620914"/>
    <x v="3"/>
    <s v="Q2"/>
    <s v="Large"/>
  </r>
  <r>
    <x v="18"/>
    <x v="5"/>
    <x v="13"/>
    <x v="115"/>
    <n v="3437"/>
    <n v="181"/>
    <n v="18.988950276243095"/>
    <x v="1"/>
    <s v="Q3"/>
    <s v="Large"/>
  </r>
  <r>
    <x v="18"/>
    <x v="0"/>
    <x v="11"/>
    <x v="56"/>
    <n v="301"/>
    <n v="65"/>
    <n v="4.6307692307692312"/>
    <x v="1"/>
    <s v="Q3"/>
    <s v="Small"/>
  </r>
  <r>
    <x v="4"/>
    <x v="5"/>
    <x v="13"/>
    <x v="102"/>
    <n v="1869"/>
    <n v="158"/>
    <n v="11.829113924050633"/>
    <x v="0"/>
    <s v="Q1"/>
    <s v="Large"/>
  </r>
  <r>
    <x v="17"/>
    <x v="4"/>
    <x v="19"/>
    <x v="155"/>
    <n v="17465"/>
    <n v="271"/>
    <n v="64.446494464944649"/>
    <x v="1"/>
    <s v="Q3"/>
    <s v="Large"/>
  </r>
  <r>
    <x v="22"/>
    <x v="4"/>
    <x v="16"/>
    <x v="106"/>
    <n v="10143"/>
    <n v="24"/>
    <n v="422.625"/>
    <x v="7"/>
    <s v="Q2"/>
    <s v="Large"/>
  </r>
  <r>
    <x v="1"/>
    <x v="3"/>
    <x v="6"/>
    <x v="36"/>
    <n v="3626"/>
    <n v="10"/>
    <n v="362.6"/>
    <x v="2"/>
    <s v="Q3"/>
    <s v="Large"/>
  </r>
  <r>
    <x v="10"/>
    <x v="5"/>
    <x v="20"/>
    <x v="52"/>
    <n v="3346"/>
    <n v="304"/>
    <n v="11.006578947368421"/>
    <x v="6"/>
    <s v="Q1"/>
    <s v="Large"/>
  </r>
  <r>
    <x v="22"/>
    <x v="2"/>
    <x v="17"/>
    <x v="57"/>
    <n v="6321"/>
    <n v="88"/>
    <n v="71.829545454545453"/>
    <x v="2"/>
    <s v="Q3"/>
    <s v="Large"/>
  </r>
  <r>
    <x v="7"/>
    <x v="0"/>
    <x v="12"/>
    <x v="13"/>
    <n v="9345"/>
    <n v="133"/>
    <n v="70.263157894736835"/>
    <x v="1"/>
    <s v="Q3"/>
    <s v="Large"/>
  </r>
  <r>
    <x v="14"/>
    <x v="0"/>
    <x v="2"/>
    <x v="162"/>
    <n v="15008"/>
    <n v="165"/>
    <n v="90.957575757575754"/>
    <x v="6"/>
    <s v="Q1"/>
    <s v="Large"/>
  </r>
  <r>
    <x v="20"/>
    <x v="3"/>
    <x v="14"/>
    <x v="100"/>
    <n v="7609"/>
    <n v="150"/>
    <n v="50.726666666666667"/>
    <x v="3"/>
    <s v="Q2"/>
    <s v="Large"/>
  </r>
  <r>
    <x v="12"/>
    <x v="5"/>
    <x v="13"/>
    <x v="15"/>
    <n v="10332"/>
    <n v="180"/>
    <n v="57.4"/>
    <x v="4"/>
    <s v="Q1"/>
    <s v="Large"/>
  </r>
  <r>
    <x v="9"/>
    <x v="1"/>
    <x v="14"/>
    <x v="68"/>
    <n v="819"/>
    <n v="213"/>
    <n v="3.8450704225352115"/>
    <x v="2"/>
    <s v="Q3"/>
    <s v="Large"/>
  </r>
  <r>
    <x v="6"/>
    <x v="0"/>
    <x v="9"/>
    <x v="59"/>
    <n v="5754"/>
    <n v="133"/>
    <n v="43.263157894736842"/>
    <x v="0"/>
    <s v="Q1"/>
    <s v="Large"/>
  </r>
  <r>
    <x v="0"/>
    <x v="1"/>
    <x v="2"/>
    <x v="49"/>
    <n v="28"/>
    <n v="446"/>
    <n v="6.2780269058295965E-2"/>
    <x v="3"/>
    <s v="Q2"/>
    <s v="Small"/>
  </r>
  <r>
    <x v="4"/>
    <x v="4"/>
    <x v="16"/>
    <x v="33"/>
    <n v="6440"/>
    <n v="141"/>
    <n v="45.673758865248224"/>
    <x v="7"/>
    <s v="Q2"/>
    <s v="Large"/>
  </r>
  <r>
    <x v="15"/>
    <x v="1"/>
    <x v="8"/>
    <x v="24"/>
    <n v="4956"/>
    <n v="58"/>
    <n v="85.448275862068968"/>
    <x v="4"/>
    <s v="Q1"/>
    <s v="Large"/>
  </r>
  <r>
    <x v="6"/>
    <x v="0"/>
    <x v="12"/>
    <x v="63"/>
    <n v="2352"/>
    <n v="58"/>
    <n v="40.551724137931032"/>
    <x v="7"/>
    <s v="Q2"/>
    <s v="Large"/>
  </r>
  <r>
    <x v="4"/>
    <x v="2"/>
    <x v="15"/>
    <x v="14"/>
    <n v="3906"/>
    <n v="76"/>
    <n v="51.39473684210526"/>
    <x v="0"/>
    <s v="Q1"/>
    <s v="Large"/>
  </r>
  <r>
    <x v="12"/>
    <x v="1"/>
    <x v="14"/>
    <x v="9"/>
    <n v="1813"/>
    <n v="296"/>
    <n v="6.125"/>
    <x v="2"/>
    <s v="Q3"/>
    <s v="Large"/>
  </r>
  <r>
    <x v="24"/>
    <x v="1"/>
    <x v="16"/>
    <x v="100"/>
    <n v="11788"/>
    <n v="73"/>
    <n v="161.47945205479451"/>
    <x v="3"/>
    <s v="Q2"/>
    <s v="Large"/>
  </r>
  <r>
    <x v="2"/>
    <x v="2"/>
    <x v="3"/>
    <x v="6"/>
    <n v="5768"/>
    <n v="119"/>
    <n v="48.470588235294116"/>
    <x v="0"/>
    <s v="Q1"/>
    <s v="Large"/>
  </r>
  <r>
    <x v="21"/>
    <x v="4"/>
    <x v="1"/>
    <x v="91"/>
    <n v="2401"/>
    <n v="78"/>
    <n v="30.782051282051281"/>
    <x v="3"/>
    <s v="Q2"/>
    <s v="Large"/>
  </r>
  <r>
    <x v="21"/>
    <x v="4"/>
    <x v="8"/>
    <x v="39"/>
    <n v="4515"/>
    <n v="392"/>
    <n v="11.517857142857142"/>
    <x v="5"/>
    <s v="Q2"/>
    <s v="Large"/>
  </r>
  <r>
    <x v="22"/>
    <x v="3"/>
    <x v="14"/>
    <x v="38"/>
    <n v="10794"/>
    <n v="51"/>
    <n v="211.64705882352942"/>
    <x v="1"/>
    <s v="Q3"/>
    <s v="Large"/>
  </r>
  <r>
    <x v="1"/>
    <x v="1"/>
    <x v="5"/>
    <x v="19"/>
    <n v="13706"/>
    <n v="207"/>
    <n v="66.212560386473427"/>
    <x v="5"/>
    <s v="Q2"/>
    <s v="Large"/>
  </r>
  <r>
    <x v="15"/>
    <x v="1"/>
    <x v="7"/>
    <x v="30"/>
    <n v="4361"/>
    <n v="40"/>
    <n v="109.02500000000001"/>
    <x v="5"/>
    <s v="Q2"/>
    <s v="Large"/>
  </r>
  <r>
    <x v="0"/>
    <x v="1"/>
    <x v="16"/>
    <x v="128"/>
    <n v="10122"/>
    <n v="100"/>
    <n v="101.22"/>
    <x v="1"/>
    <s v="Q3"/>
    <s v="Large"/>
  </r>
  <r>
    <x v="10"/>
    <x v="2"/>
    <x v="17"/>
    <x v="62"/>
    <n v="994"/>
    <n v="57"/>
    <n v="17.438596491228068"/>
    <x v="1"/>
    <s v="Q3"/>
    <s v="Large"/>
  </r>
  <r>
    <x v="21"/>
    <x v="3"/>
    <x v="4"/>
    <x v="56"/>
    <n v="2268"/>
    <n v="42"/>
    <n v="54"/>
    <x v="1"/>
    <s v="Q3"/>
    <s v="Large"/>
  </r>
  <r>
    <x v="2"/>
    <x v="2"/>
    <x v="7"/>
    <x v="87"/>
    <n v="574"/>
    <n v="156"/>
    <n v="3.6794871794871793"/>
    <x v="6"/>
    <s v="Q1"/>
    <s v="Large"/>
  </r>
  <r>
    <x v="20"/>
    <x v="0"/>
    <x v="9"/>
    <x v="8"/>
    <n v="1792"/>
    <n v="23"/>
    <n v="77.913043478260875"/>
    <x v="3"/>
    <s v="Q2"/>
    <s v="Large"/>
  </r>
  <r>
    <x v="9"/>
    <x v="5"/>
    <x v="20"/>
    <x v="39"/>
    <n v="4844"/>
    <n v="539"/>
    <n v="8.9870129870129869"/>
    <x v="5"/>
    <s v="Q2"/>
    <s v="Large"/>
  </r>
  <r>
    <x v="15"/>
    <x v="2"/>
    <x v="10"/>
    <x v="143"/>
    <n v="938"/>
    <n v="158"/>
    <n v="5.9367088607594933"/>
    <x v="4"/>
    <s v="Q1"/>
    <s v="Large"/>
  </r>
  <r>
    <x v="6"/>
    <x v="2"/>
    <x v="14"/>
    <x v="74"/>
    <n v="4879"/>
    <n v="22"/>
    <n v="221.77272727272728"/>
    <x v="1"/>
    <s v="Q3"/>
    <s v="Large"/>
  </r>
  <r>
    <x v="23"/>
    <x v="1"/>
    <x v="2"/>
    <x v="17"/>
    <n v="9107"/>
    <n v="73"/>
    <n v="124.75342465753425"/>
    <x v="4"/>
    <s v="Q1"/>
    <s v="Large"/>
  </r>
  <r>
    <x v="17"/>
    <x v="0"/>
    <x v="4"/>
    <x v="21"/>
    <n v="12187"/>
    <n v="27"/>
    <n v="451.37037037037038"/>
    <x v="7"/>
    <s v="Q2"/>
    <s v="Large"/>
  </r>
  <r>
    <x v="2"/>
    <x v="3"/>
    <x v="6"/>
    <x v="28"/>
    <n v="5670"/>
    <n v="64"/>
    <n v="88.59375"/>
    <x v="5"/>
    <s v="Q2"/>
    <s v="Large"/>
  </r>
  <r>
    <x v="2"/>
    <x v="4"/>
    <x v="11"/>
    <x v="86"/>
    <n v="476"/>
    <n v="133"/>
    <n v="3.5789473684210527"/>
    <x v="5"/>
    <s v="Q2"/>
    <s v="Small"/>
  </r>
  <r>
    <x v="6"/>
    <x v="0"/>
    <x v="20"/>
    <x v="72"/>
    <n v="2681"/>
    <n v="149"/>
    <n v="17.993288590604028"/>
    <x v="6"/>
    <s v="Q1"/>
    <s v="Large"/>
  </r>
  <r>
    <x v="14"/>
    <x v="3"/>
    <x v="2"/>
    <x v="111"/>
    <n v="1533"/>
    <n v="434"/>
    <n v="3.532258064516129"/>
    <x v="6"/>
    <s v="Q1"/>
    <s v="Large"/>
  </r>
  <r>
    <x v="14"/>
    <x v="3"/>
    <x v="6"/>
    <x v="59"/>
    <n v="9765"/>
    <n v="85"/>
    <n v="114.88235294117646"/>
    <x v="0"/>
    <s v="Q1"/>
    <s v="Large"/>
  </r>
  <r>
    <x v="12"/>
    <x v="5"/>
    <x v="9"/>
    <x v="25"/>
    <n v="994"/>
    <n v="118"/>
    <n v="8.4237288135593218"/>
    <x v="2"/>
    <s v="Q3"/>
    <s v="Large"/>
  </r>
  <r>
    <x v="8"/>
    <x v="4"/>
    <x v="20"/>
    <x v="96"/>
    <n v="3318"/>
    <n v="299"/>
    <n v="11.096989966555183"/>
    <x v="6"/>
    <s v="Q1"/>
    <s v="Large"/>
  </r>
  <r>
    <x v="9"/>
    <x v="5"/>
    <x v="16"/>
    <x v="65"/>
    <n v="4214"/>
    <n v="35"/>
    <n v="120.4"/>
    <x v="7"/>
    <s v="Q2"/>
    <s v="Large"/>
  </r>
  <r>
    <x v="4"/>
    <x v="4"/>
    <x v="9"/>
    <x v="54"/>
    <n v="7714"/>
    <n v="44"/>
    <n v="175.31818181818181"/>
    <x v="6"/>
    <s v="Q1"/>
    <s v="Large"/>
  </r>
  <r>
    <x v="6"/>
    <x v="3"/>
    <x v="8"/>
    <x v="36"/>
    <n v="4690"/>
    <n v="299"/>
    <n v="15.685618729096991"/>
    <x v="2"/>
    <s v="Q3"/>
    <s v="Large"/>
  </r>
  <r>
    <x v="5"/>
    <x v="3"/>
    <x v="18"/>
    <x v="1"/>
    <n v="13062"/>
    <n v="62"/>
    <n v="210.67741935483872"/>
    <x v="1"/>
    <s v="Q3"/>
    <s v="Large"/>
  </r>
  <r>
    <x v="5"/>
    <x v="0"/>
    <x v="12"/>
    <x v="17"/>
    <n v="12488"/>
    <n v="200"/>
    <n v="62.44"/>
    <x v="4"/>
    <s v="Q1"/>
    <s v="Large"/>
  </r>
  <r>
    <x v="14"/>
    <x v="4"/>
    <x v="5"/>
    <x v="100"/>
    <n v="14147"/>
    <n v="235"/>
    <n v="60.2"/>
    <x v="3"/>
    <s v="Q2"/>
    <s v="Large"/>
  </r>
  <r>
    <x v="4"/>
    <x v="1"/>
    <x v="18"/>
    <x v="15"/>
    <n v="49"/>
    <n v="363"/>
    <n v="0.13498622589531681"/>
    <x v="4"/>
    <s v="Q1"/>
    <s v="Small"/>
  </r>
  <r>
    <x v="24"/>
    <x v="2"/>
    <x v="2"/>
    <x v="22"/>
    <n v="10199"/>
    <n v="68"/>
    <n v="149.98529411764707"/>
    <x v="6"/>
    <s v="Q1"/>
    <s v="Large"/>
  </r>
  <r>
    <x v="4"/>
    <x v="2"/>
    <x v="12"/>
    <x v="151"/>
    <n v="11389"/>
    <n v="26"/>
    <n v="438.03846153846155"/>
    <x v="3"/>
    <s v="Q2"/>
    <s v="Large"/>
  </r>
  <r>
    <x v="0"/>
    <x v="5"/>
    <x v="15"/>
    <x v="16"/>
    <n v="3584"/>
    <n v="200"/>
    <n v="17.920000000000002"/>
    <x v="3"/>
    <s v="Q2"/>
    <s v="Large"/>
  </r>
  <r>
    <x v="21"/>
    <x v="5"/>
    <x v="9"/>
    <x v="150"/>
    <n v="12481"/>
    <n v="264"/>
    <n v="47.276515151515149"/>
    <x v="6"/>
    <s v="Q1"/>
    <s v="Large"/>
  </r>
  <r>
    <x v="16"/>
    <x v="4"/>
    <x v="12"/>
    <x v="108"/>
    <n v="2107"/>
    <n v="175"/>
    <n v="12.04"/>
    <x v="5"/>
    <s v="Q2"/>
    <s v="Large"/>
  </r>
  <r>
    <x v="11"/>
    <x v="3"/>
    <x v="21"/>
    <x v="15"/>
    <n v="8603"/>
    <n v="352"/>
    <n v="24.44034090909091"/>
    <x v="4"/>
    <s v="Q1"/>
    <s v="Large"/>
  </r>
  <r>
    <x v="13"/>
    <x v="3"/>
    <x v="4"/>
    <x v="158"/>
    <n v="7483"/>
    <n v="183"/>
    <n v="40.89071038251366"/>
    <x v="3"/>
    <s v="Q2"/>
    <s v="Large"/>
  </r>
  <r>
    <x v="4"/>
    <x v="3"/>
    <x v="1"/>
    <x v="131"/>
    <n v="3381"/>
    <n v="417"/>
    <n v="8.1079136690647484"/>
    <x v="4"/>
    <s v="Q1"/>
    <s v="Large"/>
  </r>
  <r>
    <x v="23"/>
    <x v="3"/>
    <x v="7"/>
    <x v="117"/>
    <n v="2030"/>
    <n v="146"/>
    <n v="13.904109589041095"/>
    <x v="1"/>
    <s v="Q3"/>
    <s v="Large"/>
  </r>
  <r>
    <x v="19"/>
    <x v="3"/>
    <x v="16"/>
    <x v="16"/>
    <n v="6559"/>
    <n v="158"/>
    <n v="41.5126582278481"/>
    <x v="3"/>
    <s v="Q2"/>
    <s v="Large"/>
  </r>
  <r>
    <x v="10"/>
    <x v="2"/>
    <x v="4"/>
    <x v="14"/>
    <n v="10822"/>
    <n v="168"/>
    <n v="64.416666666666671"/>
    <x v="0"/>
    <s v="Q1"/>
    <s v="Large"/>
  </r>
  <r>
    <x v="16"/>
    <x v="0"/>
    <x v="5"/>
    <x v="104"/>
    <n v="18697"/>
    <n v="176"/>
    <n v="106.23295454545455"/>
    <x v="0"/>
    <s v="Q1"/>
    <s v="Large"/>
  </r>
  <r>
    <x v="16"/>
    <x v="5"/>
    <x v="5"/>
    <x v="38"/>
    <n v="5845"/>
    <n v="172"/>
    <n v="33.982558139534881"/>
    <x v="1"/>
    <s v="Q3"/>
    <s v="Large"/>
  </r>
  <r>
    <x v="16"/>
    <x v="0"/>
    <x v="9"/>
    <x v="59"/>
    <n v="2317"/>
    <n v="224"/>
    <n v="10.34375"/>
    <x v="0"/>
    <s v="Q1"/>
    <s v="Large"/>
  </r>
  <r>
    <x v="7"/>
    <x v="0"/>
    <x v="6"/>
    <x v="17"/>
    <n v="10150"/>
    <n v="68"/>
    <n v="149.26470588235293"/>
    <x v="4"/>
    <s v="Q1"/>
    <s v="Large"/>
  </r>
  <r>
    <x v="23"/>
    <x v="4"/>
    <x v="17"/>
    <x v="67"/>
    <n v="3437"/>
    <n v="46"/>
    <n v="74.717391304347828"/>
    <x v="0"/>
    <s v="Q1"/>
    <s v="Large"/>
  </r>
  <r>
    <x v="10"/>
    <x v="4"/>
    <x v="14"/>
    <x v="32"/>
    <n v="4592"/>
    <n v="2"/>
    <n v="2296"/>
    <x v="1"/>
    <s v="Q3"/>
    <s v="Large"/>
  </r>
  <r>
    <x v="4"/>
    <x v="4"/>
    <x v="12"/>
    <x v="64"/>
    <n v="5691"/>
    <n v="417"/>
    <n v="13.647482014388489"/>
    <x v="4"/>
    <s v="Q1"/>
    <s v="Large"/>
  </r>
  <r>
    <x v="9"/>
    <x v="2"/>
    <x v="3"/>
    <x v="58"/>
    <n v="4158"/>
    <n v="109"/>
    <n v="38.146788990825691"/>
    <x v="4"/>
    <s v="Q1"/>
    <s v="Large"/>
  </r>
  <r>
    <x v="16"/>
    <x v="5"/>
    <x v="10"/>
    <x v="96"/>
    <n v="5684"/>
    <n v="81"/>
    <n v="70.172839506172835"/>
    <x v="6"/>
    <s v="Q1"/>
    <s v="Large"/>
  </r>
  <r>
    <x v="11"/>
    <x v="4"/>
    <x v="2"/>
    <x v="26"/>
    <n v="693"/>
    <n v="350"/>
    <n v="1.98"/>
    <x v="5"/>
    <s v="Q2"/>
    <s v="Large"/>
  </r>
  <r>
    <x v="17"/>
    <x v="0"/>
    <x v="3"/>
    <x v="151"/>
    <n v="546"/>
    <n v="142"/>
    <n v="3.8450704225352115"/>
    <x v="3"/>
    <s v="Q2"/>
    <s v="Large"/>
  </r>
  <r>
    <x v="6"/>
    <x v="2"/>
    <x v="10"/>
    <x v="42"/>
    <n v="4263"/>
    <n v="264"/>
    <n v="16.147727272727273"/>
    <x v="2"/>
    <s v="Q3"/>
    <s v="Large"/>
  </r>
  <r>
    <x v="12"/>
    <x v="1"/>
    <x v="10"/>
    <x v="130"/>
    <n v="1036"/>
    <n v="20"/>
    <n v="51.8"/>
    <x v="5"/>
    <s v="Q2"/>
    <s v="Large"/>
  </r>
  <r>
    <x v="17"/>
    <x v="2"/>
    <x v="19"/>
    <x v="124"/>
    <n v="13846"/>
    <n v="421"/>
    <n v="32.888361045130644"/>
    <x v="0"/>
    <s v="Q1"/>
    <s v="Large"/>
  </r>
  <r>
    <x v="12"/>
    <x v="0"/>
    <x v="6"/>
    <x v="24"/>
    <n v="2499"/>
    <n v="271"/>
    <n v="9.2214022140221399"/>
    <x v="4"/>
    <s v="Q1"/>
    <s v="Large"/>
  </r>
  <r>
    <x v="1"/>
    <x v="0"/>
    <x v="16"/>
    <x v="5"/>
    <n v="10689"/>
    <n v="204"/>
    <n v="52.397058823529413"/>
    <x v="5"/>
    <s v="Q2"/>
    <s v="Large"/>
  </r>
  <r>
    <x v="23"/>
    <x v="0"/>
    <x v="20"/>
    <x v="50"/>
    <n v="5768"/>
    <n v="235"/>
    <n v="24.544680851063831"/>
    <x v="1"/>
    <s v="Q3"/>
    <s v="Large"/>
  </r>
  <r>
    <x v="18"/>
    <x v="2"/>
    <x v="3"/>
    <x v="0"/>
    <n v="2226"/>
    <n v="46"/>
    <n v="48.391304347826086"/>
    <x v="0"/>
    <s v="Q1"/>
    <s v="Large"/>
  </r>
  <r>
    <x v="19"/>
    <x v="5"/>
    <x v="21"/>
    <x v="70"/>
    <n v="10262"/>
    <n v="15"/>
    <n v="684.13333333333333"/>
    <x v="3"/>
    <s v="Q2"/>
    <s v="Large"/>
  </r>
  <r>
    <x v="8"/>
    <x v="0"/>
    <x v="11"/>
    <x v="52"/>
    <n v="3864"/>
    <n v="430"/>
    <n v="8.9860465116279062"/>
    <x v="6"/>
    <s v="Q1"/>
    <s v="Large"/>
  </r>
  <r>
    <x v="1"/>
    <x v="5"/>
    <x v="9"/>
    <x v="26"/>
    <n v="4900"/>
    <n v="709"/>
    <n v="6.9111424541607898"/>
    <x v="5"/>
    <s v="Q2"/>
    <s v="Large"/>
  </r>
  <r>
    <x v="0"/>
    <x v="2"/>
    <x v="5"/>
    <x v="15"/>
    <n v="5250"/>
    <n v="47"/>
    <n v="111.70212765957447"/>
    <x v="4"/>
    <s v="Q1"/>
    <s v="Large"/>
  </r>
  <r>
    <x v="15"/>
    <x v="0"/>
    <x v="5"/>
    <x v="25"/>
    <n v="3507"/>
    <n v="380"/>
    <n v="9.2289473684210535"/>
    <x v="2"/>
    <s v="Q3"/>
    <s v="Large"/>
  </r>
  <r>
    <x v="8"/>
    <x v="1"/>
    <x v="0"/>
    <x v="89"/>
    <n v="7413"/>
    <n v="465"/>
    <n v="15.941935483870967"/>
    <x v="0"/>
    <s v="Q1"/>
    <s v="Large"/>
  </r>
  <r>
    <x v="14"/>
    <x v="1"/>
    <x v="0"/>
    <x v="150"/>
    <n v="8155"/>
    <n v="96"/>
    <n v="84.947916666666671"/>
    <x v="6"/>
    <s v="Q1"/>
    <s v="Large"/>
  </r>
  <r>
    <x v="0"/>
    <x v="3"/>
    <x v="11"/>
    <x v="43"/>
    <n v="2478"/>
    <n v="188"/>
    <n v="13.180851063829786"/>
    <x v="7"/>
    <s v="Q2"/>
    <s v="Large"/>
  </r>
  <r>
    <x v="5"/>
    <x v="1"/>
    <x v="20"/>
    <x v="12"/>
    <n v="2471"/>
    <n v="202"/>
    <n v="12.232673267326733"/>
    <x v="2"/>
    <s v="Q3"/>
    <s v="Large"/>
  </r>
  <r>
    <x v="14"/>
    <x v="0"/>
    <x v="15"/>
    <x v="64"/>
    <n v="1666"/>
    <n v="106"/>
    <n v="15.716981132075471"/>
    <x v="4"/>
    <s v="Q1"/>
    <s v="Large"/>
  </r>
  <r>
    <x v="19"/>
    <x v="1"/>
    <x v="7"/>
    <x v="21"/>
    <n v="301"/>
    <n v="421"/>
    <n v="0.71496437054631834"/>
    <x v="7"/>
    <s v="Q2"/>
    <s v="Small"/>
  </r>
  <r>
    <x v="9"/>
    <x v="2"/>
    <x v="17"/>
    <x v="91"/>
    <n v="8400"/>
    <n v="27"/>
    <n v="311.11111111111109"/>
    <x v="3"/>
    <s v="Q2"/>
    <s v="Large"/>
  </r>
  <r>
    <x v="12"/>
    <x v="5"/>
    <x v="1"/>
    <x v="17"/>
    <n v="6139"/>
    <n v="45"/>
    <n v="136.42222222222222"/>
    <x v="4"/>
    <s v="Q1"/>
    <s v="Large"/>
  </r>
  <r>
    <x v="20"/>
    <x v="2"/>
    <x v="9"/>
    <x v="116"/>
    <n v="1288"/>
    <n v="60"/>
    <n v="21.466666666666665"/>
    <x v="7"/>
    <s v="Q2"/>
    <s v="Large"/>
  </r>
  <r>
    <x v="1"/>
    <x v="5"/>
    <x v="21"/>
    <x v="34"/>
    <n v="7077"/>
    <n v="77"/>
    <n v="91.909090909090907"/>
    <x v="5"/>
    <s v="Q2"/>
    <s v="Large"/>
  </r>
  <r>
    <x v="17"/>
    <x v="4"/>
    <x v="20"/>
    <x v="36"/>
    <n v="2317"/>
    <n v="464"/>
    <n v="4.993534482758621"/>
    <x v="2"/>
    <s v="Q3"/>
    <s v="Large"/>
  </r>
  <r>
    <x v="12"/>
    <x v="3"/>
    <x v="12"/>
    <x v="76"/>
    <n v="63"/>
    <n v="60"/>
    <n v="1.05"/>
    <x v="5"/>
    <s v="Q2"/>
    <s v="Small"/>
  </r>
  <r>
    <x v="3"/>
    <x v="0"/>
    <x v="16"/>
    <x v="47"/>
    <n v="9744"/>
    <n v="157"/>
    <n v="62.06369426751592"/>
    <x v="2"/>
    <s v="Q3"/>
    <s v="Large"/>
  </r>
  <r>
    <x v="15"/>
    <x v="1"/>
    <x v="17"/>
    <x v="26"/>
    <n v="9954"/>
    <n v="154"/>
    <n v="64.63636363636364"/>
    <x v="5"/>
    <s v="Q2"/>
    <s v="Large"/>
  </r>
  <r>
    <x v="23"/>
    <x v="1"/>
    <x v="0"/>
    <x v="49"/>
    <n v="1260"/>
    <n v="239"/>
    <n v="5.2719665271966525"/>
    <x v="3"/>
    <s v="Q2"/>
    <s v="Large"/>
  </r>
  <r>
    <x v="21"/>
    <x v="1"/>
    <x v="9"/>
    <x v="115"/>
    <n v="469"/>
    <n v="163"/>
    <n v="2.8773006134969323"/>
    <x v="1"/>
    <s v="Q3"/>
    <s v="Small"/>
  </r>
  <r>
    <x v="11"/>
    <x v="0"/>
    <x v="9"/>
    <x v="96"/>
    <n v="973"/>
    <n v="28"/>
    <n v="34.75"/>
    <x v="6"/>
    <s v="Q1"/>
    <s v="Large"/>
  </r>
  <r>
    <x v="13"/>
    <x v="2"/>
    <x v="10"/>
    <x v="9"/>
    <n v="3647"/>
    <n v="76"/>
    <n v="47.986842105263158"/>
    <x v="2"/>
    <s v="Q3"/>
    <s v="Large"/>
  </r>
  <r>
    <x v="24"/>
    <x v="1"/>
    <x v="4"/>
    <x v="17"/>
    <n v="455"/>
    <n v="96"/>
    <n v="4.739583333333333"/>
    <x v="4"/>
    <s v="Q1"/>
    <s v="Small"/>
  </r>
  <r>
    <x v="7"/>
    <x v="5"/>
    <x v="12"/>
    <x v="138"/>
    <n v="2520"/>
    <n v="156"/>
    <n v="16.153846153846153"/>
    <x v="7"/>
    <s v="Q2"/>
    <s v="Large"/>
  </r>
  <r>
    <x v="1"/>
    <x v="1"/>
    <x v="8"/>
    <x v="129"/>
    <n v="10500"/>
    <n v="106"/>
    <n v="99.056603773584911"/>
    <x v="2"/>
    <s v="Q3"/>
    <s v="Large"/>
  </r>
  <r>
    <x v="5"/>
    <x v="2"/>
    <x v="4"/>
    <x v="61"/>
    <n v="7952"/>
    <n v="235"/>
    <n v="33.838297872340426"/>
    <x v="1"/>
    <s v="Q3"/>
    <s v="Large"/>
  </r>
  <r>
    <x v="16"/>
    <x v="4"/>
    <x v="1"/>
    <x v="137"/>
    <n v="483"/>
    <n v="259"/>
    <n v="1.8648648648648649"/>
    <x v="5"/>
    <s v="Q2"/>
    <s v="Small"/>
  </r>
  <r>
    <x v="21"/>
    <x v="0"/>
    <x v="2"/>
    <x v="40"/>
    <n v="4872"/>
    <n v="126"/>
    <n v="38.666666666666664"/>
    <x v="2"/>
    <s v="Q3"/>
    <s v="Large"/>
  </r>
  <r>
    <x v="22"/>
    <x v="0"/>
    <x v="2"/>
    <x v="153"/>
    <n v="7756"/>
    <n v="85"/>
    <n v="91.247058823529414"/>
    <x v="1"/>
    <s v="Q3"/>
    <s v="Large"/>
  </r>
  <r>
    <x v="22"/>
    <x v="4"/>
    <x v="18"/>
    <x v="76"/>
    <n v="5446"/>
    <n v="132"/>
    <n v="41.257575757575758"/>
    <x v="5"/>
    <s v="Q2"/>
    <s v="Large"/>
  </r>
  <r>
    <x v="11"/>
    <x v="5"/>
    <x v="2"/>
    <x v="121"/>
    <n v="6594"/>
    <n v="91"/>
    <n v="72.461538461538467"/>
    <x v="6"/>
    <s v="Q1"/>
    <s v="Large"/>
  </r>
  <r>
    <x v="24"/>
    <x v="2"/>
    <x v="18"/>
    <x v="70"/>
    <n v="1470"/>
    <n v="167"/>
    <n v="8.8023952095808387"/>
    <x v="3"/>
    <s v="Q2"/>
    <s v="Large"/>
  </r>
  <r>
    <x v="14"/>
    <x v="5"/>
    <x v="8"/>
    <x v="141"/>
    <n v="721"/>
    <n v="203"/>
    <n v="3.5517241379310347"/>
    <x v="7"/>
    <s v="Q2"/>
    <s v="Large"/>
  </r>
  <r>
    <x v="13"/>
    <x v="1"/>
    <x v="9"/>
    <x v="106"/>
    <n v="4494"/>
    <n v="11"/>
    <n v="408.54545454545456"/>
    <x v="7"/>
    <s v="Q2"/>
    <s v="Large"/>
  </r>
  <r>
    <x v="1"/>
    <x v="2"/>
    <x v="0"/>
    <x v="10"/>
    <n v="2674"/>
    <n v="295"/>
    <n v="9.0644067796610166"/>
    <x v="0"/>
    <s v="Q1"/>
    <s v="Large"/>
  </r>
  <r>
    <x v="17"/>
    <x v="4"/>
    <x v="21"/>
    <x v="111"/>
    <n v="658"/>
    <n v="77"/>
    <n v="8.545454545454545"/>
    <x v="6"/>
    <s v="Q1"/>
    <s v="Large"/>
  </r>
  <r>
    <x v="19"/>
    <x v="5"/>
    <x v="2"/>
    <x v="17"/>
    <n v="1127"/>
    <n v="319"/>
    <n v="3.5329153605015673"/>
    <x v="4"/>
    <s v="Q1"/>
    <s v="Large"/>
  </r>
  <r>
    <x v="2"/>
    <x v="4"/>
    <x v="21"/>
    <x v="102"/>
    <n v="7364"/>
    <n v="196"/>
    <n v="37.571428571428569"/>
    <x v="0"/>
    <s v="Q1"/>
    <s v="Large"/>
  </r>
  <r>
    <x v="7"/>
    <x v="2"/>
    <x v="14"/>
    <x v="139"/>
    <n v="6818"/>
    <n v="102"/>
    <n v="66.843137254901961"/>
    <x v="6"/>
    <s v="Q1"/>
    <s v="Large"/>
  </r>
  <r>
    <x v="13"/>
    <x v="5"/>
    <x v="9"/>
    <x v="134"/>
    <n v="6776"/>
    <n v="312"/>
    <n v="21.717948717948719"/>
    <x v="7"/>
    <s v="Q2"/>
    <s v="Large"/>
  </r>
  <r>
    <x v="21"/>
    <x v="3"/>
    <x v="1"/>
    <x v="115"/>
    <n v="15099"/>
    <n v="55"/>
    <n v="274.5272727272727"/>
    <x v="1"/>
    <s v="Q3"/>
    <s v="Large"/>
  </r>
  <r>
    <x v="22"/>
    <x v="5"/>
    <x v="11"/>
    <x v="151"/>
    <n v="3612"/>
    <n v="82"/>
    <n v="44.048780487804876"/>
    <x v="3"/>
    <s v="Q2"/>
    <s v="Large"/>
  </r>
  <r>
    <x v="22"/>
    <x v="2"/>
    <x v="21"/>
    <x v="35"/>
    <n v="3710"/>
    <n v="260"/>
    <n v="14.26923076923077"/>
    <x v="3"/>
    <s v="Q2"/>
    <s v="Large"/>
  </r>
  <r>
    <x v="4"/>
    <x v="5"/>
    <x v="8"/>
    <x v="33"/>
    <n v="6111"/>
    <n v="591"/>
    <n v="10.340101522842639"/>
    <x v="7"/>
    <s v="Q2"/>
    <s v="Large"/>
  </r>
  <r>
    <x v="17"/>
    <x v="5"/>
    <x v="9"/>
    <x v="53"/>
    <n v="2702"/>
    <n v="24"/>
    <n v="112.58333333333333"/>
    <x v="0"/>
    <s v="Q1"/>
    <s v="Large"/>
  </r>
  <r>
    <x v="9"/>
    <x v="3"/>
    <x v="5"/>
    <x v="116"/>
    <n v="483"/>
    <n v="228"/>
    <n v="2.1184210526315788"/>
    <x v="7"/>
    <s v="Q2"/>
    <s v="Small"/>
  </r>
  <r>
    <x v="13"/>
    <x v="5"/>
    <x v="14"/>
    <x v="16"/>
    <n v="5887"/>
    <n v="268"/>
    <n v="21.96641791044776"/>
    <x v="3"/>
    <s v="Q2"/>
    <s v="Large"/>
  </r>
  <r>
    <x v="19"/>
    <x v="1"/>
    <x v="5"/>
    <x v="154"/>
    <n v="952"/>
    <n v="68"/>
    <n v="14"/>
    <x v="0"/>
    <s v="Q1"/>
    <s v="Large"/>
  </r>
  <r>
    <x v="13"/>
    <x v="1"/>
    <x v="12"/>
    <x v="127"/>
    <n v="10647"/>
    <n v="173"/>
    <n v="61.543352601156066"/>
    <x v="6"/>
    <s v="Q1"/>
    <s v="Large"/>
  </r>
  <r>
    <x v="23"/>
    <x v="2"/>
    <x v="14"/>
    <x v="25"/>
    <n v="6055"/>
    <n v="93"/>
    <n v="65.107526881720432"/>
    <x v="2"/>
    <s v="Q3"/>
    <s v="Large"/>
  </r>
  <r>
    <x v="4"/>
    <x v="5"/>
    <x v="7"/>
    <x v="3"/>
    <n v="8757"/>
    <n v="338"/>
    <n v="25.908284023668639"/>
    <x v="3"/>
    <s v="Q2"/>
    <s v="Large"/>
  </r>
  <r>
    <x v="16"/>
    <x v="5"/>
    <x v="16"/>
    <x v="153"/>
    <n v="6055"/>
    <n v="73"/>
    <n v="82.945205479452056"/>
    <x v="1"/>
    <s v="Q3"/>
    <s v="Large"/>
  </r>
  <r>
    <x v="3"/>
    <x v="0"/>
    <x v="19"/>
    <x v="54"/>
    <n v="721"/>
    <n v="251"/>
    <n v="2.8725099601593627"/>
    <x v="6"/>
    <s v="Q1"/>
    <s v="Large"/>
  </r>
  <r>
    <x v="0"/>
    <x v="0"/>
    <x v="13"/>
    <x v="110"/>
    <n v="8589"/>
    <n v="229"/>
    <n v="37.506550218340614"/>
    <x v="7"/>
    <s v="Q2"/>
    <s v="Large"/>
  </r>
  <r>
    <x v="17"/>
    <x v="4"/>
    <x v="3"/>
    <x v="65"/>
    <n v="11781"/>
    <n v="91"/>
    <n v="129.46153846153845"/>
    <x v="7"/>
    <s v="Q2"/>
    <s v="Large"/>
  </r>
  <r>
    <x v="6"/>
    <x v="4"/>
    <x v="17"/>
    <x v="89"/>
    <n v="672"/>
    <n v="194"/>
    <n v="3.463917525773196"/>
    <x v="0"/>
    <s v="Q1"/>
    <s v="Large"/>
  </r>
  <r>
    <x v="22"/>
    <x v="3"/>
    <x v="11"/>
    <x v="96"/>
    <n v="12558"/>
    <n v="403"/>
    <n v="31.161290322580644"/>
    <x v="6"/>
    <s v="Q1"/>
    <s v="Large"/>
  </r>
  <r>
    <x v="13"/>
    <x v="1"/>
    <x v="6"/>
    <x v="22"/>
    <n v="8337"/>
    <n v="12"/>
    <n v="694.75"/>
    <x v="6"/>
    <s v="Q1"/>
    <s v="Large"/>
  </r>
  <r>
    <x v="8"/>
    <x v="3"/>
    <x v="4"/>
    <x v="27"/>
    <n v="8134"/>
    <n v="195"/>
    <n v="41.712820512820514"/>
    <x v="7"/>
    <s v="Q2"/>
    <s v="Large"/>
  </r>
  <r>
    <x v="17"/>
    <x v="5"/>
    <x v="10"/>
    <x v="82"/>
    <n v="8491"/>
    <n v="75"/>
    <n v="113.21333333333334"/>
    <x v="0"/>
    <s v="Q1"/>
    <s v="Large"/>
  </r>
  <r>
    <x v="12"/>
    <x v="1"/>
    <x v="16"/>
    <x v="27"/>
    <n v="3066"/>
    <n v="96"/>
    <n v="31.9375"/>
    <x v="7"/>
    <s v="Q2"/>
    <s v="Large"/>
  </r>
  <r>
    <x v="6"/>
    <x v="2"/>
    <x v="2"/>
    <x v="125"/>
    <n v="301"/>
    <n v="205"/>
    <n v="1.4682926829268292"/>
    <x v="1"/>
    <s v="Q3"/>
    <s v="Small"/>
  </r>
  <r>
    <x v="10"/>
    <x v="2"/>
    <x v="12"/>
    <x v="134"/>
    <n v="4410"/>
    <n v="323"/>
    <n v="13.653250773993808"/>
    <x v="7"/>
    <s v="Q2"/>
    <s v="Large"/>
  </r>
  <r>
    <x v="0"/>
    <x v="4"/>
    <x v="14"/>
    <x v="76"/>
    <n v="6559"/>
    <n v="119"/>
    <n v="55.117647058823529"/>
    <x v="5"/>
    <s v="Q2"/>
    <s v="Large"/>
  </r>
  <r>
    <x v="24"/>
    <x v="5"/>
    <x v="10"/>
    <x v="68"/>
    <n v="574"/>
    <n v="217"/>
    <n v="2.6451612903225805"/>
    <x v="2"/>
    <s v="Q3"/>
    <s v="Large"/>
  </r>
  <r>
    <x v="23"/>
    <x v="1"/>
    <x v="8"/>
    <x v="12"/>
    <n v="2086"/>
    <n v="384"/>
    <n v="5.432291666666667"/>
    <x v="2"/>
    <s v="Q3"/>
    <s v="Large"/>
  </r>
  <r>
    <x v="10"/>
    <x v="1"/>
    <x v="21"/>
    <x v="123"/>
    <n v="5075"/>
    <n v="344"/>
    <n v="14.752906976744185"/>
    <x v="7"/>
    <s v="Q2"/>
    <s v="Large"/>
  </r>
  <r>
    <x v="0"/>
    <x v="0"/>
    <x v="0"/>
    <x v="168"/>
    <n v="5902.13"/>
    <n v="178"/>
    <n v="33.158033707865172"/>
    <x v="0"/>
    <s v="Q1"/>
    <s v="Large"/>
  </r>
  <r>
    <x v="1"/>
    <x v="1"/>
    <x v="1"/>
    <x v="169"/>
    <n v="8074.39"/>
    <n v="100"/>
    <n v="80.743899999999996"/>
    <x v="1"/>
    <s v="Q3"/>
    <s v="Large"/>
  </r>
  <r>
    <x v="2"/>
    <x v="1"/>
    <x v="2"/>
    <x v="170"/>
    <n v="4666.18"/>
    <n v="100"/>
    <n v="46.661799999999999"/>
    <x v="2"/>
    <s v="Q3"/>
    <s v="Large"/>
  </r>
  <r>
    <x v="3"/>
    <x v="2"/>
    <x v="2"/>
    <x v="171"/>
    <n v="14103.4"/>
    <n v="350"/>
    <n v="40.295428571428573"/>
    <x v="3"/>
    <s v="Q2"/>
    <s v="Large"/>
  </r>
  <r>
    <x v="0"/>
    <x v="0"/>
    <x v="2"/>
    <x v="172"/>
    <n v="14167.84"/>
    <n v="178"/>
    <n v="79.594606741573031"/>
    <x v="4"/>
    <s v="Q1"/>
    <s v="Large"/>
  </r>
  <r>
    <x v="1"/>
    <x v="1"/>
    <x v="3"/>
    <x v="173"/>
    <n v="5768.75"/>
    <n v="37"/>
    <n v="155.91216216216216"/>
    <x v="5"/>
    <s v="Q2"/>
    <s v="Large"/>
  </r>
  <r>
    <x v="4"/>
    <x v="0"/>
    <x v="4"/>
    <x v="174"/>
    <n v="14673.2"/>
    <n v="175"/>
    <n v="83.846857142857147"/>
    <x v="0"/>
    <s v="Q1"/>
    <s v="Large"/>
  </r>
  <r>
    <x v="5"/>
    <x v="2"/>
    <x v="5"/>
    <x v="175"/>
    <n v="3249.23"/>
    <n v="78"/>
    <n v="41.656794871794872"/>
    <x v="6"/>
    <s v="Q1"/>
    <s v="Large"/>
  </r>
  <r>
    <x v="0"/>
    <x v="3"/>
    <x v="6"/>
    <x v="176"/>
    <n v="4526.24"/>
    <n v="64"/>
    <n v="70.722499999999997"/>
    <x v="3"/>
    <s v="Q2"/>
    <s v="Large"/>
  </r>
  <r>
    <x v="6"/>
    <x v="2"/>
    <x v="4"/>
    <x v="177"/>
    <n v="3166.56"/>
    <n v="98"/>
    <n v="32.311836734693877"/>
    <x v="2"/>
    <s v="Q3"/>
    <s v="Large"/>
  </r>
  <r>
    <x v="7"/>
    <x v="0"/>
    <x v="3"/>
    <x v="178"/>
    <n v="4866.3900000000003"/>
    <n v="65"/>
    <n v="74.867538461538473"/>
    <x v="0"/>
    <s v="Q1"/>
    <s v="Large"/>
  </r>
  <r>
    <x v="8"/>
    <x v="4"/>
    <x v="7"/>
    <x v="179"/>
    <n v="4254.37"/>
    <n v="12"/>
    <n v="354.53083333333331"/>
    <x v="6"/>
    <s v="Q1"/>
    <s v="Large"/>
  </r>
  <r>
    <x v="9"/>
    <x v="5"/>
    <x v="8"/>
    <x v="178"/>
    <n v="1652.61"/>
    <n v="277"/>
    <n v="5.9661010830324903"/>
    <x v="0"/>
    <s v="Q1"/>
    <s v="Large"/>
  </r>
  <r>
    <x v="10"/>
    <x v="3"/>
    <x v="9"/>
    <x v="180"/>
    <n v="171.49"/>
    <n v="163"/>
    <n v="1.0520858895705523"/>
    <x v="2"/>
    <s v="Q3"/>
    <s v="Small"/>
  </r>
  <r>
    <x v="11"/>
    <x v="3"/>
    <x v="2"/>
    <x v="181"/>
    <n v="8549.84"/>
    <n v="169"/>
    <n v="50.590769230769233"/>
    <x v="1"/>
    <s v="Q3"/>
    <s v="Large"/>
  </r>
  <r>
    <x v="12"/>
    <x v="2"/>
    <x v="10"/>
    <x v="182"/>
    <n v="7807.74"/>
    <n v="355"/>
    <n v="21.993633802816902"/>
    <x v="0"/>
    <s v="Q1"/>
    <s v="Large"/>
  </r>
  <r>
    <x v="1"/>
    <x v="5"/>
    <x v="10"/>
    <x v="183"/>
    <n v="4561.43"/>
    <n v="44"/>
    <n v="103.66886363636364"/>
    <x v="4"/>
    <s v="Q1"/>
    <s v="Large"/>
  </r>
  <r>
    <x v="13"/>
    <x v="4"/>
    <x v="3"/>
    <x v="184"/>
    <n v="3041.12"/>
    <n v="148"/>
    <n v="20.548108108108107"/>
    <x v="3"/>
    <s v="Q2"/>
    <s v="Large"/>
  </r>
  <r>
    <x v="12"/>
    <x v="5"/>
    <x v="11"/>
    <x v="185"/>
    <n v="9786.09"/>
    <n v="248"/>
    <n v="39.460040322580646"/>
    <x v="4"/>
    <s v="Q1"/>
    <s v="Large"/>
  </r>
  <r>
    <x v="14"/>
    <x v="0"/>
    <x v="1"/>
    <x v="186"/>
    <n v="1131.25"/>
    <n v="175"/>
    <n v="6.4642857142857144"/>
    <x v="5"/>
    <s v="Q2"/>
    <s v="Large"/>
  </r>
  <r>
    <x v="6"/>
    <x v="2"/>
    <x v="8"/>
    <x v="187"/>
    <n v="7484.07"/>
    <n v="94"/>
    <n v="79.617765957446807"/>
    <x v="5"/>
    <s v="Q2"/>
    <s v="Large"/>
  </r>
  <r>
    <x v="5"/>
    <x v="4"/>
    <x v="12"/>
    <x v="188"/>
    <n v="1339.61"/>
    <n v="166"/>
    <n v="8.0699397590361439"/>
    <x v="4"/>
    <s v="Q1"/>
    <s v="Large"/>
  </r>
  <r>
    <x v="11"/>
    <x v="4"/>
    <x v="5"/>
    <x v="189"/>
    <n v="5481.18"/>
    <n v="159"/>
    <n v="34.472830188679247"/>
    <x v="7"/>
    <s v="Q2"/>
    <s v="Large"/>
  </r>
  <r>
    <x v="15"/>
    <x v="0"/>
    <x v="9"/>
    <x v="190"/>
    <n v="3275.4"/>
    <n v="120"/>
    <n v="27.295000000000002"/>
    <x v="6"/>
    <s v="Q1"/>
    <s v="Large"/>
  </r>
  <r>
    <x v="16"/>
    <x v="2"/>
    <x v="8"/>
    <x v="191"/>
    <n v="7677.78"/>
    <n v="118"/>
    <n v="65.065932203389835"/>
    <x v="4"/>
    <s v="Q1"/>
    <s v="Large"/>
  </r>
  <r>
    <x v="10"/>
    <x v="1"/>
    <x v="13"/>
    <x v="182"/>
    <n v="189.37"/>
    <n v="315"/>
    <n v="0.60117460317460314"/>
    <x v="0"/>
    <s v="Q1"/>
    <s v="Small"/>
  </r>
  <r>
    <x v="13"/>
    <x v="5"/>
    <x v="12"/>
    <x v="192"/>
    <n v="1658.79"/>
    <n v="193"/>
    <n v="8.5947668393782379"/>
    <x v="4"/>
    <s v="Q1"/>
    <s v="Large"/>
  </r>
  <r>
    <x v="15"/>
    <x v="4"/>
    <x v="8"/>
    <x v="170"/>
    <n v="4168.93"/>
    <n v="122"/>
    <n v="34.171557377049183"/>
    <x v="2"/>
    <s v="Q3"/>
    <s v="Large"/>
  </r>
  <r>
    <x v="17"/>
    <x v="3"/>
    <x v="14"/>
    <x v="193"/>
    <n v="10604.89"/>
    <n v="165"/>
    <n v="64.272060606060606"/>
    <x v="2"/>
    <s v="Q3"/>
    <s v="Large"/>
  </r>
  <r>
    <x v="17"/>
    <x v="3"/>
    <x v="15"/>
    <x v="194"/>
    <n v="5773.51"/>
    <n v="325"/>
    <n v="17.764646153846154"/>
    <x v="5"/>
    <s v="Q2"/>
    <s v="Large"/>
  </r>
  <r>
    <x v="1"/>
    <x v="3"/>
    <x v="1"/>
    <x v="195"/>
    <n v="1838.78"/>
    <n v="121"/>
    <n v="15.196528925619834"/>
    <x v="7"/>
    <s v="Q2"/>
    <s v="Large"/>
  </r>
  <r>
    <x v="7"/>
    <x v="0"/>
    <x v="4"/>
    <x v="196"/>
    <n v="12643.1"/>
    <n v="150"/>
    <n v="84.287333333333336"/>
    <x v="5"/>
    <s v="Q2"/>
    <s v="Large"/>
  </r>
  <r>
    <x v="18"/>
    <x v="2"/>
    <x v="15"/>
    <x v="197"/>
    <n v="4439.5200000000004"/>
    <n v="95"/>
    <n v="46.731789473684216"/>
    <x v="7"/>
    <s v="Q2"/>
    <s v="Large"/>
  </r>
  <r>
    <x v="10"/>
    <x v="0"/>
    <x v="16"/>
    <x v="198"/>
    <n v="7698.6"/>
    <n v="126"/>
    <n v="61.1"/>
    <x v="5"/>
    <s v="Q2"/>
    <s v="Large"/>
  </r>
  <r>
    <x v="19"/>
    <x v="5"/>
    <x v="5"/>
    <x v="197"/>
    <n v="2222.3000000000002"/>
    <n v="77"/>
    <n v="28.861038961038965"/>
    <x v="7"/>
    <s v="Q2"/>
    <s v="Large"/>
  </r>
  <r>
    <x v="13"/>
    <x v="4"/>
    <x v="15"/>
    <x v="199"/>
    <n v="10959.02"/>
    <n v="302"/>
    <n v="36.288145695364243"/>
    <x v="2"/>
    <s v="Q3"/>
    <s v="Large"/>
  </r>
  <r>
    <x v="19"/>
    <x v="0"/>
    <x v="6"/>
    <x v="200"/>
    <n v="2854.85"/>
    <n v="337"/>
    <n v="8.4713649851632038"/>
    <x v="1"/>
    <s v="Q3"/>
    <s v="Large"/>
  </r>
  <r>
    <x v="20"/>
    <x v="3"/>
    <x v="5"/>
    <x v="170"/>
    <n v="147.82"/>
    <n v="74"/>
    <n v="1.9975675675675675"/>
    <x v="2"/>
    <s v="Q3"/>
    <s v="Small"/>
  </r>
  <r>
    <x v="21"/>
    <x v="2"/>
    <x v="1"/>
    <x v="201"/>
    <n v="3790.51"/>
    <n v="14"/>
    <n v="270.75071428571431"/>
    <x v="7"/>
    <s v="Q2"/>
    <s v="Large"/>
  </r>
  <r>
    <x v="10"/>
    <x v="1"/>
    <x v="15"/>
    <x v="177"/>
    <n v="2487.19"/>
    <n v="583"/>
    <n v="4.2661921097770152"/>
    <x v="2"/>
    <s v="Q3"/>
    <s v="Large"/>
  </r>
  <r>
    <x v="20"/>
    <x v="4"/>
    <x v="5"/>
    <x v="202"/>
    <n v="1021.27"/>
    <n v="17"/>
    <n v="60.074705882352937"/>
    <x v="5"/>
    <s v="Q2"/>
    <s v="Large"/>
  </r>
  <r>
    <x v="10"/>
    <x v="4"/>
    <x v="17"/>
    <x v="203"/>
    <n v="15370.06"/>
    <n v="353"/>
    <n v="43.54124645892351"/>
    <x v="3"/>
    <s v="Q2"/>
    <s v="Large"/>
  </r>
  <r>
    <x v="9"/>
    <x v="5"/>
    <x v="18"/>
    <x v="204"/>
    <n v="5345.58"/>
    <n v="250"/>
    <n v="21.38232"/>
    <x v="2"/>
    <s v="Q3"/>
    <s v="Large"/>
  </r>
  <r>
    <x v="19"/>
    <x v="1"/>
    <x v="12"/>
    <x v="205"/>
    <n v="6559.44"/>
    <n v="154"/>
    <n v="42.593766233766232"/>
    <x v="4"/>
    <s v="Q1"/>
    <s v="Large"/>
  </r>
  <r>
    <x v="22"/>
    <x v="5"/>
    <x v="16"/>
    <x v="206"/>
    <n v="8282.93"/>
    <n v="107"/>
    <n v="77.410560747663553"/>
    <x v="1"/>
    <s v="Q3"/>
    <s v="Large"/>
  </r>
  <r>
    <x v="16"/>
    <x v="4"/>
    <x v="2"/>
    <x v="185"/>
    <n v="6981.4"/>
    <n v="189"/>
    <n v="36.938624338624336"/>
    <x v="4"/>
    <s v="Q1"/>
    <s v="Large"/>
  </r>
  <r>
    <x v="1"/>
    <x v="4"/>
    <x v="6"/>
    <x v="178"/>
    <n v="10280.17"/>
    <n v="155"/>
    <n v="66.323677419354837"/>
    <x v="0"/>
    <s v="Q1"/>
    <s v="Large"/>
  </r>
  <r>
    <x v="14"/>
    <x v="2"/>
    <x v="11"/>
    <x v="183"/>
    <n v="7703.62"/>
    <n v="20"/>
    <n v="385.18099999999998"/>
    <x v="4"/>
    <s v="Q1"/>
    <s v="Large"/>
  </r>
  <r>
    <x v="13"/>
    <x v="1"/>
    <x v="8"/>
    <x v="207"/>
    <n v="4489.8100000000004"/>
    <n v="310"/>
    <n v="14.48325806451613"/>
    <x v="5"/>
    <s v="Q2"/>
    <s v="Large"/>
  </r>
  <r>
    <x v="14"/>
    <x v="1"/>
    <x v="13"/>
    <x v="170"/>
    <n v="5806.11"/>
    <n v="190"/>
    <n v="30.558473684210526"/>
    <x v="2"/>
    <s v="Q3"/>
    <s v="Large"/>
  </r>
  <r>
    <x v="14"/>
    <x v="5"/>
    <x v="16"/>
    <x v="175"/>
    <n v="5148.7"/>
    <n v="76"/>
    <n v="67.746052631578948"/>
    <x v="6"/>
    <s v="Q1"/>
    <s v="Large"/>
  </r>
  <r>
    <x v="6"/>
    <x v="2"/>
    <x v="13"/>
    <x v="173"/>
    <n v="8558.59"/>
    <n v="24"/>
    <n v="356.60791666666665"/>
    <x v="5"/>
    <s v="Q2"/>
    <s v="Large"/>
  </r>
  <r>
    <x v="23"/>
    <x v="2"/>
    <x v="9"/>
    <x v="208"/>
    <n v="94.19"/>
    <n v="145"/>
    <n v="0.64958620689655167"/>
    <x v="2"/>
    <s v="Q3"/>
    <s v="Small"/>
  </r>
  <r>
    <x v="12"/>
    <x v="4"/>
    <x v="17"/>
    <x v="209"/>
    <n v="16223.83"/>
    <n v="87"/>
    <n v="186.48080459770114"/>
    <x v="3"/>
    <s v="Q2"/>
    <s v="Large"/>
  </r>
  <r>
    <x v="11"/>
    <x v="1"/>
    <x v="1"/>
    <x v="208"/>
    <n v="2439.06"/>
    <n v="175"/>
    <n v="13.937485714285714"/>
    <x v="2"/>
    <s v="Q3"/>
    <s v="Large"/>
  </r>
  <r>
    <x v="0"/>
    <x v="5"/>
    <x v="9"/>
    <x v="210"/>
    <n v="466.65"/>
    <n v="23"/>
    <n v="20.289130434782606"/>
    <x v="2"/>
    <s v="Q3"/>
    <s v="Small"/>
  </r>
  <r>
    <x v="24"/>
    <x v="3"/>
    <x v="12"/>
    <x v="183"/>
    <n v="4044.24"/>
    <n v="18"/>
    <n v="224.67999999999998"/>
    <x v="4"/>
    <s v="Q1"/>
    <s v="Large"/>
  </r>
  <r>
    <x v="6"/>
    <x v="5"/>
    <x v="4"/>
    <x v="211"/>
    <n v="17675.28"/>
    <n v="446"/>
    <n v="39.630672645739907"/>
    <x v="7"/>
    <s v="Q2"/>
    <s v="Large"/>
  </r>
  <r>
    <x v="8"/>
    <x v="2"/>
    <x v="13"/>
    <x v="198"/>
    <n v="17280.98"/>
    <n v="58"/>
    <n v="297.94793103448274"/>
    <x v="5"/>
    <s v="Q2"/>
    <s v="Large"/>
  </r>
  <r>
    <x v="19"/>
    <x v="2"/>
    <x v="6"/>
    <x v="202"/>
    <n v="5091.78"/>
    <n v="219"/>
    <n v="23.250136986301367"/>
    <x v="5"/>
    <s v="Q2"/>
    <s v="Large"/>
  </r>
  <r>
    <x v="19"/>
    <x v="2"/>
    <x v="9"/>
    <x v="212"/>
    <n v="1657.2"/>
    <n v="49"/>
    <n v="33.820408163265306"/>
    <x v="5"/>
    <s v="Q2"/>
    <s v="Large"/>
  </r>
  <r>
    <x v="11"/>
    <x v="2"/>
    <x v="10"/>
    <x v="213"/>
    <n v="305.79000000000002"/>
    <n v="189"/>
    <n v="1.617936507936508"/>
    <x v="7"/>
    <s v="Q2"/>
    <s v="Small"/>
  </r>
  <r>
    <x v="20"/>
    <x v="5"/>
    <x v="19"/>
    <x v="214"/>
    <n v="3377.41"/>
    <n v="325"/>
    <n v="10.392030769230768"/>
    <x v="7"/>
    <s v="Q2"/>
    <s v="Large"/>
  </r>
  <r>
    <x v="10"/>
    <x v="1"/>
    <x v="16"/>
    <x v="215"/>
    <n v="6188.62"/>
    <n v="157"/>
    <n v="39.417961783439488"/>
    <x v="2"/>
    <s v="Q3"/>
    <s v="Large"/>
  </r>
  <r>
    <x v="4"/>
    <x v="1"/>
    <x v="4"/>
    <x v="216"/>
    <n v="10914.36"/>
    <n v="11"/>
    <n v="992.21454545454549"/>
    <x v="7"/>
    <s v="Q2"/>
    <s v="Large"/>
  </r>
  <r>
    <x v="18"/>
    <x v="2"/>
    <x v="20"/>
    <x v="217"/>
    <n v="2342.0700000000002"/>
    <n v="12"/>
    <n v="195.17250000000001"/>
    <x v="3"/>
    <s v="Q2"/>
    <s v="Large"/>
  </r>
  <r>
    <x v="1"/>
    <x v="2"/>
    <x v="10"/>
    <x v="218"/>
    <n v="21762.799999999999"/>
    <n v="15"/>
    <n v="1450.8533333333332"/>
    <x v="1"/>
    <s v="Q3"/>
    <s v="Large"/>
  </r>
  <r>
    <x v="21"/>
    <x v="1"/>
    <x v="6"/>
    <x v="177"/>
    <n v="10539.54"/>
    <n v="398"/>
    <n v="26.481256281407038"/>
    <x v="2"/>
    <s v="Q3"/>
    <s v="Large"/>
  </r>
  <r>
    <x v="4"/>
    <x v="1"/>
    <x v="10"/>
    <x v="219"/>
    <n v="6665.87"/>
    <n v="60"/>
    <n v="111.09783333333333"/>
    <x v="2"/>
    <s v="Q3"/>
    <s v="Large"/>
  </r>
  <r>
    <x v="3"/>
    <x v="4"/>
    <x v="2"/>
    <x v="199"/>
    <n v="9605.11"/>
    <n v="98"/>
    <n v="98.011326530612251"/>
    <x v="2"/>
    <s v="Q3"/>
    <s v="Large"/>
  </r>
  <r>
    <x v="2"/>
    <x v="4"/>
    <x v="18"/>
    <x v="220"/>
    <n v="13018"/>
    <n v="103"/>
    <n v="126.3883495145631"/>
    <x v="6"/>
    <s v="Q1"/>
    <s v="Large"/>
  </r>
  <r>
    <x v="2"/>
    <x v="0"/>
    <x v="16"/>
    <x v="221"/>
    <n v="6046.4"/>
    <n v="10"/>
    <n v="604.64"/>
    <x v="0"/>
    <s v="Q1"/>
    <s v="Large"/>
  </r>
  <r>
    <x v="0"/>
    <x v="3"/>
    <x v="14"/>
    <x v="222"/>
    <n v="3078.33"/>
    <n v="231"/>
    <n v="13.326103896103897"/>
    <x v="6"/>
    <s v="Q1"/>
    <s v="Large"/>
  </r>
  <r>
    <x v="19"/>
    <x v="3"/>
    <x v="2"/>
    <x v="223"/>
    <n v="970.96"/>
    <n v="291"/>
    <n v="3.3366323024054982"/>
    <x v="5"/>
    <s v="Q2"/>
    <s v="Large"/>
  </r>
  <r>
    <x v="1"/>
    <x v="0"/>
    <x v="10"/>
    <x v="224"/>
    <n v="2064.71"/>
    <n v="208"/>
    <n v="9.9264903846153842"/>
    <x v="1"/>
    <s v="Q3"/>
    <s v="Large"/>
  </r>
  <r>
    <x v="13"/>
    <x v="5"/>
    <x v="11"/>
    <x v="225"/>
    <n v="679.94"/>
    <n v="34"/>
    <n v="19.998235294117649"/>
    <x v="2"/>
    <s v="Q3"/>
    <s v="Large"/>
  </r>
  <r>
    <x v="21"/>
    <x v="4"/>
    <x v="12"/>
    <x v="226"/>
    <n v="1311.25"/>
    <n v="251"/>
    <n v="5.2241035856573701"/>
    <x v="4"/>
    <s v="Q1"/>
    <s v="Large"/>
  </r>
  <r>
    <x v="11"/>
    <x v="4"/>
    <x v="7"/>
    <x v="227"/>
    <n v="8692.64"/>
    <n v="184"/>
    <n v="47.242608695652173"/>
    <x v="0"/>
    <s v="Q1"/>
    <s v="Large"/>
  </r>
  <r>
    <x v="1"/>
    <x v="0"/>
    <x v="4"/>
    <x v="228"/>
    <n v="4993.21"/>
    <n v="145"/>
    <n v="34.435931034482756"/>
    <x v="0"/>
    <s v="Q1"/>
    <s v="Large"/>
  </r>
  <r>
    <x v="21"/>
    <x v="4"/>
    <x v="14"/>
    <x v="229"/>
    <n v="10898.19"/>
    <n v="24"/>
    <n v="454.09125"/>
    <x v="1"/>
    <s v="Q3"/>
    <s v="Large"/>
  </r>
  <r>
    <x v="19"/>
    <x v="4"/>
    <x v="17"/>
    <x v="198"/>
    <n v="15565.91"/>
    <n v="21"/>
    <n v="741.23380952380955"/>
    <x v="5"/>
    <s v="Q2"/>
    <s v="Large"/>
  </r>
  <r>
    <x v="23"/>
    <x v="2"/>
    <x v="13"/>
    <x v="230"/>
    <n v="280.58999999999997"/>
    <n v="328"/>
    <n v="0.85545731707317063"/>
    <x v="1"/>
    <s v="Q3"/>
    <s v="Small"/>
  </r>
  <r>
    <x v="6"/>
    <x v="3"/>
    <x v="0"/>
    <x v="169"/>
    <n v="66.349999999999994"/>
    <n v="197"/>
    <n v="0.33680203045685275"/>
    <x v="1"/>
    <s v="Q3"/>
    <s v="Small"/>
  </r>
  <r>
    <x v="13"/>
    <x v="3"/>
    <x v="5"/>
    <x v="231"/>
    <n v="8766.4500000000007"/>
    <n v="10"/>
    <n v="876.6450000000001"/>
    <x v="7"/>
    <s v="Q2"/>
    <s v="Large"/>
  </r>
  <r>
    <x v="13"/>
    <x v="5"/>
    <x v="10"/>
    <x v="221"/>
    <n v="4265.4799999999996"/>
    <n v="85"/>
    <n v="50.182117647058817"/>
    <x v="0"/>
    <s v="Q1"/>
    <s v="Large"/>
  </r>
  <r>
    <x v="17"/>
    <x v="2"/>
    <x v="21"/>
    <x v="232"/>
    <n v="6087.53"/>
    <n v="113"/>
    <n v="53.871946902654862"/>
    <x v="4"/>
    <s v="Q1"/>
    <s v="Large"/>
  </r>
  <r>
    <x v="10"/>
    <x v="4"/>
    <x v="7"/>
    <x v="233"/>
    <n v="11694.48"/>
    <n v="425"/>
    <n v="27.516423529411764"/>
    <x v="7"/>
    <s v="Q2"/>
    <s v="Large"/>
  </r>
  <r>
    <x v="22"/>
    <x v="2"/>
    <x v="12"/>
    <x v="234"/>
    <n v="7616.38"/>
    <n v="392"/>
    <n v="19.429540816326529"/>
    <x v="6"/>
    <s v="Q1"/>
    <s v="Large"/>
  </r>
  <r>
    <x v="17"/>
    <x v="2"/>
    <x v="1"/>
    <x v="184"/>
    <n v="7807.02"/>
    <n v="419"/>
    <n v="18.632505966587114"/>
    <x v="3"/>
    <s v="Q2"/>
    <s v="Large"/>
  </r>
  <r>
    <x v="19"/>
    <x v="5"/>
    <x v="20"/>
    <x v="235"/>
    <n v="7990.91"/>
    <n v="343"/>
    <n v="23.297113702623907"/>
    <x v="0"/>
    <s v="Q1"/>
    <s v="Large"/>
  </r>
  <r>
    <x v="17"/>
    <x v="0"/>
    <x v="8"/>
    <x v="175"/>
    <n v="6757.17"/>
    <n v="276"/>
    <n v="24.482500000000002"/>
    <x v="6"/>
    <s v="Q1"/>
    <s v="Large"/>
  </r>
  <r>
    <x v="22"/>
    <x v="1"/>
    <x v="17"/>
    <x v="170"/>
    <n v="4409.21"/>
    <n v="10"/>
    <n v="440.92099999999999"/>
    <x v="2"/>
    <s v="Q3"/>
    <s v="Large"/>
  </r>
  <r>
    <x v="1"/>
    <x v="4"/>
    <x v="5"/>
    <x v="236"/>
    <n v="722.25"/>
    <n v="255"/>
    <n v="2.8323529411764707"/>
    <x v="2"/>
    <s v="Q3"/>
    <s v="Large"/>
  </r>
  <r>
    <x v="18"/>
    <x v="2"/>
    <x v="10"/>
    <x v="170"/>
    <n v="1896.24"/>
    <n v="115"/>
    <n v="16.489043478260868"/>
    <x v="2"/>
    <s v="Q3"/>
    <s v="Large"/>
  </r>
  <r>
    <x v="10"/>
    <x v="5"/>
    <x v="6"/>
    <x v="210"/>
    <n v="2966.83"/>
    <n v="65"/>
    <n v="45.643538461538462"/>
    <x v="2"/>
    <s v="Q3"/>
    <s v="Large"/>
  </r>
  <r>
    <x v="13"/>
    <x v="3"/>
    <x v="7"/>
    <x v="237"/>
    <n v="51.29"/>
    <n v="100"/>
    <n v="0.51290000000000002"/>
    <x v="3"/>
    <s v="Q2"/>
    <s v="Small"/>
  </r>
  <r>
    <x v="12"/>
    <x v="2"/>
    <x v="8"/>
    <x v="223"/>
    <n v="1835.42"/>
    <n v="6"/>
    <n v="305.90333333333336"/>
    <x v="5"/>
    <s v="Q2"/>
    <s v="Large"/>
  </r>
  <r>
    <x v="20"/>
    <x v="0"/>
    <x v="13"/>
    <x v="196"/>
    <n v="14592.11"/>
    <n v="509"/>
    <n v="28.668192534381141"/>
    <x v="5"/>
    <s v="Q2"/>
    <s v="Large"/>
  </r>
  <r>
    <x v="11"/>
    <x v="4"/>
    <x v="6"/>
    <x v="194"/>
    <n v="1114.1300000000001"/>
    <n v="106"/>
    <n v="10.510660377358491"/>
    <x v="5"/>
    <s v="Q2"/>
    <s v="Large"/>
  </r>
  <r>
    <x v="15"/>
    <x v="4"/>
    <x v="5"/>
    <x v="238"/>
    <n v="13051.75"/>
    <n v="193"/>
    <n v="67.625647668393782"/>
    <x v="3"/>
    <s v="Q2"/>
    <s v="Large"/>
  </r>
  <r>
    <x v="17"/>
    <x v="2"/>
    <x v="17"/>
    <x v="190"/>
    <n v="5997.71"/>
    <n v="31"/>
    <n v="193.47451612903225"/>
    <x v="6"/>
    <s v="Q1"/>
    <s v="Large"/>
  </r>
  <r>
    <x v="19"/>
    <x v="4"/>
    <x v="13"/>
    <x v="210"/>
    <n v="1588.28"/>
    <n v="352"/>
    <n v="4.5121590909090905"/>
    <x v="2"/>
    <s v="Q3"/>
    <s v="Large"/>
  </r>
  <r>
    <x v="20"/>
    <x v="1"/>
    <x v="8"/>
    <x v="209"/>
    <n v="5344.21"/>
    <n v="80"/>
    <n v="66.802625000000006"/>
    <x v="3"/>
    <s v="Q2"/>
    <s v="Large"/>
  </r>
  <r>
    <x v="11"/>
    <x v="4"/>
    <x v="4"/>
    <x v="239"/>
    <n v="4646.91"/>
    <n v="317"/>
    <n v="14.659022082018927"/>
    <x v="6"/>
    <s v="Q1"/>
    <s v="Large"/>
  </r>
  <r>
    <x v="6"/>
    <x v="5"/>
    <x v="12"/>
    <x v="240"/>
    <n v="8929.8799999999992"/>
    <n v="100"/>
    <n v="89.298799999999986"/>
    <x v="6"/>
    <s v="Q1"/>
    <s v="Large"/>
  </r>
  <r>
    <x v="10"/>
    <x v="3"/>
    <x v="21"/>
    <x v="241"/>
    <n v="141.22999999999999"/>
    <n v="38"/>
    <n v="3.7165789473684208"/>
    <x v="1"/>
    <s v="Q3"/>
    <s v="Small"/>
  </r>
  <r>
    <x v="15"/>
    <x v="0"/>
    <x v="12"/>
    <x v="242"/>
    <n v="5068.99"/>
    <n v="45"/>
    <n v="112.64422222222221"/>
    <x v="1"/>
    <s v="Q3"/>
    <s v="Large"/>
  </r>
  <r>
    <x v="11"/>
    <x v="4"/>
    <x v="16"/>
    <x v="243"/>
    <n v="8012.72"/>
    <n v="163"/>
    <n v="49.157791411042943"/>
    <x v="4"/>
    <s v="Q1"/>
    <s v="Large"/>
  </r>
  <r>
    <x v="20"/>
    <x v="1"/>
    <x v="7"/>
    <x v="244"/>
    <n v="10587.71"/>
    <n v="134"/>
    <n v="79.012761194029849"/>
    <x v="5"/>
    <s v="Q2"/>
    <s v="Large"/>
  </r>
  <r>
    <x v="3"/>
    <x v="1"/>
    <x v="12"/>
    <x v="245"/>
    <n v="2155.62"/>
    <n v="495"/>
    <n v="4.3547878787878789"/>
    <x v="3"/>
    <s v="Q2"/>
    <s v="Large"/>
  </r>
  <r>
    <x v="24"/>
    <x v="1"/>
    <x v="12"/>
    <x v="215"/>
    <n v="11010.43"/>
    <n v="103"/>
    <n v="106.89737864077671"/>
    <x v="2"/>
    <s v="Q3"/>
    <s v="Large"/>
  </r>
  <r>
    <x v="20"/>
    <x v="0"/>
    <x v="3"/>
    <x v="246"/>
    <n v="6787.72"/>
    <n v="192"/>
    <n v="35.352708333333332"/>
    <x v="0"/>
    <s v="Q1"/>
    <s v="Large"/>
  </r>
  <r>
    <x v="22"/>
    <x v="2"/>
    <x v="13"/>
    <x v="247"/>
    <n v="5715.07"/>
    <n v="90"/>
    <n v="63.500777777777778"/>
    <x v="0"/>
    <s v="Q1"/>
    <s v="Large"/>
  </r>
  <r>
    <x v="22"/>
    <x v="5"/>
    <x v="21"/>
    <x v="248"/>
    <n v="12100.65"/>
    <n v="142"/>
    <n v="85.215845070422532"/>
    <x v="0"/>
    <s v="Q1"/>
    <s v="Large"/>
  </r>
  <r>
    <x v="18"/>
    <x v="2"/>
    <x v="9"/>
    <x v="249"/>
    <n v="623.75"/>
    <n v="285"/>
    <n v="2.1885964912280702"/>
    <x v="3"/>
    <s v="Q2"/>
    <s v="Large"/>
  </r>
  <r>
    <x v="5"/>
    <x v="2"/>
    <x v="13"/>
    <x v="194"/>
    <n v="6528.42"/>
    <n v="22"/>
    <n v="296.74636363636364"/>
    <x v="5"/>
    <s v="Q2"/>
    <s v="Large"/>
  </r>
  <r>
    <x v="2"/>
    <x v="5"/>
    <x v="19"/>
    <x v="250"/>
    <n v="1540.55"/>
    <n v="47"/>
    <n v="32.777659574468082"/>
    <x v="0"/>
    <s v="Q1"/>
    <s v="Large"/>
  </r>
  <r>
    <x v="20"/>
    <x v="1"/>
    <x v="20"/>
    <x v="251"/>
    <n v="487.06"/>
    <n v="123"/>
    <n v="3.9598373983739839"/>
    <x v="6"/>
    <s v="Q1"/>
    <s v="Small"/>
  </r>
  <r>
    <x v="7"/>
    <x v="2"/>
    <x v="9"/>
    <x v="252"/>
    <n v="11630.38"/>
    <n v="431"/>
    <n v="26.984640371229698"/>
    <x v="4"/>
    <s v="Q1"/>
    <s v="Large"/>
  </r>
  <r>
    <x v="20"/>
    <x v="4"/>
    <x v="15"/>
    <x v="185"/>
    <n v="17297.66"/>
    <n v="96"/>
    <n v="180.18395833333332"/>
    <x v="4"/>
    <s v="Q1"/>
    <s v="Large"/>
  </r>
  <r>
    <x v="0"/>
    <x v="5"/>
    <x v="12"/>
    <x v="178"/>
    <n v="2043.55"/>
    <n v="28"/>
    <n v="72.983928571428564"/>
    <x v="0"/>
    <s v="Q1"/>
    <s v="Large"/>
  </r>
  <r>
    <x v="20"/>
    <x v="2"/>
    <x v="8"/>
    <x v="253"/>
    <n v="8168.86"/>
    <n v="570"/>
    <n v="14.331333333333333"/>
    <x v="6"/>
    <s v="Q1"/>
    <s v="Large"/>
  </r>
  <r>
    <x v="14"/>
    <x v="5"/>
    <x v="12"/>
    <x v="254"/>
    <n v="933.45"/>
    <n v="122"/>
    <n v="7.6512295081967219"/>
    <x v="5"/>
    <s v="Q2"/>
    <s v="Large"/>
  </r>
  <r>
    <x v="4"/>
    <x v="1"/>
    <x v="17"/>
    <x v="217"/>
    <n v="6826.32"/>
    <n v="44"/>
    <n v="155.14363636363635"/>
    <x v="3"/>
    <s v="Q2"/>
    <s v="Large"/>
  </r>
  <r>
    <x v="20"/>
    <x v="0"/>
    <x v="8"/>
    <x v="174"/>
    <n v="5029.3500000000004"/>
    <n v="61"/>
    <n v="82.448360655737716"/>
    <x v="0"/>
    <s v="Q1"/>
    <s v="Large"/>
  </r>
  <r>
    <x v="3"/>
    <x v="1"/>
    <x v="16"/>
    <x v="222"/>
    <n v="5143.49"/>
    <n v="21"/>
    <n v="244.92809523809524"/>
    <x v="6"/>
    <s v="Q1"/>
    <s v="Large"/>
  </r>
  <r>
    <x v="23"/>
    <x v="0"/>
    <x v="16"/>
    <x v="180"/>
    <n v="16707.88"/>
    <n v="102"/>
    <n v="163.80274509803922"/>
    <x v="2"/>
    <s v="Q3"/>
    <s v="Large"/>
  </r>
  <r>
    <x v="11"/>
    <x v="3"/>
    <x v="5"/>
    <x v="255"/>
    <n v="1558.87"/>
    <n v="46"/>
    <n v="33.888478260869562"/>
    <x v="6"/>
    <s v="Q1"/>
    <s v="Large"/>
  </r>
  <r>
    <x v="15"/>
    <x v="2"/>
    <x v="7"/>
    <x v="212"/>
    <n v="9332.76"/>
    <n v="196"/>
    <n v="47.616122448979596"/>
    <x v="5"/>
    <s v="Q2"/>
    <s v="Large"/>
  </r>
  <r>
    <x v="11"/>
    <x v="2"/>
    <x v="11"/>
    <x v="180"/>
    <n v="2673.47"/>
    <n v="375"/>
    <n v="7.1292533333333328"/>
    <x v="2"/>
    <s v="Q3"/>
    <s v="Large"/>
  </r>
  <r>
    <x v="20"/>
    <x v="5"/>
    <x v="4"/>
    <x v="256"/>
    <n v="4950.21"/>
    <n v="54"/>
    <n v="91.670555555555552"/>
    <x v="1"/>
    <s v="Q3"/>
    <s v="Large"/>
  </r>
  <r>
    <x v="16"/>
    <x v="2"/>
    <x v="15"/>
    <x v="257"/>
    <n v="2919.11"/>
    <n v="271"/>
    <n v="10.771623616236162"/>
    <x v="0"/>
    <s v="Q1"/>
    <s v="Large"/>
  </r>
  <r>
    <x v="12"/>
    <x v="3"/>
    <x v="14"/>
    <x v="175"/>
    <n v="8003.23"/>
    <n v="7"/>
    <n v="1143.3185714285714"/>
    <x v="6"/>
    <s v="Q1"/>
    <s v="Large"/>
  </r>
  <r>
    <x v="1"/>
    <x v="0"/>
    <x v="11"/>
    <x v="258"/>
    <n v="4902.78"/>
    <n v="91"/>
    <n v="53.87670329670329"/>
    <x v="2"/>
    <s v="Q3"/>
    <s v="Large"/>
  </r>
  <r>
    <x v="4"/>
    <x v="5"/>
    <x v="4"/>
    <x v="169"/>
    <n v="4033.53"/>
    <n v="430"/>
    <n v="9.3803023255813951"/>
    <x v="1"/>
    <s v="Q3"/>
    <s v="Large"/>
  </r>
  <r>
    <x v="1"/>
    <x v="1"/>
    <x v="10"/>
    <x v="213"/>
    <n v="22751.18"/>
    <n v="182"/>
    <n v="125.00648351648351"/>
    <x v="7"/>
    <s v="Q2"/>
    <s v="Large"/>
  </r>
  <r>
    <x v="13"/>
    <x v="1"/>
    <x v="3"/>
    <x v="218"/>
    <n v="5118.1099999999997"/>
    <n v="137"/>
    <n v="37.358467153284671"/>
    <x v="1"/>
    <s v="Q3"/>
    <s v="Large"/>
  </r>
  <r>
    <x v="3"/>
    <x v="1"/>
    <x v="8"/>
    <x v="247"/>
    <n v="2835.9"/>
    <n v="26"/>
    <n v="109.07307692307693"/>
    <x v="0"/>
    <s v="Q1"/>
    <s v="Large"/>
  </r>
  <r>
    <x v="24"/>
    <x v="0"/>
    <x v="3"/>
    <x v="204"/>
    <n v="5828.22"/>
    <n v="121"/>
    <n v="48.167107438016529"/>
    <x v="2"/>
    <s v="Q3"/>
    <s v="Large"/>
  </r>
  <r>
    <x v="18"/>
    <x v="4"/>
    <x v="5"/>
    <x v="259"/>
    <n v="396.19"/>
    <n v="32"/>
    <n v="12.3809375"/>
    <x v="3"/>
    <s v="Q2"/>
    <s v="Small"/>
  </r>
  <r>
    <x v="2"/>
    <x v="3"/>
    <x v="13"/>
    <x v="260"/>
    <n v="11226.5"/>
    <n v="118"/>
    <n v="95.139830508474574"/>
    <x v="3"/>
    <s v="Q2"/>
    <s v="Large"/>
  </r>
  <r>
    <x v="8"/>
    <x v="4"/>
    <x v="17"/>
    <x v="245"/>
    <n v="10102.86"/>
    <n v="107"/>
    <n v="94.419252336448608"/>
    <x v="3"/>
    <s v="Q2"/>
    <s v="Large"/>
  </r>
  <r>
    <x v="18"/>
    <x v="3"/>
    <x v="1"/>
    <x v="241"/>
    <n v="2084.86"/>
    <n v="119"/>
    <n v="17.519831932773112"/>
    <x v="1"/>
    <s v="Q3"/>
    <s v="Large"/>
  </r>
  <r>
    <x v="2"/>
    <x v="3"/>
    <x v="15"/>
    <x v="212"/>
    <n v="8495.7900000000009"/>
    <n v="268"/>
    <n v="31.700708955223885"/>
    <x v="5"/>
    <s v="Q2"/>
    <s v="Large"/>
  </r>
  <r>
    <x v="24"/>
    <x v="2"/>
    <x v="8"/>
    <x v="193"/>
    <n v="4248.34"/>
    <n v="130"/>
    <n v="32.679538461538463"/>
    <x v="2"/>
    <s v="Q3"/>
    <s v="Large"/>
  </r>
  <r>
    <x v="7"/>
    <x v="3"/>
    <x v="18"/>
    <x v="244"/>
    <n v="2236.11"/>
    <n v="46"/>
    <n v="48.611086956521739"/>
    <x v="5"/>
    <s v="Q2"/>
    <s v="Large"/>
  </r>
  <r>
    <x v="6"/>
    <x v="3"/>
    <x v="3"/>
    <x v="261"/>
    <n v="1124.27"/>
    <n v="26"/>
    <n v="43.241153846153843"/>
    <x v="0"/>
    <s v="Q1"/>
    <s v="Large"/>
  </r>
  <r>
    <x v="6"/>
    <x v="2"/>
    <x v="19"/>
    <x v="168"/>
    <n v="12870.47"/>
    <n v="227"/>
    <n v="56.698105726872242"/>
    <x v="0"/>
    <s v="Q1"/>
    <s v="Large"/>
  </r>
  <r>
    <x v="17"/>
    <x v="2"/>
    <x v="4"/>
    <x v="228"/>
    <n v="3017.66"/>
    <n v="19"/>
    <n v="158.8242105263158"/>
    <x v="0"/>
    <s v="Q1"/>
    <s v="Large"/>
  </r>
  <r>
    <x v="20"/>
    <x v="1"/>
    <x v="16"/>
    <x v="190"/>
    <n v="3574.12"/>
    <n v="149"/>
    <n v="23.987382550335571"/>
    <x v="6"/>
    <s v="Q1"/>
    <s v="Large"/>
  </r>
  <r>
    <x v="21"/>
    <x v="2"/>
    <x v="21"/>
    <x v="262"/>
    <n v="6249.31"/>
    <n v="509"/>
    <n v="12.277622789783891"/>
    <x v="3"/>
    <s v="Q2"/>
    <s v="Large"/>
  </r>
  <r>
    <x v="4"/>
    <x v="1"/>
    <x v="3"/>
    <x v="232"/>
    <n v="10759.61"/>
    <n v="107"/>
    <n v="100.55710280373832"/>
    <x v="4"/>
    <s v="Q1"/>
    <s v="Large"/>
  </r>
  <r>
    <x v="16"/>
    <x v="0"/>
    <x v="10"/>
    <x v="263"/>
    <n v="2508.0300000000002"/>
    <n v="175"/>
    <n v="14.331600000000002"/>
    <x v="6"/>
    <s v="Q1"/>
    <s v="Large"/>
  </r>
  <r>
    <x v="11"/>
    <x v="1"/>
    <x v="20"/>
    <x v="251"/>
    <n v="4997.82"/>
    <n v="83"/>
    <n v="60.214698795180716"/>
    <x v="6"/>
    <s v="Q1"/>
    <s v="Large"/>
  </r>
  <r>
    <x v="10"/>
    <x v="0"/>
    <x v="8"/>
    <x v="174"/>
    <n v="7901.09"/>
    <n v="200"/>
    <n v="39.505450000000003"/>
    <x v="0"/>
    <s v="Q1"/>
    <s v="Large"/>
  </r>
  <r>
    <x v="1"/>
    <x v="1"/>
    <x v="19"/>
    <x v="223"/>
    <n v="3133.42"/>
    <n v="479"/>
    <n v="6.5415866388308981"/>
    <x v="5"/>
    <s v="Q2"/>
    <s v="Large"/>
  </r>
  <r>
    <x v="2"/>
    <x v="0"/>
    <x v="5"/>
    <x v="264"/>
    <n v="8320.2900000000009"/>
    <n v="171"/>
    <n v="48.656666666666673"/>
    <x v="6"/>
    <s v="Q1"/>
    <s v="Large"/>
  </r>
  <r>
    <x v="14"/>
    <x v="2"/>
    <x v="7"/>
    <x v="265"/>
    <n v="909.93"/>
    <n v="132"/>
    <n v="6.8934090909090902"/>
    <x v="2"/>
    <s v="Q3"/>
    <s v="Large"/>
  </r>
  <r>
    <x v="0"/>
    <x v="5"/>
    <x v="3"/>
    <x v="204"/>
    <n v="5631.26"/>
    <n v="142"/>
    <n v="39.656760563380281"/>
    <x v="2"/>
    <s v="Q3"/>
    <s v="Large"/>
  </r>
  <r>
    <x v="10"/>
    <x v="5"/>
    <x v="3"/>
    <x v="246"/>
    <n v="3283.44"/>
    <n v="186"/>
    <n v="17.652903225806451"/>
    <x v="0"/>
    <s v="Q1"/>
    <s v="Large"/>
  </r>
  <r>
    <x v="19"/>
    <x v="4"/>
    <x v="1"/>
    <x v="184"/>
    <n v="9458.0300000000007"/>
    <n v="87"/>
    <n v="108.71298850574713"/>
    <x v="3"/>
    <s v="Q2"/>
    <s v="Large"/>
  </r>
  <r>
    <x v="0"/>
    <x v="5"/>
    <x v="11"/>
    <x v="252"/>
    <n v="7726.25"/>
    <n v="12"/>
    <n v="643.85416666666663"/>
    <x v="4"/>
    <s v="Q1"/>
    <s v="Large"/>
  </r>
  <r>
    <x v="7"/>
    <x v="3"/>
    <x v="20"/>
    <x v="266"/>
    <n v="14369.4"/>
    <n v="15"/>
    <n v="957.95999999999992"/>
    <x v="7"/>
    <s v="Q2"/>
    <s v="Large"/>
  </r>
  <r>
    <x v="9"/>
    <x v="2"/>
    <x v="11"/>
    <x v="267"/>
    <n v="2829.57"/>
    <n v="106"/>
    <n v="26.694056603773586"/>
    <x v="2"/>
    <s v="Q3"/>
    <s v="Large"/>
  </r>
  <r>
    <x v="8"/>
    <x v="4"/>
    <x v="13"/>
    <x v="250"/>
    <n v="9370.61"/>
    <n v="45"/>
    <n v="208.2357777777778"/>
    <x v="0"/>
    <s v="Q1"/>
    <s v="Large"/>
  </r>
  <r>
    <x v="11"/>
    <x v="0"/>
    <x v="20"/>
    <x v="208"/>
    <n v="3651.49"/>
    <n v="112"/>
    <n v="32.602589285714281"/>
    <x v="2"/>
    <s v="Q3"/>
    <s v="Large"/>
  </r>
  <r>
    <x v="9"/>
    <x v="3"/>
    <x v="15"/>
    <x v="268"/>
    <n v="10229.99"/>
    <n v="12"/>
    <n v="852.49916666666661"/>
    <x v="3"/>
    <s v="Q2"/>
    <s v="Large"/>
  </r>
  <r>
    <x v="13"/>
    <x v="1"/>
    <x v="2"/>
    <x v="226"/>
    <n v="11596.89"/>
    <n v="22"/>
    <n v="527.13136363636363"/>
    <x v="4"/>
    <s v="Q1"/>
    <s v="Large"/>
  </r>
  <r>
    <x v="13"/>
    <x v="3"/>
    <x v="11"/>
    <x v="220"/>
    <n v="5857.9"/>
    <n v="111"/>
    <n v="52.773873873873868"/>
    <x v="6"/>
    <s v="Q1"/>
    <s v="Large"/>
  </r>
  <r>
    <x v="24"/>
    <x v="2"/>
    <x v="14"/>
    <x v="220"/>
    <n v="1177.6400000000001"/>
    <n v="206"/>
    <n v="5.7166990291262136"/>
    <x v="6"/>
    <s v="Q1"/>
    <s v="Large"/>
  </r>
  <r>
    <x v="1"/>
    <x v="4"/>
    <x v="4"/>
    <x v="180"/>
    <n v="12930.11"/>
    <n v="6"/>
    <n v="2155.0183333333334"/>
    <x v="2"/>
    <s v="Q3"/>
    <s v="Large"/>
  </r>
  <r>
    <x v="20"/>
    <x v="1"/>
    <x v="5"/>
    <x v="269"/>
    <n v="1732.04"/>
    <n v="531"/>
    <n v="3.2618455743879471"/>
    <x v="0"/>
    <s v="Q1"/>
    <s v="Large"/>
  </r>
  <r>
    <x v="6"/>
    <x v="0"/>
    <x v="14"/>
    <x v="245"/>
    <n v="5837.17"/>
    <n v="173"/>
    <n v="33.74086705202312"/>
    <x v="3"/>
    <s v="Q2"/>
    <s v="Large"/>
  </r>
  <r>
    <x v="1"/>
    <x v="5"/>
    <x v="16"/>
    <x v="187"/>
    <n v="3424.66"/>
    <n v="70"/>
    <n v="48.923714285714283"/>
    <x v="5"/>
    <s v="Q2"/>
    <s v="Large"/>
  </r>
  <r>
    <x v="0"/>
    <x v="2"/>
    <x v="6"/>
    <x v="270"/>
    <n v="5700.28"/>
    <n v="422"/>
    <n v="13.507772511848341"/>
    <x v="0"/>
    <s v="Q1"/>
    <s v="Large"/>
  </r>
  <r>
    <x v="10"/>
    <x v="0"/>
    <x v="19"/>
    <x v="232"/>
    <n v="5094.4799999999996"/>
    <n v="373"/>
    <n v="13.658123324396781"/>
    <x v="4"/>
    <s v="Q1"/>
    <s v="Large"/>
  </r>
  <r>
    <x v="0"/>
    <x v="2"/>
    <x v="7"/>
    <x v="253"/>
    <n v="14529.2"/>
    <n v="26"/>
    <n v="558.81538461538469"/>
    <x v="6"/>
    <s v="Q1"/>
    <s v="Large"/>
  </r>
  <r>
    <x v="11"/>
    <x v="1"/>
    <x v="2"/>
    <x v="221"/>
    <n v="6761.28"/>
    <n v="145"/>
    <n v="46.629517241379311"/>
    <x v="0"/>
    <s v="Q1"/>
    <s v="Large"/>
  </r>
  <r>
    <x v="4"/>
    <x v="0"/>
    <x v="18"/>
    <x v="271"/>
    <n v="10370.44"/>
    <n v="44"/>
    <n v="235.69181818181821"/>
    <x v="6"/>
    <s v="Q1"/>
    <s v="Large"/>
  </r>
  <r>
    <x v="2"/>
    <x v="4"/>
    <x v="12"/>
    <x v="272"/>
    <n v="12450.24"/>
    <n v="57"/>
    <n v="218.42526315789473"/>
    <x v="0"/>
    <s v="Q1"/>
    <s v="Large"/>
  </r>
  <r>
    <x v="8"/>
    <x v="2"/>
    <x v="14"/>
    <x v="177"/>
    <n v="8927.6299999999992"/>
    <n v="386"/>
    <n v="23.128575129533676"/>
    <x v="2"/>
    <s v="Q3"/>
    <s v="Large"/>
  </r>
  <r>
    <x v="16"/>
    <x v="5"/>
    <x v="2"/>
    <x v="177"/>
    <n v="3438.7"/>
    <n v="191"/>
    <n v="18.003664921465969"/>
    <x v="2"/>
    <s v="Q3"/>
    <s v="Large"/>
  </r>
  <r>
    <x v="23"/>
    <x v="4"/>
    <x v="15"/>
    <x v="218"/>
    <n v="299.70999999999998"/>
    <n v="207"/>
    <n v="1.4478743961352656"/>
    <x v="1"/>
    <s v="Q3"/>
    <s v="Small"/>
  </r>
  <r>
    <x v="17"/>
    <x v="2"/>
    <x v="6"/>
    <x v="237"/>
    <n v="7374.26"/>
    <n v="12"/>
    <n v="614.52166666666665"/>
    <x v="3"/>
    <s v="Q2"/>
    <s v="Large"/>
  </r>
  <r>
    <x v="2"/>
    <x v="1"/>
    <x v="17"/>
    <x v="273"/>
    <n v="2775.87"/>
    <n v="174"/>
    <n v="15.953275862068965"/>
    <x v="4"/>
    <s v="Q1"/>
    <s v="Large"/>
  </r>
  <r>
    <x v="21"/>
    <x v="0"/>
    <x v="14"/>
    <x v="235"/>
    <n v="9957.66"/>
    <n v="194"/>
    <n v="51.328144329896908"/>
    <x v="0"/>
    <s v="Q1"/>
    <s v="Large"/>
  </r>
  <r>
    <x v="10"/>
    <x v="1"/>
    <x v="9"/>
    <x v="274"/>
    <n v="5064.88"/>
    <n v="251"/>
    <n v="20.178804780876494"/>
    <x v="7"/>
    <s v="Q2"/>
    <s v="Large"/>
  </r>
  <r>
    <x v="23"/>
    <x v="0"/>
    <x v="4"/>
    <x v="235"/>
    <n v="9865.0499999999993"/>
    <n v="273"/>
    <n v="36.135714285714286"/>
    <x v="0"/>
    <s v="Q1"/>
    <s v="Large"/>
  </r>
  <r>
    <x v="15"/>
    <x v="3"/>
    <x v="20"/>
    <x v="227"/>
    <n v="571.52"/>
    <n v="489"/>
    <n v="1.1687525562372187"/>
    <x v="0"/>
    <s v="Q1"/>
    <s v="Large"/>
  </r>
  <r>
    <x v="8"/>
    <x v="0"/>
    <x v="6"/>
    <x v="250"/>
    <n v="656.44"/>
    <n v="67"/>
    <n v="9.7976119402985091"/>
    <x v="0"/>
    <s v="Q1"/>
    <s v="Large"/>
  </r>
  <r>
    <x v="14"/>
    <x v="2"/>
    <x v="10"/>
    <x v="212"/>
    <n v="4008.93"/>
    <n v="301"/>
    <n v="13.318704318936877"/>
    <x v="5"/>
    <s v="Q2"/>
    <s v="Large"/>
  </r>
  <r>
    <x v="15"/>
    <x v="0"/>
    <x v="18"/>
    <x v="220"/>
    <n v="4679.0600000000004"/>
    <n v="43"/>
    <n v="108.81534883720931"/>
    <x v="6"/>
    <s v="Q1"/>
    <s v="Large"/>
  </r>
  <r>
    <x v="18"/>
    <x v="2"/>
    <x v="5"/>
    <x v="216"/>
    <n v="3446.84"/>
    <n v="28"/>
    <n v="123.10142857142857"/>
    <x v="7"/>
    <s v="Q2"/>
    <s v="Large"/>
  </r>
  <r>
    <x v="17"/>
    <x v="4"/>
    <x v="16"/>
    <x v="198"/>
    <n v="11884.52"/>
    <n v="82"/>
    <n v="144.93317073170732"/>
    <x v="5"/>
    <s v="Q2"/>
    <s v="Large"/>
  </r>
  <r>
    <x v="8"/>
    <x v="5"/>
    <x v="2"/>
    <x v="244"/>
    <n v="2167.19"/>
    <n v="85"/>
    <n v="25.496352941176472"/>
    <x v="5"/>
    <s v="Q2"/>
    <s v="Large"/>
  </r>
  <r>
    <x v="16"/>
    <x v="4"/>
    <x v="21"/>
    <x v="233"/>
    <n v="4199.84"/>
    <n v="107"/>
    <n v="39.250841121495327"/>
    <x v="7"/>
    <s v="Q2"/>
    <s v="Large"/>
  </r>
  <r>
    <x v="8"/>
    <x v="3"/>
    <x v="17"/>
    <x v="267"/>
    <n v="7358.7"/>
    <n v="68"/>
    <n v="108.21617647058824"/>
    <x v="2"/>
    <s v="Q3"/>
    <s v="Large"/>
  </r>
  <r>
    <x v="17"/>
    <x v="0"/>
    <x v="14"/>
    <x v="181"/>
    <n v="7870.09"/>
    <n v="274"/>
    <n v="28.722956204379564"/>
    <x v="1"/>
    <s v="Q3"/>
    <s v="Large"/>
  </r>
  <r>
    <x v="8"/>
    <x v="1"/>
    <x v="19"/>
    <x v="229"/>
    <n v="7454.25"/>
    <n v="148"/>
    <n v="50.366554054054056"/>
    <x v="1"/>
    <s v="Q3"/>
    <s v="Large"/>
  </r>
  <r>
    <x v="1"/>
    <x v="3"/>
    <x v="3"/>
    <x v="275"/>
    <n v="3112.3"/>
    <n v="41"/>
    <n v="75.909756097560987"/>
    <x v="5"/>
    <s v="Q2"/>
    <s v="Large"/>
  </r>
  <r>
    <x v="12"/>
    <x v="0"/>
    <x v="14"/>
    <x v="198"/>
    <n v="6901.22"/>
    <n v="80"/>
    <n v="86.265250000000009"/>
    <x v="5"/>
    <s v="Q2"/>
    <s v="Large"/>
  </r>
  <r>
    <x v="21"/>
    <x v="3"/>
    <x v="0"/>
    <x v="276"/>
    <n v="1178"/>
    <n v="199"/>
    <n v="5.9195979899497484"/>
    <x v="5"/>
    <s v="Q2"/>
    <s v="Large"/>
  </r>
  <r>
    <x v="24"/>
    <x v="0"/>
    <x v="7"/>
    <x v="171"/>
    <n v="14953.83"/>
    <n v="53"/>
    <n v="282.14773584905663"/>
    <x v="3"/>
    <s v="Q2"/>
    <s v="Large"/>
  </r>
  <r>
    <x v="3"/>
    <x v="2"/>
    <x v="14"/>
    <x v="277"/>
    <n v="3958.57"/>
    <n v="33"/>
    <n v="119.95666666666668"/>
    <x v="2"/>
    <s v="Q3"/>
    <s v="Large"/>
  </r>
  <r>
    <x v="9"/>
    <x v="5"/>
    <x v="1"/>
    <x v="176"/>
    <n v="1639.01"/>
    <n v="430"/>
    <n v="3.8116511627906977"/>
    <x v="3"/>
    <s v="Q2"/>
    <s v="Large"/>
  </r>
  <r>
    <x v="7"/>
    <x v="1"/>
    <x v="12"/>
    <x v="168"/>
    <n v="8586.0400000000009"/>
    <n v="144"/>
    <n v="59.625277777777782"/>
    <x v="0"/>
    <s v="Q1"/>
    <s v="Large"/>
  </r>
  <r>
    <x v="24"/>
    <x v="2"/>
    <x v="0"/>
    <x v="252"/>
    <n v="10000.219999999999"/>
    <n v="98"/>
    <n v="102.04306122448979"/>
    <x v="4"/>
    <s v="Q1"/>
    <s v="Large"/>
  </r>
  <r>
    <x v="10"/>
    <x v="2"/>
    <x v="14"/>
    <x v="247"/>
    <n v="8448.39"/>
    <n v="52"/>
    <n v="162.46903846153845"/>
    <x v="0"/>
    <s v="Q1"/>
    <s v="Large"/>
  </r>
  <r>
    <x v="12"/>
    <x v="1"/>
    <x v="9"/>
    <x v="210"/>
    <n v="6984.74"/>
    <n v="51"/>
    <n v="136.95568627450979"/>
    <x v="2"/>
    <s v="Q3"/>
    <s v="Large"/>
  </r>
  <r>
    <x v="6"/>
    <x v="2"/>
    <x v="18"/>
    <x v="231"/>
    <n v="5641.54"/>
    <n v="61"/>
    <n v="92.484262295081962"/>
    <x v="7"/>
    <s v="Q2"/>
    <s v="Large"/>
  </r>
  <r>
    <x v="10"/>
    <x v="5"/>
    <x v="8"/>
    <x v="176"/>
    <n v="3850.87"/>
    <n v="372"/>
    <n v="10.351801075268817"/>
    <x v="3"/>
    <s v="Q2"/>
    <s v="Large"/>
  </r>
  <r>
    <x v="2"/>
    <x v="4"/>
    <x v="4"/>
    <x v="202"/>
    <n v="885.68"/>
    <n v="240"/>
    <n v="3.6903333333333332"/>
    <x v="5"/>
    <s v="Q2"/>
    <s v="Large"/>
  </r>
  <r>
    <x v="11"/>
    <x v="0"/>
    <x v="3"/>
    <x v="278"/>
    <n v="21251.67"/>
    <n v="91"/>
    <n v="233.53483516483516"/>
    <x v="7"/>
    <s v="Q2"/>
    <s v="Large"/>
  </r>
  <r>
    <x v="12"/>
    <x v="3"/>
    <x v="19"/>
    <x v="181"/>
    <n v="1452.61"/>
    <n v="142"/>
    <n v="10.229647887323942"/>
    <x v="1"/>
    <s v="Q3"/>
    <s v="Large"/>
  </r>
  <r>
    <x v="12"/>
    <x v="2"/>
    <x v="11"/>
    <x v="231"/>
    <n v="793.17"/>
    <n v="400"/>
    <n v="1.9829249999999998"/>
    <x v="7"/>
    <s v="Q2"/>
    <s v="Large"/>
  </r>
  <r>
    <x v="1"/>
    <x v="0"/>
    <x v="17"/>
    <x v="251"/>
    <n v="7152.22"/>
    <n v="83"/>
    <n v="86.171325301204817"/>
    <x v="6"/>
    <s v="Q1"/>
    <s v="Large"/>
  </r>
  <r>
    <x v="3"/>
    <x v="2"/>
    <x v="7"/>
    <x v="177"/>
    <n v="3364.44"/>
    <n v="126"/>
    <n v="26.701904761904764"/>
    <x v="2"/>
    <s v="Q3"/>
    <s v="Large"/>
  </r>
  <r>
    <x v="0"/>
    <x v="1"/>
    <x v="6"/>
    <x v="193"/>
    <n v="3470.6"/>
    <n v="129"/>
    <n v="26.903875968992246"/>
    <x v="2"/>
    <s v="Q3"/>
    <s v="Large"/>
  </r>
  <r>
    <x v="22"/>
    <x v="4"/>
    <x v="5"/>
    <x v="279"/>
    <n v="4676.32"/>
    <n v="440"/>
    <n v="10.628"/>
    <x v="6"/>
    <s v="Q1"/>
    <s v="Large"/>
  </r>
  <r>
    <x v="8"/>
    <x v="0"/>
    <x v="17"/>
    <x v="206"/>
    <n v="6323.45"/>
    <n v="70"/>
    <n v="90.334999999999994"/>
    <x v="1"/>
    <s v="Q3"/>
    <s v="Large"/>
  </r>
  <r>
    <x v="24"/>
    <x v="2"/>
    <x v="21"/>
    <x v="257"/>
    <n v="3252.7"/>
    <n v="119"/>
    <n v="27.333613445378148"/>
    <x v="0"/>
    <s v="Q1"/>
    <s v="Large"/>
  </r>
  <r>
    <x v="11"/>
    <x v="0"/>
    <x v="19"/>
    <x v="207"/>
    <n v="254.16"/>
    <n v="161"/>
    <n v="1.5786335403726708"/>
    <x v="5"/>
    <s v="Q2"/>
    <s v="Small"/>
  </r>
  <r>
    <x v="16"/>
    <x v="2"/>
    <x v="2"/>
    <x v="280"/>
    <n v="6127.37"/>
    <n v="299"/>
    <n v="20.492876254180601"/>
    <x v="6"/>
    <s v="Q1"/>
    <s v="Large"/>
  </r>
  <r>
    <x v="7"/>
    <x v="1"/>
    <x v="16"/>
    <x v="277"/>
    <n v="3791.66"/>
    <n v="100"/>
    <n v="37.916599999999995"/>
    <x v="2"/>
    <s v="Q3"/>
    <s v="Large"/>
  </r>
  <r>
    <x v="15"/>
    <x v="0"/>
    <x v="20"/>
    <x v="203"/>
    <n v="17059.689999999999"/>
    <n v="456"/>
    <n v="37.411600877192981"/>
    <x v="3"/>
    <s v="Q2"/>
    <s v="Large"/>
  </r>
  <r>
    <x v="13"/>
    <x v="1"/>
    <x v="7"/>
    <x v="187"/>
    <n v="4154.4399999999996"/>
    <n v="18"/>
    <n v="230.80222222222221"/>
    <x v="5"/>
    <s v="Q2"/>
    <s v="Large"/>
  </r>
  <r>
    <x v="0"/>
    <x v="0"/>
    <x v="21"/>
    <x v="217"/>
    <n v="6168.51"/>
    <n v="280"/>
    <n v="22.030392857142857"/>
    <x v="3"/>
    <s v="Q2"/>
    <s v="Large"/>
  </r>
  <r>
    <x v="15"/>
    <x v="2"/>
    <x v="15"/>
    <x v="279"/>
    <n v="7984.45"/>
    <n v="95"/>
    <n v="84.046842105263153"/>
    <x v="6"/>
    <s v="Q1"/>
    <s v="Large"/>
  </r>
  <r>
    <x v="22"/>
    <x v="4"/>
    <x v="8"/>
    <x v="281"/>
    <n v="9108.33"/>
    <n v="213"/>
    <n v="42.76211267605634"/>
    <x v="6"/>
    <s v="Q1"/>
    <s v="Large"/>
  </r>
  <r>
    <x v="6"/>
    <x v="1"/>
    <x v="8"/>
    <x v="262"/>
    <n v="1511.51"/>
    <n v="58"/>
    <n v="26.060517241379308"/>
    <x v="3"/>
    <s v="Q2"/>
    <s v="Large"/>
  </r>
  <r>
    <x v="9"/>
    <x v="3"/>
    <x v="14"/>
    <x v="243"/>
    <n v="3364.28"/>
    <n v="265"/>
    <n v="12.695396226415095"/>
    <x v="4"/>
    <s v="Q1"/>
    <s v="Large"/>
  </r>
  <r>
    <x v="15"/>
    <x v="4"/>
    <x v="11"/>
    <x v="220"/>
    <n v="934.49"/>
    <n v="54"/>
    <n v="17.305370370370369"/>
    <x v="6"/>
    <s v="Q1"/>
    <s v="Large"/>
  </r>
  <r>
    <x v="1"/>
    <x v="2"/>
    <x v="11"/>
    <x v="223"/>
    <n v="8895.7000000000007"/>
    <n v="91"/>
    <n v="97.754945054945068"/>
    <x v="5"/>
    <s v="Q2"/>
    <s v="Large"/>
  </r>
  <r>
    <x v="12"/>
    <x v="5"/>
    <x v="14"/>
    <x v="210"/>
    <n v="9957.2000000000007"/>
    <n v="185"/>
    <n v="53.822702702702706"/>
    <x v="2"/>
    <s v="Q3"/>
    <s v="Large"/>
  </r>
  <r>
    <x v="23"/>
    <x v="2"/>
    <x v="6"/>
    <x v="233"/>
    <n v="3359.18"/>
    <n v="256"/>
    <n v="13.121796874999999"/>
    <x v="7"/>
    <s v="Q2"/>
    <s v="Large"/>
  </r>
  <r>
    <x v="9"/>
    <x v="3"/>
    <x v="10"/>
    <x v="282"/>
    <n v="5098.29"/>
    <n v="276"/>
    <n v="18.472065217391304"/>
    <x v="2"/>
    <s v="Q3"/>
    <s v="Large"/>
  </r>
  <r>
    <x v="15"/>
    <x v="4"/>
    <x v="1"/>
    <x v="283"/>
    <n v="398.28"/>
    <n v="52"/>
    <n v="7.6592307692307688"/>
    <x v="1"/>
    <s v="Q3"/>
    <s v="Small"/>
  </r>
  <r>
    <x v="22"/>
    <x v="2"/>
    <x v="6"/>
    <x v="258"/>
    <n v="7473.14"/>
    <n v="6"/>
    <n v="1245.5233333333333"/>
    <x v="2"/>
    <s v="Q3"/>
    <s v="Large"/>
  </r>
  <r>
    <x v="18"/>
    <x v="0"/>
    <x v="9"/>
    <x v="211"/>
    <n v="3638.66"/>
    <n v="59"/>
    <n v="61.672203389830507"/>
    <x v="7"/>
    <s v="Q2"/>
    <s v="Large"/>
  </r>
  <r>
    <x v="21"/>
    <x v="1"/>
    <x v="2"/>
    <x v="210"/>
    <n v="12507.08"/>
    <n v="284"/>
    <n v="44.039014084507045"/>
    <x v="2"/>
    <s v="Q3"/>
    <s v="Large"/>
  </r>
  <r>
    <x v="14"/>
    <x v="1"/>
    <x v="21"/>
    <x v="193"/>
    <n v="2393.79"/>
    <n v="48"/>
    <n v="49.870624999999997"/>
    <x v="2"/>
    <s v="Q3"/>
    <s v="Large"/>
  </r>
  <r>
    <x v="9"/>
    <x v="4"/>
    <x v="15"/>
    <x v="177"/>
    <n v="6136.99"/>
    <n v="94"/>
    <n v="65.287127659574466"/>
    <x v="2"/>
    <s v="Q3"/>
    <s v="Large"/>
  </r>
  <r>
    <x v="23"/>
    <x v="0"/>
    <x v="21"/>
    <x v="223"/>
    <n v="1264.43"/>
    <n v="232"/>
    <n v="5.4501293103448276"/>
    <x v="5"/>
    <s v="Q2"/>
    <s v="Large"/>
  </r>
  <r>
    <x v="5"/>
    <x v="2"/>
    <x v="16"/>
    <x v="174"/>
    <n v="4101.26"/>
    <n v="425"/>
    <n v="9.6500235294117651"/>
    <x v="0"/>
    <s v="Q1"/>
    <s v="Large"/>
  </r>
  <r>
    <x v="16"/>
    <x v="3"/>
    <x v="12"/>
    <x v="282"/>
    <n v="8106.88"/>
    <n v="40"/>
    <n v="202.672"/>
    <x v="2"/>
    <s v="Q3"/>
    <s v="Large"/>
  </r>
  <r>
    <x v="2"/>
    <x v="4"/>
    <x v="6"/>
    <x v="268"/>
    <n v="2456.1"/>
    <n v="58"/>
    <n v="42.346551724137932"/>
    <x v="3"/>
    <s v="Q2"/>
    <s v="Large"/>
  </r>
  <r>
    <x v="12"/>
    <x v="0"/>
    <x v="3"/>
    <x v="284"/>
    <n v="4726.6000000000004"/>
    <n v="75"/>
    <n v="63.021333333333338"/>
    <x v="7"/>
    <s v="Q2"/>
    <s v="Large"/>
  </r>
  <r>
    <x v="12"/>
    <x v="2"/>
    <x v="19"/>
    <x v="285"/>
    <n v="3482.73"/>
    <n v="108"/>
    <n v="32.247500000000002"/>
    <x v="1"/>
    <s v="Q3"/>
    <s v="Large"/>
  </r>
  <r>
    <x v="12"/>
    <x v="1"/>
    <x v="21"/>
    <x v="286"/>
    <n v="467.19"/>
    <n v="159"/>
    <n v="2.9383018867924529"/>
    <x v="5"/>
    <s v="Q2"/>
    <s v="Small"/>
  </r>
  <r>
    <x v="0"/>
    <x v="0"/>
    <x v="18"/>
    <x v="287"/>
    <n v="4875.38"/>
    <n v="185"/>
    <n v="26.353405405405407"/>
    <x v="3"/>
    <s v="Q2"/>
    <s v="Large"/>
  </r>
  <r>
    <x v="16"/>
    <x v="4"/>
    <x v="6"/>
    <x v="181"/>
    <n v="70.599999999999994"/>
    <n v="27"/>
    <n v="2.6148148148148147"/>
    <x v="1"/>
    <s v="Q3"/>
    <s v="Small"/>
  </r>
  <r>
    <x v="24"/>
    <x v="4"/>
    <x v="7"/>
    <x v="207"/>
    <n v="1835.22"/>
    <n v="73"/>
    <n v="25.14"/>
    <x v="5"/>
    <s v="Q2"/>
    <s v="Large"/>
  </r>
  <r>
    <x v="5"/>
    <x v="0"/>
    <x v="15"/>
    <x v="187"/>
    <n v="7304.74"/>
    <n v="49"/>
    <n v="149.07632653061225"/>
    <x v="5"/>
    <s v="Q2"/>
    <s v="Large"/>
  </r>
  <r>
    <x v="11"/>
    <x v="2"/>
    <x v="3"/>
    <x v="235"/>
    <n v="3967.85"/>
    <n v="163"/>
    <n v="24.342638036809817"/>
    <x v="0"/>
    <s v="Q1"/>
    <s v="Large"/>
  </r>
  <r>
    <x v="11"/>
    <x v="1"/>
    <x v="5"/>
    <x v="204"/>
    <n v="2800.67"/>
    <n v="190"/>
    <n v="14.740368421052631"/>
    <x v="2"/>
    <s v="Q3"/>
    <s v="Large"/>
  </r>
  <r>
    <x v="24"/>
    <x v="3"/>
    <x v="11"/>
    <x v="288"/>
    <n v="4474.5200000000004"/>
    <n v="120"/>
    <n v="37.287666666666674"/>
    <x v="1"/>
    <s v="Q3"/>
    <s v="Large"/>
  </r>
  <r>
    <x v="7"/>
    <x v="4"/>
    <x v="13"/>
    <x v="261"/>
    <n v="2737.03"/>
    <n v="63"/>
    <n v="43.444920634920635"/>
    <x v="0"/>
    <s v="Q1"/>
    <s v="Large"/>
  </r>
  <r>
    <x v="24"/>
    <x v="1"/>
    <x v="10"/>
    <x v="289"/>
    <n v="16717.259999999998"/>
    <n v="102"/>
    <n v="163.89470588235292"/>
    <x v="6"/>
    <s v="Q1"/>
    <s v="Large"/>
  </r>
  <r>
    <x v="9"/>
    <x v="2"/>
    <x v="7"/>
    <x v="234"/>
    <n v="16112.73"/>
    <n v="282"/>
    <n v="57.13734042553191"/>
    <x v="6"/>
    <s v="Q1"/>
    <s v="Large"/>
  </r>
  <r>
    <x v="15"/>
    <x v="1"/>
    <x v="21"/>
    <x v="290"/>
    <n v="6898"/>
    <n v="163"/>
    <n v="42.319018404907979"/>
    <x v="7"/>
    <s v="Q2"/>
    <s v="Large"/>
  </r>
  <r>
    <x v="8"/>
    <x v="3"/>
    <x v="1"/>
    <x v="291"/>
    <n v="2151.04"/>
    <n v="170"/>
    <n v="12.653176470588235"/>
    <x v="7"/>
    <s v="Q2"/>
    <s v="Large"/>
  </r>
  <r>
    <x v="22"/>
    <x v="0"/>
    <x v="20"/>
    <x v="203"/>
    <n v="172.51"/>
    <n v="152"/>
    <n v="1.1349342105263158"/>
    <x v="3"/>
    <s v="Q2"/>
    <s v="Small"/>
  </r>
  <r>
    <x v="2"/>
    <x v="2"/>
    <x v="9"/>
    <x v="277"/>
    <n v="2949.02"/>
    <n v="153"/>
    <n v="19.274640522875817"/>
    <x v="2"/>
    <s v="Q3"/>
    <s v="Large"/>
  </r>
  <r>
    <x v="11"/>
    <x v="5"/>
    <x v="18"/>
    <x v="206"/>
    <n v="2790.72"/>
    <n v="435"/>
    <n v="6.4154482758620688"/>
    <x v="1"/>
    <s v="Q3"/>
    <s v="Large"/>
  </r>
  <r>
    <x v="24"/>
    <x v="4"/>
    <x v="21"/>
    <x v="197"/>
    <n v="5054.42"/>
    <n v="127"/>
    <n v="39.798582677165356"/>
    <x v="7"/>
    <s v="Q2"/>
    <s v="Large"/>
  </r>
  <r>
    <x v="22"/>
    <x v="1"/>
    <x v="10"/>
    <x v="182"/>
    <n v="5418.75"/>
    <n v="37"/>
    <n v="146.45270270270271"/>
    <x v="0"/>
    <s v="Q1"/>
    <s v="Large"/>
  </r>
  <r>
    <x v="8"/>
    <x v="4"/>
    <x v="6"/>
    <x v="217"/>
    <n v="14604.67"/>
    <n v="128"/>
    <n v="114.098984375"/>
    <x v="3"/>
    <s v="Q2"/>
    <s v="Large"/>
  </r>
  <r>
    <x v="17"/>
    <x v="3"/>
    <x v="0"/>
    <x v="184"/>
    <n v="6668.93"/>
    <n v="419"/>
    <n v="15.916300715990454"/>
    <x v="3"/>
    <s v="Q2"/>
    <s v="Large"/>
  </r>
  <r>
    <x v="11"/>
    <x v="3"/>
    <x v="3"/>
    <x v="275"/>
    <n v="9689.7000000000007"/>
    <n v="58"/>
    <n v="167.06379310344829"/>
    <x v="5"/>
    <s v="Q2"/>
    <s v="Large"/>
  </r>
  <r>
    <x v="6"/>
    <x v="5"/>
    <x v="16"/>
    <x v="268"/>
    <n v="5026.8100000000004"/>
    <n v="123"/>
    <n v="40.868373983739843"/>
    <x v="3"/>
    <s v="Q2"/>
    <s v="Large"/>
  </r>
  <r>
    <x v="12"/>
    <x v="2"/>
    <x v="14"/>
    <x v="187"/>
    <n v="2379.0100000000002"/>
    <n v="178"/>
    <n v="13.365224719101125"/>
    <x v="5"/>
    <s v="Q2"/>
    <s v="Large"/>
  </r>
  <r>
    <x v="23"/>
    <x v="2"/>
    <x v="8"/>
    <x v="182"/>
    <n v="7770.55"/>
    <n v="3"/>
    <n v="2590.1833333333334"/>
    <x v="0"/>
    <s v="Q1"/>
    <s v="Large"/>
  </r>
  <r>
    <x v="8"/>
    <x v="0"/>
    <x v="14"/>
    <x v="193"/>
    <n v="1837.47"/>
    <n v="77"/>
    <n v="23.863246753246752"/>
    <x v="2"/>
    <s v="Q3"/>
    <s v="Large"/>
  </r>
  <r>
    <x v="12"/>
    <x v="5"/>
    <x v="19"/>
    <x v="292"/>
    <n v="14625.75"/>
    <n v="90"/>
    <n v="162.50833333333333"/>
    <x v="0"/>
    <s v="Q1"/>
    <s v="Large"/>
  </r>
  <r>
    <x v="20"/>
    <x v="4"/>
    <x v="14"/>
    <x v="234"/>
    <n v="10305.4"/>
    <n v="22"/>
    <n v="468.42727272727274"/>
    <x v="6"/>
    <s v="Q1"/>
    <s v="Large"/>
  </r>
  <r>
    <x v="16"/>
    <x v="5"/>
    <x v="6"/>
    <x v="240"/>
    <n v="8798.99"/>
    <n v="99"/>
    <n v="88.87868686868687"/>
    <x v="6"/>
    <s v="Q1"/>
    <s v="Large"/>
  </r>
  <r>
    <x v="10"/>
    <x v="5"/>
    <x v="10"/>
    <x v="210"/>
    <n v="2466.59"/>
    <n v="309"/>
    <n v="7.9824919093851134"/>
    <x v="2"/>
    <s v="Q3"/>
    <s v="Large"/>
  </r>
  <r>
    <x v="16"/>
    <x v="0"/>
    <x v="2"/>
    <x v="197"/>
    <n v="6564.2"/>
    <n v="92"/>
    <n v="71.349999999999994"/>
    <x v="7"/>
    <s v="Q2"/>
    <s v="Large"/>
  </r>
  <r>
    <x v="10"/>
    <x v="4"/>
    <x v="11"/>
    <x v="227"/>
    <n v="4764.5600000000004"/>
    <n v="7"/>
    <n v="680.6514285714286"/>
    <x v="0"/>
    <s v="Q1"/>
    <s v="Large"/>
  </r>
  <r>
    <x v="10"/>
    <x v="1"/>
    <x v="7"/>
    <x v="187"/>
    <n v="3172.08"/>
    <n v="153"/>
    <n v="20.732549019607841"/>
    <x v="5"/>
    <s v="Q2"/>
    <s v="Large"/>
  </r>
  <r>
    <x v="24"/>
    <x v="1"/>
    <x v="3"/>
    <x v="181"/>
    <n v="8062"/>
    <n v="20"/>
    <n v="403.1"/>
    <x v="1"/>
    <s v="Q3"/>
    <s v="Large"/>
  </r>
  <r>
    <x v="18"/>
    <x v="3"/>
    <x v="0"/>
    <x v="293"/>
    <n v="12382.41"/>
    <n v="245"/>
    <n v="50.540448979591837"/>
    <x v="1"/>
    <s v="Q3"/>
    <s v="Large"/>
  </r>
  <r>
    <x v="18"/>
    <x v="2"/>
    <x v="13"/>
    <x v="194"/>
    <n v="413.6"/>
    <n v="111"/>
    <n v="3.7261261261261263"/>
    <x v="5"/>
    <s v="Q2"/>
    <s v="Small"/>
  </r>
  <r>
    <x v="17"/>
    <x v="0"/>
    <x v="2"/>
    <x v="232"/>
    <n v="10186.18"/>
    <n v="154"/>
    <n v="66.144025974025979"/>
    <x v="4"/>
    <s v="Q1"/>
    <s v="Large"/>
  </r>
  <r>
    <x v="10"/>
    <x v="2"/>
    <x v="16"/>
    <x v="219"/>
    <n v="7936.84"/>
    <n v="138"/>
    <n v="57.513333333333335"/>
    <x v="2"/>
    <s v="Q3"/>
    <s v="Large"/>
  </r>
  <r>
    <x v="17"/>
    <x v="1"/>
    <x v="11"/>
    <x v="294"/>
    <n v="1712.72"/>
    <n v="93"/>
    <n v="18.416344086021507"/>
    <x v="3"/>
    <s v="Q2"/>
    <s v="Large"/>
  </r>
  <r>
    <x v="24"/>
    <x v="0"/>
    <x v="0"/>
    <x v="238"/>
    <n v="3088.98"/>
    <n v="226"/>
    <n v="13.668053097345133"/>
    <x v="3"/>
    <s v="Q2"/>
    <s v="Large"/>
  </r>
  <r>
    <x v="15"/>
    <x v="2"/>
    <x v="6"/>
    <x v="293"/>
    <n v="14953.43"/>
    <n v="51"/>
    <n v="293.20450980392155"/>
    <x v="1"/>
    <s v="Q3"/>
    <s v="Large"/>
  </r>
  <r>
    <x v="3"/>
    <x v="1"/>
    <x v="13"/>
    <x v="284"/>
    <n v="3219.13"/>
    <n v="54"/>
    <n v="59.613518518518518"/>
    <x v="7"/>
    <s v="Q2"/>
    <s v="Large"/>
  </r>
  <r>
    <x v="9"/>
    <x v="4"/>
    <x v="1"/>
    <x v="197"/>
    <n v="2700.61"/>
    <n v="112"/>
    <n v="24.112589285714286"/>
    <x v="7"/>
    <s v="Q2"/>
    <s v="Large"/>
  </r>
  <r>
    <x v="9"/>
    <x v="4"/>
    <x v="8"/>
    <x v="295"/>
    <n v="7219.96"/>
    <n v="53"/>
    <n v="136.22566037735848"/>
    <x v="6"/>
    <s v="Q1"/>
    <s v="Large"/>
  </r>
  <r>
    <x v="17"/>
    <x v="5"/>
    <x v="12"/>
    <x v="218"/>
    <n v="2634.13"/>
    <n v="234"/>
    <n v="11.256965811965813"/>
    <x v="1"/>
    <s v="Q3"/>
    <s v="Large"/>
  </r>
  <r>
    <x v="17"/>
    <x v="4"/>
    <x v="13"/>
    <x v="284"/>
    <n v="1630.95"/>
    <n v="321"/>
    <n v="5.0808411214953271"/>
    <x v="7"/>
    <s v="Q2"/>
    <s v="Large"/>
  </r>
  <r>
    <x v="20"/>
    <x v="4"/>
    <x v="4"/>
    <x v="229"/>
    <n v="8250.66"/>
    <n v="258"/>
    <n v="31.979302325581394"/>
    <x v="1"/>
    <s v="Q3"/>
    <s v="Large"/>
  </r>
  <r>
    <x v="23"/>
    <x v="5"/>
    <x v="17"/>
    <x v="181"/>
    <n v="4849.3"/>
    <n v="248"/>
    <n v="19.553629032258065"/>
    <x v="1"/>
    <s v="Q3"/>
    <s v="Large"/>
  </r>
  <r>
    <x v="11"/>
    <x v="3"/>
    <x v="11"/>
    <x v="270"/>
    <n v="7940.49"/>
    <n v="328"/>
    <n v="24.208810975609754"/>
    <x v="0"/>
    <s v="Q1"/>
    <s v="Large"/>
  </r>
  <r>
    <x v="22"/>
    <x v="2"/>
    <x v="18"/>
    <x v="238"/>
    <n v="2106.9299999999998"/>
    <n v="69"/>
    <n v="30.535217391304347"/>
    <x v="3"/>
    <s v="Q2"/>
    <s v="Large"/>
  </r>
  <r>
    <x v="20"/>
    <x v="0"/>
    <x v="7"/>
    <x v="169"/>
    <n v="3911.85"/>
    <n v="3"/>
    <n v="1303.95"/>
    <x v="1"/>
    <s v="Q3"/>
    <s v="Large"/>
  </r>
  <r>
    <x v="17"/>
    <x v="5"/>
    <x v="8"/>
    <x v="279"/>
    <n v="483.04"/>
    <n v="45"/>
    <n v="10.734222222222222"/>
    <x v="6"/>
    <s v="Q1"/>
    <s v="Small"/>
  </r>
  <r>
    <x v="10"/>
    <x v="1"/>
    <x v="0"/>
    <x v="210"/>
    <n v="11380.7"/>
    <n v="192"/>
    <n v="59.274479166666673"/>
    <x v="2"/>
    <s v="Q3"/>
    <s v="Large"/>
  </r>
  <r>
    <x v="8"/>
    <x v="3"/>
    <x v="16"/>
    <x v="178"/>
    <n v="6372.68"/>
    <n v="131"/>
    <n v="48.646412213740462"/>
    <x v="0"/>
    <s v="Q1"/>
    <s v="Large"/>
  </r>
  <r>
    <x v="9"/>
    <x v="2"/>
    <x v="1"/>
    <x v="224"/>
    <n v="2714.76"/>
    <n v="52"/>
    <n v="52.206923076923083"/>
    <x v="1"/>
    <s v="Q3"/>
    <s v="Large"/>
  </r>
  <r>
    <x v="24"/>
    <x v="5"/>
    <x v="8"/>
    <x v="221"/>
    <n v="2106.17"/>
    <n v="172"/>
    <n v="12.245174418604652"/>
    <x v="0"/>
    <s v="Q1"/>
    <s v="Large"/>
  </r>
  <r>
    <x v="2"/>
    <x v="2"/>
    <x v="14"/>
    <x v="197"/>
    <n v="5805.24"/>
    <n v="83"/>
    <n v="69.942650602409643"/>
    <x v="7"/>
    <s v="Q2"/>
    <s v="Large"/>
  </r>
  <r>
    <x v="12"/>
    <x v="3"/>
    <x v="1"/>
    <x v="296"/>
    <n v="12205.52"/>
    <n v="23"/>
    <n v="530.67478260869564"/>
    <x v="1"/>
    <s v="Q3"/>
    <s v="Large"/>
  </r>
  <r>
    <x v="16"/>
    <x v="4"/>
    <x v="20"/>
    <x v="297"/>
    <n v="6318.7"/>
    <n v="124"/>
    <n v="50.957258064516125"/>
    <x v="2"/>
    <s v="Q3"/>
    <s v="Large"/>
  </r>
  <r>
    <x v="9"/>
    <x v="2"/>
    <x v="16"/>
    <x v="169"/>
    <n v="8522.7999999999993"/>
    <n v="137"/>
    <n v="62.210218978102183"/>
    <x v="1"/>
    <s v="Q3"/>
    <s v="Large"/>
  </r>
  <r>
    <x v="6"/>
    <x v="5"/>
    <x v="1"/>
    <x v="188"/>
    <n v="10315.879999999999"/>
    <n v="268"/>
    <n v="38.492089552238802"/>
    <x v="4"/>
    <s v="Q1"/>
    <s v="Large"/>
  </r>
  <r>
    <x v="6"/>
    <x v="2"/>
    <x v="9"/>
    <x v="277"/>
    <n v="7262.12"/>
    <n v="158"/>
    <n v="45.962784810126578"/>
    <x v="2"/>
    <s v="Q3"/>
    <s v="Large"/>
  </r>
  <r>
    <x v="23"/>
    <x v="4"/>
    <x v="7"/>
    <x v="205"/>
    <n v="1414.84"/>
    <n v="112"/>
    <n v="12.632499999999999"/>
    <x v="4"/>
    <s v="Q1"/>
    <s v="Large"/>
  </r>
  <r>
    <x v="7"/>
    <x v="2"/>
    <x v="6"/>
    <x v="295"/>
    <n v="3067.9"/>
    <n v="42"/>
    <n v="73.045238095238091"/>
    <x v="6"/>
    <s v="Q1"/>
    <s v="Large"/>
  </r>
  <r>
    <x v="17"/>
    <x v="1"/>
    <x v="4"/>
    <x v="298"/>
    <n v="7369.69"/>
    <n v="325"/>
    <n v="22.67596923076923"/>
    <x v="5"/>
    <s v="Q2"/>
    <s v="Large"/>
  </r>
  <r>
    <x v="14"/>
    <x v="0"/>
    <x v="14"/>
    <x v="299"/>
    <n v="1775.18"/>
    <n v="73"/>
    <n v="24.317534246575342"/>
    <x v="4"/>
    <s v="Q1"/>
    <s v="Large"/>
  </r>
  <r>
    <x v="20"/>
    <x v="2"/>
    <x v="5"/>
    <x v="220"/>
    <n v="7683.78"/>
    <n v="279"/>
    <n v="27.54043010752688"/>
    <x v="6"/>
    <s v="Q1"/>
    <s v="Large"/>
  </r>
  <r>
    <x v="2"/>
    <x v="0"/>
    <x v="13"/>
    <x v="249"/>
    <n v="1412.22"/>
    <n v="90"/>
    <n v="15.691333333333334"/>
    <x v="3"/>
    <s v="Q2"/>
    <s v="Large"/>
  </r>
  <r>
    <x v="5"/>
    <x v="2"/>
    <x v="17"/>
    <x v="271"/>
    <n v="607.08000000000004"/>
    <n v="76"/>
    <n v="7.9878947368421054"/>
    <x v="6"/>
    <s v="Q1"/>
    <s v="Large"/>
  </r>
  <r>
    <x v="14"/>
    <x v="0"/>
    <x v="13"/>
    <x v="300"/>
    <n v="11688.75"/>
    <n v="136"/>
    <n v="85.946691176470594"/>
    <x v="5"/>
    <s v="Q2"/>
    <s v="Large"/>
  </r>
  <r>
    <x v="8"/>
    <x v="5"/>
    <x v="6"/>
    <x v="208"/>
    <n v="10275.549999999999"/>
    <n v="301"/>
    <n v="34.138039867109633"/>
    <x v="2"/>
    <s v="Q3"/>
    <s v="Large"/>
  </r>
  <r>
    <x v="14"/>
    <x v="4"/>
    <x v="12"/>
    <x v="204"/>
    <n v="1788.1"/>
    <n v="271"/>
    <n v="6.5981549815498148"/>
    <x v="2"/>
    <s v="Q3"/>
    <s v="Large"/>
  </r>
  <r>
    <x v="6"/>
    <x v="1"/>
    <x v="16"/>
    <x v="178"/>
    <n v="2378.08"/>
    <n v="222"/>
    <n v="10.712072072072072"/>
    <x v="0"/>
    <s v="Q1"/>
    <s v="Large"/>
  </r>
  <r>
    <x v="4"/>
    <x v="3"/>
    <x v="3"/>
    <x v="170"/>
    <n v="9545.0300000000007"/>
    <n v="64"/>
    <n v="149.14109375000001"/>
    <x v="2"/>
    <s v="Q3"/>
    <s v="Large"/>
  </r>
  <r>
    <x v="3"/>
    <x v="1"/>
    <x v="1"/>
    <x v="231"/>
    <n v="4999.5200000000004"/>
    <n v="446"/>
    <n v="11.209686098654709"/>
    <x v="7"/>
    <s v="Q2"/>
    <s v="Large"/>
  </r>
  <r>
    <x v="11"/>
    <x v="1"/>
    <x v="13"/>
    <x v="268"/>
    <n v="5312.5"/>
    <n v="160"/>
    <n v="33.203125"/>
    <x v="3"/>
    <s v="Q2"/>
    <s v="Large"/>
  </r>
  <r>
    <x v="19"/>
    <x v="3"/>
    <x v="6"/>
    <x v="220"/>
    <n v="3750.88"/>
    <n v="208"/>
    <n v="18.033076923076923"/>
    <x v="6"/>
    <s v="Q1"/>
    <s v="Large"/>
  </r>
  <r>
    <x v="5"/>
    <x v="5"/>
    <x v="17"/>
    <x v="298"/>
    <n v="2375.7399999999998"/>
    <n v="129"/>
    <n v="18.416589147286821"/>
    <x v="5"/>
    <s v="Q2"/>
    <s v="Large"/>
  </r>
  <r>
    <x v="20"/>
    <x v="4"/>
    <x v="9"/>
    <x v="236"/>
    <n v="7013.61"/>
    <n v="170"/>
    <n v="41.256529411764703"/>
    <x v="2"/>
    <s v="Q3"/>
    <s v="Large"/>
  </r>
  <r>
    <x v="1"/>
    <x v="5"/>
    <x v="14"/>
    <x v="295"/>
    <n v="481.52"/>
    <n v="3"/>
    <n v="160.50666666666666"/>
    <x v="6"/>
    <s v="Q1"/>
    <s v="Small"/>
  </r>
  <r>
    <x v="7"/>
    <x v="4"/>
    <x v="19"/>
    <x v="301"/>
    <n v="3136.92"/>
    <n v="64"/>
    <n v="49.014375000000001"/>
    <x v="5"/>
    <s v="Q2"/>
    <s v="Large"/>
  </r>
  <r>
    <x v="1"/>
    <x v="2"/>
    <x v="20"/>
    <x v="302"/>
    <n v="6584.26"/>
    <n v="62"/>
    <n v="106.19774193548388"/>
    <x v="7"/>
    <s v="Q2"/>
    <s v="Large"/>
  </r>
  <r>
    <x v="24"/>
    <x v="3"/>
    <x v="2"/>
    <x v="240"/>
    <n v="1024.77"/>
    <n v="260"/>
    <n v="3.9414230769230767"/>
    <x v="6"/>
    <s v="Q1"/>
    <s v="Large"/>
  </r>
  <r>
    <x v="20"/>
    <x v="5"/>
    <x v="11"/>
    <x v="170"/>
    <n v="17680.189999999999"/>
    <n v="27"/>
    <n v="654.82185185185176"/>
    <x v="2"/>
    <s v="Q3"/>
    <s v="Large"/>
  </r>
  <r>
    <x v="17"/>
    <x v="5"/>
    <x v="18"/>
    <x v="178"/>
    <n v="10707.82"/>
    <n v="124"/>
    <n v="86.353387096774185"/>
    <x v="0"/>
    <s v="Q1"/>
    <s v="Large"/>
  </r>
  <r>
    <x v="14"/>
    <x v="2"/>
    <x v="16"/>
    <x v="225"/>
    <n v="3019.09"/>
    <n v="78"/>
    <n v="38.706282051282052"/>
    <x v="2"/>
    <s v="Q3"/>
    <s v="Large"/>
  </r>
  <r>
    <x v="22"/>
    <x v="2"/>
    <x v="1"/>
    <x v="254"/>
    <n v="1758.62"/>
    <n v="329"/>
    <n v="5.3453495440729482"/>
    <x v="5"/>
    <s v="Q2"/>
    <s v="Large"/>
  </r>
  <r>
    <x v="2"/>
    <x v="0"/>
    <x v="6"/>
    <x v="303"/>
    <n v="8385.3799999999992"/>
    <n v="73"/>
    <n v="114.86821917808219"/>
    <x v="2"/>
    <s v="Q3"/>
    <s v="Large"/>
  </r>
  <r>
    <x v="24"/>
    <x v="0"/>
    <x v="15"/>
    <x v="189"/>
    <n v="4854.12"/>
    <n v="411"/>
    <n v="11.81051094890511"/>
    <x v="7"/>
    <s v="Q2"/>
    <s v="Large"/>
  </r>
  <r>
    <x v="2"/>
    <x v="0"/>
    <x v="21"/>
    <x v="304"/>
    <n v="949.18"/>
    <n v="83"/>
    <n v="11.43590361445783"/>
    <x v="5"/>
    <s v="Q2"/>
    <s v="Large"/>
  </r>
  <r>
    <x v="0"/>
    <x v="2"/>
    <x v="2"/>
    <x v="300"/>
    <n v="6047.05"/>
    <n v="40"/>
    <n v="151.17625000000001"/>
    <x v="5"/>
    <s v="Q2"/>
    <s v="Large"/>
  </r>
  <r>
    <x v="11"/>
    <x v="1"/>
    <x v="8"/>
    <x v="178"/>
    <n v="3883.32"/>
    <n v="94"/>
    <n v="41.311914893617022"/>
    <x v="0"/>
    <s v="Q1"/>
    <s v="Large"/>
  </r>
  <r>
    <x v="14"/>
    <x v="5"/>
    <x v="13"/>
    <x v="260"/>
    <n v="4382.07"/>
    <n v="210"/>
    <n v="20.866999999999997"/>
    <x v="3"/>
    <s v="Q2"/>
    <s v="Large"/>
  </r>
  <r>
    <x v="16"/>
    <x v="0"/>
    <x v="3"/>
    <x v="186"/>
    <n v="9928.1"/>
    <n v="599"/>
    <n v="16.574457429048415"/>
    <x v="5"/>
    <s v="Q2"/>
    <s v="Large"/>
  </r>
  <r>
    <x v="10"/>
    <x v="5"/>
    <x v="12"/>
    <x v="241"/>
    <n v="6315.53"/>
    <n v="51"/>
    <n v="123.83392156862745"/>
    <x v="1"/>
    <s v="Q3"/>
    <s v="Large"/>
  </r>
  <r>
    <x v="20"/>
    <x v="4"/>
    <x v="10"/>
    <x v="297"/>
    <n v="10630.08"/>
    <n v="155"/>
    <n v="68.581161290322584"/>
    <x v="2"/>
    <s v="Q3"/>
    <s v="Large"/>
  </r>
  <r>
    <x v="14"/>
    <x v="1"/>
    <x v="12"/>
    <x v="223"/>
    <n v="167.33"/>
    <n v="143"/>
    <n v="1.1701398601398603"/>
    <x v="5"/>
    <s v="Q2"/>
    <s v="Small"/>
  </r>
  <r>
    <x v="13"/>
    <x v="1"/>
    <x v="5"/>
    <x v="305"/>
    <n v="2690.14"/>
    <n v="117"/>
    <n v="22.992649572649572"/>
    <x v="5"/>
    <s v="Q2"/>
    <s v="Large"/>
  </r>
  <r>
    <x v="21"/>
    <x v="2"/>
    <x v="20"/>
    <x v="306"/>
    <n v="3242.04"/>
    <n v="15"/>
    <n v="216.136"/>
    <x v="7"/>
    <s v="Q2"/>
    <s v="Large"/>
  </r>
  <r>
    <x v="14"/>
    <x v="2"/>
    <x v="4"/>
    <x v="269"/>
    <n v="5363.69"/>
    <n v="87"/>
    <n v="61.651609195402294"/>
    <x v="0"/>
    <s v="Q1"/>
    <s v="Large"/>
  </r>
  <r>
    <x v="9"/>
    <x v="0"/>
    <x v="6"/>
    <x v="252"/>
    <n v="6160.89"/>
    <n v="95"/>
    <n v="64.851473684210532"/>
    <x v="4"/>
    <s v="Q1"/>
    <s v="Large"/>
  </r>
  <r>
    <x v="24"/>
    <x v="5"/>
    <x v="19"/>
    <x v="307"/>
    <n v="7968.23"/>
    <n v="373"/>
    <n v="21.362546916890079"/>
    <x v="6"/>
    <s v="Q1"/>
    <s v="Large"/>
  </r>
  <r>
    <x v="1"/>
    <x v="0"/>
    <x v="9"/>
    <x v="260"/>
    <n v="6388.95"/>
    <n v="131"/>
    <n v="48.770610687022902"/>
    <x v="3"/>
    <s v="Q2"/>
    <s v="Large"/>
  </r>
  <r>
    <x v="5"/>
    <x v="5"/>
    <x v="13"/>
    <x v="175"/>
    <n v="15840.74"/>
    <n v="216"/>
    <n v="73.336759259259253"/>
    <x v="6"/>
    <s v="Q1"/>
    <s v="Large"/>
  </r>
  <r>
    <x v="5"/>
    <x v="3"/>
    <x v="12"/>
    <x v="212"/>
    <n v="7265.05"/>
    <n v="194"/>
    <n v="37.448711340206188"/>
    <x v="5"/>
    <s v="Q2"/>
    <s v="Large"/>
  </r>
  <r>
    <x v="5"/>
    <x v="2"/>
    <x v="9"/>
    <x v="270"/>
    <n v="2342.4899999999998"/>
    <n v="192"/>
    <n v="12.200468749999999"/>
    <x v="0"/>
    <s v="Q1"/>
    <s v="Large"/>
  </r>
  <r>
    <x v="10"/>
    <x v="3"/>
    <x v="13"/>
    <x v="232"/>
    <n v="1365.88"/>
    <n v="147"/>
    <n v="9.2917006802721094"/>
    <x v="4"/>
    <s v="Q1"/>
    <s v="Large"/>
  </r>
  <r>
    <x v="17"/>
    <x v="3"/>
    <x v="9"/>
    <x v="292"/>
    <n v="4437.46"/>
    <n v="196"/>
    <n v="22.640102040816327"/>
    <x v="0"/>
    <s v="Q1"/>
    <s v="Large"/>
  </r>
  <r>
    <x v="0"/>
    <x v="1"/>
    <x v="4"/>
    <x v="243"/>
    <n v="2072.2399999999998"/>
    <n v="232"/>
    <n v="8.9320689655172405"/>
    <x v="4"/>
    <s v="Q1"/>
    <s v="Large"/>
  </r>
  <r>
    <x v="23"/>
    <x v="2"/>
    <x v="0"/>
    <x v="169"/>
    <n v="7091.81"/>
    <n v="27"/>
    <n v="262.65962962962965"/>
    <x v="1"/>
    <s v="Q3"/>
    <s v="Large"/>
  </r>
  <r>
    <x v="13"/>
    <x v="2"/>
    <x v="0"/>
    <x v="308"/>
    <n v="7213.16"/>
    <n v="277"/>
    <n v="26.040288808664258"/>
    <x v="7"/>
    <s v="Q2"/>
    <s v="Large"/>
  </r>
  <r>
    <x v="22"/>
    <x v="3"/>
    <x v="17"/>
    <x v="211"/>
    <n v="9672.76"/>
    <n v="411"/>
    <n v="23.534695863746958"/>
    <x v="7"/>
    <s v="Q2"/>
    <s v="Large"/>
  </r>
  <r>
    <x v="23"/>
    <x v="3"/>
    <x v="18"/>
    <x v="168"/>
    <n v="5750.05"/>
    <n v="350"/>
    <n v="16.428714285714285"/>
    <x v="0"/>
    <s v="Q1"/>
    <s v="Large"/>
  </r>
  <r>
    <x v="13"/>
    <x v="3"/>
    <x v="6"/>
    <x v="290"/>
    <n v="4641.29"/>
    <n v="220"/>
    <n v="21.096772727272729"/>
    <x v="7"/>
    <s v="Q2"/>
    <s v="Large"/>
  </r>
  <r>
    <x v="7"/>
    <x v="1"/>
    <x v="3"/>
    <x v="309"/>
    <n v="1871.33"/>
    <n v="88"/>
    <n v="21.265113636363637"/>
    <x v="7"/>
    <s v="Q2"/>
    <s v="Large"/>
  </r>
  <r>
    <x v="15"/>
    <x v="0"/>
    <x v="14"/>
    <x v="178"/>
    <n v="10843.46"/>
    <n v="142"/>
    <n v="76.362394366197179"/>
    <x v="0"/>
    <s v="Q1"/>
    <s v="Large"/>
  </r>
  <r>
    <x v="13"/>
    <x v="2"/>
    <x v="16"/>
    <x v="300"/>
    <n v="5032.45"/>
    <n v="79"/>
    <n v="63.701898734177213"/>
    <x v="5"/>
    <s v="Q2"/>
    <s v="Large"/>
  </r>
  <r>
    <x v="1"/>
    <x v="4"/>
    <x v="20"/>
    <x v="183"/>
    <n v="1106.3800000000001"/>
    <n v="21"/>
    <n v="52.684761904761913"/>
    <x v="4"/>
    <s v="Q1"/>
    <s v="Large"/>
  </r>
  <r>
    <x v="21"/>
    <x v="2"/>
    <x v="4"/>
    <x v="261"/>
    <n v="4977.55"/>
    <n v="97"/>
    <n v="51.314948453608253"/>
    <x v="0"/>
    <s v="Q1"/>
    <s v="Large"/>
  </r>
  <r>
    <x v="16"/>
    <x v="1"/>
    <x v="11"/>
    <x v="306"/>
    <n v="3210.14"/>
    <n v="92"/>
    <n v="34.892826086956518"/>
    <x v="7"/>
    <s v="Q2"/>
    <s v="Large"/>
  </r>
  <r>
    <x v="24"/>
    <x v="2"/>
    <x v="3"/>
    <x v="213"/>
    <n v="7794.8"/>
    <n v="54"/>
    <n v="144.34814814814814"/>
    <x v="7"/>
    <s v="Q2"/>
    <s v="Large"/>
  </r>
  <r>
    <x v="9"/>
    <x v="4"/>
    <x v="16"/>
    <x v="250"/>
    <n v="7613.37"/>
    <n v="370"/>
    <n v="20.576675675675677"/>
    <x v="0"/>
    <s v="Q1"/>
    <s v="Large"/>
  </r>
  <r>
    <x v="16"/>
    <x v="5"/>
    <x v="4"/>
    <x v="300"/>
    <n v="1332.76"/>
    <n v="409"/>
    <n v="3.2585819070904645"/>
    <x v="5"/>
    <s v="Q2"/>
    <s v="Large"/>
  </r>
  <r>
    <x v="4"/>
    <x v="0"/>
    <x v="5"/>
    <x v="303"/>
    <n v="2587.7600000000002"/>
    <n v="108"/>
    <n v="23.960740740740743"/>
    <x v="2"/>
    <s v="Q3"/>
    <s v="Large"/>
  </r>
  <r>
    <x v="5"/>
    <x v="0"/>
    <x v="8"/>
    <x v="268"/>
    <n v="3826.22"/>
    <n v="169"/>
    <n v="22.640355029585798"/>
    <x v="3"/>
    <s v="Q2"/>
    <s v="Large"/>
  </r>
  <r>
    <x v="23"/>
    <x v="4"/>
    <x v="20"/>
    <x v="203"/>
    <n v="18687.87"/>
    <n v="80"/>
    <n v="233.59837499999998"/>
    <x v="3"/>
    <s v="Q2"/>
    <s v="Large"/>
  </r>
  <r>
    <x v="3"/>
    <x v="1"/>
    <x v="2"/>
    <x v="168"/>
    <n v="8859.6299999999992"/>
    <n v="184"/>
    <n v="48.150163043478258"/>
    <x v="0"/>
    <s v="Q1"/>
    <s v="Large"/>
  </r>
  <r>
    <x v="15"/>
    <x v="2"/>
    <x v="8"/>
    <x v="177"/>
    <n v="7299.4"/>
    <n v="34"/>
    <n v="214.68823529411765"/>
    <x v="2"/>
    <s v="Q3"/>
    <s v="Large"/>
  </r>
  <r>
    <x v="12"/>
    <x v="4"/>
    <x v="3"/>
    <x v="175"/>
    <n v="2556.2600000000002"/>
    <n v="354"/>
    <n v="7.2210734463276847"/>
    <x v="6"/>
    <s v="Q1"/>
    <s v="Large"/>
  </r>
  <r>
    <x v="21"/>
    <x v="2"/>
    <x v="15"/>
    <x v="271"/>
    <n v="703.4"/>
    <n v="181"/>
    <n v="3.8861878453038674"/>
    <x v="6"/>
    <s v="Q1"/>
    <s v="Large"/>
  </r>
  <r>
    <x v="4"/>
    <x v="2"/>
    <x v="16"/>
    <x v="310"/>
    <n v="6421.18"/>
    <n v="242"/>
    <n v="26.533801652892564"/>
    <x v="4"/>
    <s v="Q1"/>
    <s v="Large"/>
  </r>
  <r>
    <x v="3"/>
    <x v="4"/>
    <x v="7"/>
    <x v="196"/>
    <n v="1048.26"/>
    <n v="149"/>
    <n v="7.035302013422819"/>
    <x v="5"/>
    <s v="Q2"/>
    <s v="Large"/>
  </r>
  <r>
    <x v="2"/>
    <x v="4"/>
    <x v="13"/>
    <x v="195"/>
    <n v="3099.14"/>
    <n v="115"/>
    <n v="26.949043478260869"/>
    <x v="7"/>
    <s v="Q2"/>
    <s v="Large"/>
  </r>
  <r>
    <x v="9"/>
    <x v="0"/>
    <x v="11"/>
    <x v="221"/>
    <n v="3737.68"/>
    <n v="282"/>
    <n v="13.254184397163121"/>
    <x v="0"/>
    <s v="Q1"/>
    <s v="Large"/>
  </r>
  <r>
    <x v="14"/>
    <x v="4"/>
    <x v="17"/>
    <x v="279"/>
    <n v="3086.89"/>
    <n v="153"/>
    <n v="20.175751633986927"/>
    <x v="6"/>
    <s v="Q1"/>
    <s v="Large"/>
  </r>
  <r>
    <x v="11"/>
    <x v="5"/>
    <x v="11"/>
    <x v="311"/>
    <n v="2618.15"/>
    <n v="312"/>
    <n v="8.3915064102564099"/>
    <x v="4"/>
    <s v="Q1"/>
    <s v="Large"/>
  </r>
  <r>
    <x v="6"/>
    <x v="1"/>
    <x v="20"/>
    <x v="243"/>
    <n v="1643.45"/>
    <n v="110"/>
    <n v="14.940454545454546"/>
    <x v="4"/>
    <s v="Q1"/>
    <s v="Large"/>
  </r>
  <r>
    <x v="5"/>
    <x v="4"/>
    <x v="8"/>
    <x v="312"/>
    <n v="7368.94"/>
    <n v="45"/>
    <n v="163.75422222222221"/>
    <x v="7"/>
    <s v="Q2"/>
    <s v="Large"/>
  </r>
  <r>
    <x v="13"/>
    <x v="4"/>
    <x v="13"/>
    <x v="275"/>
    <n v="6082.19"/>
    <n v="23"/>
    <n v="264.44304347826085"/>
    <x v="5"/>
    <s v="Q2"/>
    <s v="Large"/>
  </r>
  <r>
    <x v="5"/>
    <x v="1"/>
    <x v="6"/>
    <x v="313"/>
    <n v="14456.14"/>
    <n v="79"/>
    <n v="182.98911392405063"/>
    <x v="1"/>
    <s v="Q3"/>
    <s v="Large"/>
  </r>
  <r>
    <x v="18"/>
    <x v="3"/>
    <x v="15"/>
    <x v="204"/>
    <n v="4173.3999999999996"/>
    <n v="254"/>
    <n v="16.43070866141732"/>
    <x v="2"/>
    <s v="Q3"/>
    <s v="Large"/>
  </r>
  <r>
    <x v="16"/>
    <x v="0"/>
    <x v="15"/>
    <x v="270"/>
    <n v="7189.18"/>
    <n v="113"/>
    <n v="63.621061946902657"/>
    <x v="0"/>
    <s v="Q1"/>
    <s v="Large"/>
  </r>
  <r>
    <x v="1"/>
    <x v="5"/>
    <x v="15"/>
    <x v="172"/>
    <n v="8962.9599999999991"/>
    <n v="48"/>
    <n v="186.72833333333332"/>
    <x v="4"/>
    <s v="Q1"/>
    <s v="Large"/>
  </r>
  <r>
    <x v="18"/>
    <x v="3"/>
    <x v="16"/>
    <x v="279"/>
    <n v="10085.02"/>
    <n v="146"/>
    <n v="69.075479452054793"/>
    <x v="6"/>
    <s v="Q1"/>
    <s v="Large"/>
  </r>
  <r>
    <x v="4"/>
    <x v="3"/>
    <x v="19"/>
    <x v="259"/>
    <n v="12073.18"/>
    <n v="51"/>
    <n v="236.72901960784316"/>
    <x v="3"/>
    <s v="Q2"/>
    <s v="Large"/>
  </r>
  <r>
    <x v="17"/>
    <x v="2"/>
    <x v="10"/>
    <x v="314"/>
    <n v="6655.62"/>
    <n v="39"/>
    <n v="170.65692307692308"/>
    <x v="7"/>
    <s v="Q2"/>
    <s v="Large"/>
  </r>
  <r>
    <x v="11"/>
    <x v="2"/>
    <x v="12"/>
    <x v="298"/>
    <n v="14193.67"/>
    <n v="302"/>
    <n v="46.998907284768215"/>
    <x v="5"/>
    <s v="Q2"/>
    <s v="Large"/>
  </r>
  <r>
    <x v="12"/>
    <x v="5"/>
    <x v="3"/>
    <x v="191"/>
    <n v="15507.29"/>
    <n v="352"/>
    <n v="44.054801136363636"/>
    <x v="4"/>
    <s v="Q1"/>
    <s v="Large"/>
  </r>
  <r>
    <x v="6"/>
    <x v="4"/>
    <x v="10"/>
    <x v="231"/>
    <n v="17383.080000000002"/>
    <n v="145"/>
    <n v="119.88331034482759"/>
    <x v="7"/>
    <s v="Q2"/>
    <s v="Large"/>
  </r>
  <r>
    <x v="13"/>
    <x v="3"/>
    <x v="19"/>
    <x v="273"/>
    <n v="5912.59"/>
    <n v="232"/>
    <n v="25.485301724137933"/>
    <x v="4"/>
    <s v="Q1"/>
    <s v="Large"/>
  </r>
  <r>
    <x v="1"/>
    <x v="0"/>
    <x v="1"/>
    <x v="204"/>
    <n v="4029.28"/>
    <n v="128"/>
    <n v="31.478750000000002"/>
    <x v="2"/>
    <s v="Q3"/>
    <s v="Large"/>
  </r>
  <r>
    <x v="11"/>
    <x v="5"/>
    <x v="12"/>
    <x v="235"/>
    <n v="3563.09"/>
    <n v="344"/>
    <n v="10.35781976744186"/>
    <x v="0"/>
    <s v="Q1"/>
    <s v="Large"/>
  </r>
  <r>
    <x v="7"/>
    <x v="3"/>
    <x v="21"/>
    <x v="200"/>
    <n v="773.73"/>
    <n v="280"/>
    <n v="2.7633214285714285"/>
    <x v="1"/>
    <s v="Q3"/>
    <s v="Large"/>
  </r>
  <r>
    <x v="12"/>
    <x v="4"/>
    <x v="6"/>
    <x v="180"/>
    <n v="2620.19"/>
    <n v="340"/>
    <n v="7.7064411764705882"/>
    <x v="2"/>
    <s v="Q3"/>
    <s v="Large"/>
  </r>
  <r>
    <x v="6"/>
    <x v="4"/>
    <x v="0"/>
    <x v="231"/>
    <n v="11426.56"/>
    <n v="151"/>
    <n v="75.672582781456953"/>
    <x v="7"/>
    <s v="Q2"/>
    <s v="Large"/>
  </r>
  <r>
    <x v="10"/>
    <x v="3"/>
    <x v="8"/>
    <x v="309"/>
    <n v="2935.8"/>
    <n v="171"/>
    <n v="17.168421052631579"/>
    <x v="7"/>
    <s v="Q2"/>
    <s v="Large"/>
  </r>
  <r>
    <x v="8"/>
    <x v="1"/>
    <x v="9"/>
    <x v="250"/>
    <n v="2431.5300000000002"/>
    <n v="148"/>
    <n v="16.429256756756757"/>
    <x v="0"/>
    <s v="Q1"/>
    <s v="Large"/>
  </r>
  <r>
    <x v="11"/>
    <x v="0"/>
    <x v="7"/>
    <x v="173"/>
    <n v="11882.82"/>
    <n v="13"/>
    <n v="914.06307692307689"/>
    <x v="5"/>
    <s v="Q2"/>
    <s v="Large"/>
  </r>
  <r>
    <x v="6"/>
    <x v="3"/>
    <x v="19"/>
    <x v="265"/>
    <n v="6297.06"/>
    <n v="26"/>
    <n v="242.19461538461539"/>
    <x v="2"/>
    <s v="Q3"/>
    <s v="Large"/>
  </r>
  <r>
    <x v="24"/>
    <x v="5"/>
    <x v="12"/>
    <x v="315"/>
    <n v="5859.21"/>
    <n v="193"/>
    <n v="30.35860103626943"/>
    <x v="1"/>
    <s v="Q3"/>
    <s v="Large"/>
  </r>
  <r>
    <x v="6"/>
    <x v="4"/>
    <x v="7"/>
    <x v="250"/>
    <n v="6276.91"/>
    <n v="157"/>
    <n v="39.980318471337576"/>
    <x v="0"/>
    <s v="Q1"/>
    <s v="Large"/>
  </r>
  <r>
    <x v="16"/>
    <x v="1"/>
    <x v="12"/>
    <x v="316"/>
    <n v="5674.7"/>
    <n v="147"/>
    <n v="38.603401360544218"/>
    <x v="1"/>
    <s v="Q3"/>
    <s v="Large"/>
  </r>
  <r>
    <x v="9"/>
    <x v="4"/>
    <x v="6"/>
    <x v="209"/>
    <n v="1960.1"/>
    <n v="14"/>
    <n v="140.00714285714284"/>
    <x v="3"/>
    <s v="Q2"/>
    <s v="Large"/>
  </r>
  <r>
    <x v="9"/>
    <x v="0"/>
    <x v="0"/>
    <x v="196"/>
    <n v="6540.3"/>
    <n v="2"/>
    <n v="3270.15"/>
    <x v="5"/>
    <s v="Q2"/>
    <s v="Large"/>
  </r>
  <r>
    <x v="12"/>
    <x v="1"/>
    <x v="18"/>
    <x v="172"/>
    <n v="3818.21"/>
    <n v="287"/>
    <n v="13.303867595818815"/>
    <x v="4"/>
    <s v="Q1"/>
    <s v="Large"/>
  </r>
  <r>
    <x v="22"/>
    <x v="0"/>
    <x v="3"/>
    <x v="240"/>
    <n v="14769.97"/>
    <n v="87"/>
    <n v="169.76977011494253"/>
    <x v="6"/>
    <s v="Q1"/>
    <s v="Large"/>
  </r>
  <r>
    <x v="2"/>
    <x v="1"/>
    <x v="8"/>
    <x v="304"/>
    <n v="3687.44"/>
    <n v="73"/>
    <n v="50.512876712328769"/>
    <x v="5"/>
    <s v="Q2"/>
    <s v="Large"/>
  </r>
  <r>
    <x v="7"/>
    <x v="2"/>
    <x v="10"/>
    <x v="182"/>
    <n v="1123.58"/>
    <n v="114"/>
    <n v="9.8559649122807009"/>
    <x v="0"/>
    <s v="Q1"/>
    <s v="Large"/>
  </r>
  <r>
    <x v="4"/>
    <x v="3"/>
    <x v="14"/>
    <x v="207"/>
    <n v="4612.08"/>
    <n v="38"/>
    <n v="121.37052631578948"/>
    <x v="5"/>
    <s v="Q2"/>
    <s v="Large"/>
  </r>
  <r>
    <x v="19"/>
    <x v="0"/>
    <x v="9"/>
    <x v="291"/>
    <n v="1600.11"/>
    <n v="70"/>
    <n v="22.858714285714285"/>
    <x v="7"/>
    <s v="Q2"/>
    <s v="Large"/>
  </r>
  <r>
    <x v="20"/>
    <x v="1"/>
    <x v="11"/>
    <x v="203"/>
    <n v="975.67"/>
    <n v="105"/>
    <n v="9.2920952380952375"/>
    <x v="3"/>
    <s v="Q2"/>
    <s v="Large"/>
  </r>
  <r>
    <x v="10"/>
    <x v="3"/>
    <x v="20"/>
    <x v="228"/>
    <n v="5487.3"/>
    <n v="219"/>
    <n v="25.056164383561644"/>
    <x v="0"/>
    <s v="Q1"/>
    <s v="Large"/>
  </r>
  <r>
    <x v="19"/>
    <x v="3"/>
    <x v="10"/>
    <x v="240"/>
    <n v="4948.1499999999996"/>
    <n v="39"/>
    <n v="126.87564102564102"/>
    <x v="6"/>
    <s v="Q1"/>
    <s v="Large"/>
  </r>
  <r>
    <x v="8"/>
    <x v="3"/>
    <x v="5"/>
    <x v="209"/>
    <n v="11460.08"/>
    <n v="81"/>
    <n v="141.48246913580246"/>
    <x v="3"/>
    <s v="Q2"/>
    <s v="Large"/>
  </r>
  <r>
    <x v="12"/>
    <x v="0"/>
    <x v="16"/>
    <x v="213"/>
    <n v="2628.33"/>
    <n v="101"/>
    <n v="26.023069306930694"/>
    <x v="7"/>
    <s v="Q2"/>
    <s v="Large"/>
  </r>
  <r>
    <x v="4"/>
    <x v="2"/>
    <x v="17"/>
    <x v="188"/>
    <n v="1044.3499999999999"/>
    <n v="126"/>
    <n v="8.2884920634920629"/>
    <x v="4"/>
    <s v="Q1"/>
    <s v="Large"/>
  </r>
  <r>
    <x v="17"/>
    <x v="4"/>
    <x v="17"/>
    <x v="261"/>
    <n v="7449.7"/>
    <n v="264"/>
    <n v="28.218560606060606"/>
    <x v="0"/>
    <s v="Q1"/>
    <s v="Large"/>
  </r>
  <r>
    <x v="13"/>
    <x v="5"/>
    <x v="7"/>
    <x v="192"/>
    <n v="9315.64"/>
    <n v="88"/>
    <n v="105.85954545454545"/>
    <x v="4"/>
    <s v="Q1"/>
    <s v="Large"/>
  </r>
  <r>
    <x v="9"/>
    <x v="5"/>
    <x v="7"/>
    <x v="253"/>
    <n v="3820.94"/>
    <n v="179"/>
    <n v="21.346033519553075"/>
    <x v="6"/>
    <s v="Q1"/>
    <s v="Large"/>
  </r>
  <r>
    <x v="22"/>
    <x v="3"/>
    <x v="20"/>
    <x v="299"/>
    <n v="3782.83"/>
    <n v="150"/>
    <n v="25.218866666666667"/>
    <x v="4"/>
    <s v="Q1"/>
    <s v="Large"/>
  </r>
  <r>
    <x v="9"/>
    <x v="1"/>
    <x v="9"/>
    <x v="234"/>
    <n v="4525.72"/>
    <n v="146"/>
    <n v="30.998082191780824"/>
    <x v="6"/>
    <s v="Q1"/>
    <s v="Large"/>
  </r>
  <r>
    <x v="24"/>
    <x v="0"/>
    <x v="14"/>
    <x v="235"/>
    <n v="3730.79"/>
    <n v="237"/>
    <n v="15.741729957805907"/>
    <x v="0"/>
    <s v="Q1"/>
    <s v="Large"/>
  </r>
  <r>
    <x v="24"/>
    <x v="4"/>
    <x v="14"/>
    <x v="226"/>
    <n v="6068.19"/>
    <n v="349"/>
    <n v="17.387363896848136"/>
    <x v="4"/>
    <s v="Q1"/>
    <s v="Large"/>
  </r>
  <r>
    <x v="17"/>
    <x v="3"/>
    <x v="7"/>
    <x v="251"/>
    <n v="4944.46"/>
    <n v="144"/>
    <n v="34.336527777777775"/>
    <x v="6"/>
    <s v="Q1"/>
    <s v="Large"/>
  </r>
  <r>
    <x v="23"/>
    <x v="1"/>
    <x v="14"/>
    <x v="256"/>
    <n v="12331.35"/>
    <n v="337"/>
    <n v="36.591543026706233"/>
    <x v="1"/>
    <s v="Q3"/>
    <s v="Large"/>
  </r>
  <r>
    <x v="2"/>
    <x v="1"/>
    <x v="15"/>
    <x v="233"/>
    <n v="5290.76"/>
    <n v="76"/>
    <n v="69.615263157894745"/>
    <x v="7"/>
    <s v="Q2"/>
    <s v="Large"/>
  </r>
  <r>
    <x v="1"/>
    <x v="1"/>
    <x v="12"/>
    <x v="317"/>
    <n v="6874.06"/>
    <n v="4"/>
    <n v="1718.5150000000001"/>
    <x v="3"/>
    <s v="Q2"/>
    <s v="Large"/>
  </r>
  <r>
    <x v="3"/>
    <x v="3"/>
    <x v="0"/>
    <x v="198"/>
    <n v="20402.169999999998"/>
    <n v="297"/>
    <n v="68.694175084175072"/>
    <x v="5"/>
    <s v="Q2"/>
    <s v="Large"/>
  </r>
  <r>
    <x v="23"/>
    <x v="3"/>
    <x v="14"/>
    <x v="194"/>
    <n v="7923.1"/>
    <n v="62"/>
    <n v="127.79193548387097"/>
    <x v="5"/>
    <s v="Q2"/>
    <s v="Large"/>
  </r>
  <r>
    <x v="7"/>
    <x v="5"/>
    <x v="20"/>
    <x v="169"/>
    <n v="8145.99"/>
    <n v="100"/>
    <n v="81.459900000000005"/>
    <x v="1"/>
    <s v="Q3"/>
    <s v="Large"/>
  </r>
  <r>
    <x v="16"/>
    <x v="4"/>
    <x v="11"/>
    <x v="194"/>
    <n v="16253.25"/>
    <n v="58"/>
    <n v="280.22844827586209"/>
    <x v="5"/>
    <s v="Q2"/>
    <s v="Large"/>
  </r>
  <r>
    <x v="6"/>
    <x v="1"/>
    <x v="5"/>
    <x v="254"/>
    <n v="5744.07"/>
    <n v="49"/>
    <n v="117.22591836734694"/>
    <x v="5"/>
    <s v="Q2"/>
    <s v="Large"/>
  </r>
  <r>
    <x v="4"/>
    <x v="3"/>
    <x v="17"/>
    <x v="278"/>
    <n v="4908.71"/>
    <n v="288"/>
    <n v="17.044131944444445"/>
    <x v="7"/>
    <s v="Q2"/>
    <s v="Large"/>
  </r>
  <r>
    <x v="17"/>
    <x v="4"/>
    <x v="9"/>
    <x v="314"/>
    <n v="2369.87"/>
    <n v="139"/>
    <n v="17.049424460431656"/>
    <x v="7"/>
    <s v="Q2"/>
    <s v="Large"/>
  </r>
  <r>
    <x v="4"/>
    <x v="1"/>
    <x v="8"/>
    <x v="242"/>
    <n v="5973.24"/>
    <n v="337"/>
    <n v="17.724747774480711"/>
    <x v="1"/>
    <s v="Q3"/>
    <s v="Large"/>
  </r>
  <r>
    <x v="24"/>
    <x v="3"/>
    <x v="10"/>
    <x v="210"/>
    <n v="8047.16"/>
    <n v="86"/>
    <n v="93.571627906976744"/>
    <x v="2"/>
    <s v="Q3"/>
    <s v="Large"/>
  </r>
  <r>
    <x v="2"/>
    <x v="0"/>
    <x v="19"/>
    <x v="213"/>
    <n v="9656.56"/>
    <n v="400"/>
    <n v="24.141399999999997"/>
    <x v="7"/>
    <s v="Q2"/>
    <s v="Large"/>
  </r>
  <r>
    <x v="3"/>
    <x v="2"/>
    <x v="6"/>
    <x v="275"/>
    <n v="3925.06"/>
    <n v="186"/>
    <n v="21.102473118279569"/>
    <x v="5"/>
    <s v="Q2"/>
    <s v="Large"/>
  </r>
  <r>
    <x v="12"/>
    <x v="2"/>
    <x v="3"/>
    <x v="174"/>
    <n v="11682.62"/>
    <n v="506"/>
    <n v="23.08818181818182"/>
    <x v="0"/>
    <s v="Q1"/>
    <s v="Large"/>
  </r>
  <r>
    <x v="24"/>
    <x v="4"/>
    <x v="10"/>
    <x v="180"/>
    <n v="7874.15"/>
    <n v="13"/>
    <n v="605.70384615384614"/>
    <x v="2"/>
    <s v="Q3"/>
    <s v="Large"/>
  </r>
  <r>
    <x v="6"/>
    <x v="5"/>
    <x v="0"/>
    <x v="250"/>
    <n v="5061.37"/>
    <n v="179"/>
    <n v="28.275810055865922"/>
    <x v="0"/>
    <s v="Q1"/>
    <s v="Large"/>
  </r>
  <r>
    <x v="16"/>
    <x v="0"/>
    <x v="7"/>
    <x v="196"/>
    <n v="2099.2399999999998"/>
    <n v="186"/>
    <n v="11.286236559139784"/>
    <x v="5"/>
    <s v="Q2"/>
    <s v="Large"/>
  </r>
  <r>
    <x v="10"/>
    <x v="2"/>
    <x v="21"/>
    <x v="300"/>
    <n v="237.57"/>
    <n v="311"/>
    <n v="0.7638906752411575"/>
    <x v="5"/>
    <s v="Q2"/>
    <s v="Small"/>
  </r>
  <r>
    <x v="5"/>
    <x v="5"/>
    <x v="0"/>
    <x v="282"/>
    <n v="8829.77"/>
    <n v="445"/>
    <n v="19.842179775280901"/>
    <x v="2"/>
    <s v="Q3"/>
    <s v="Large"/>
  </r>
  <r>
    <x v="13"/>
    <x v="4"/>
    <x v="2"/>
    <x v="243"/>
    <n v="1733.09"/>
    <n v="135"/>
    <n v="12.837703703703703"/>
    <x v="4"/>
    <s v="Q1"/>
    <s v="Large"/>
  </r>
  <r>
    <x v="14"/>
    <x v="5"/>
    <x v="3"/>
    <x v="169"/>
    <n v="3047.18"/>
    <n v="12"/>
    <n v="253.93166666666664"/>
    <x v="1"/>
    <s v="Q3"/>
    <s v="Large"/>
  </r>
  <r>
    <x v="4"/>
    <x v="2"/>
    <x v="11"/>
    <x v="304"/>
    <n v="8497.7199999999993"/>
    <n v="276"/>
    <n v="30.788840579710143"/>
    <x v="5"/>
    <s v="Q2"/>
    <s v="Large"/>
  </r>
  <r>
    <x v="21"/>
    <x v="3"/>
    <x v="12"/>
    <x v="174"/>
    <n v="12557.56"/>
    <n v="26"/>
    <n v="482.98307692307691"/>
    <x v="0"/>
    <s v="Q1"/>
    <s v="Large"/>
  </r>
  <r>
    <x v="2"/>
    <x v="0"/>
    <x v="11"/>
    <x v="302"/>
    <n v="1406.91"/>
    <n v="231"/>
    <n v="6.0905194805194807"/>
    <x v="7"/>
    <s v="Q2"/>
    <s v="Large"/>
  </r>
  <r>
    <x v="19"/>
    <x v="2"/>
    <x v="1"/>
    <x v="230"/>
    <n v="4496.32"/>
    <n v="240"/>
    <n v="18.734666666666666"/>
    <x v="1"/>
    <s v="Q3"/>
    <s v="Large"/>
  </r>
  <r>
    <x v="21"/>
    <x v="2"/>
    <x v="3"/>
    <x v="318"/>
    <n v="8220.25"/>
    <n v="125"/>
    <n v="65.762"/>
    <x v="6"/>
    <s v="Q1"/>
    <s v="Large"/>
  </r>
  <r>
    <x v="13"/>
    <x v="1"/>
    <x v="20"/>
    <x v="189"/>
    <n v="9588.0300000000007"/>
    <n v="562"/>
    <n v="17.060551601423487"/>
    <x v="7"/>
    <s v="Q2"/>
    <s v="Large"/>
  </r>
  <r>
    <x v="10"/>
    <x v="4"/>
    <x v="9"/>
    <x v="196"/>
    <n v="114.82"/>
    <n v="231"/>
    <n v="0.49705627705627703"/>
    <x v="5"/>
    <s v="Q2"/>
    <s v="Small"/>
  </r>
  <r>
    <x v="19"/>
    <x v="5"/>
    <x v="10"/>
    <x v="168"/>
    <n v="8804.98"/>
    <n v="214"/>
    <n v="41.144766355140185"/>
    <x v="0"/>
    <s v="Q1"/>
    <s v="Large"/>
  </r>
  <r>
    <x v="0"/>
    <x v="2"/>
    <x v="9"/>
    <x v="270"/>
    <n v="2900.61"/>
    <n v="68"/>
    <n v="42.656029411764706"/>
    <x v="0"/>
    <s v="Q1"/>
    <s v="Large"/>
  </r>
  <r>
    <x v="10"/>
    <x v="4"/>
    <x v="0"/>
    <x v="310"/>
    <n v="16773.080000000002"/>
    <n v="58"/>
    <n v="289.19103448275865"/>
    <x v="4"/>
    <s v="Q1"/>
    <s v="Large"/>
  </r>
  <r>
    <x v="14"/>
    <x v="3"/>
    <x v="12"/>
    <x v="221"/>
    <n v="4153.59"/>
    <n v="513"/>
    <n v="8.0966666666666676"/>
    <x v="0"/>
    <s v="Q1"/>
    <s v="Large"/>
  </r>
  <r>
    <x v="22"/>
    <x v="4"/>
    <x v="14"/>
    <x v="284"/>
    <n v="12571.07"/>
    <n v="226"/>
    <n v="55.624203539823007"/>
    <x v="7"/>
    <s v="Q2"/>
    <s v="Large"/>
  </r>
  <r>
    <x v="19"/>
    <x v="4"/>
    <x v="12"/>
    <x v="291"/>
    <n v="2553.46"/>
    <n v="5"/>
    <n v="510.69200000000001"/>
    <x v="7"/>
    <s v="Q2"/>
    <s v="Large"/>
  </r>
  <r>
    <x v="8"/>
    <x v="3"/>
    <x v="13"/>
    <x v="319"/>
    <n v="1888.94"/>
    <n v="159"/>
    <n v="11.880125786163523"/>
    <x v="3"/>
    <s v="Q2"/>
    <s v="Large"/>
  </r>
  <r>
    <x v="4"/>
    <x v="5"/>
    <x v="10"/>
    <x v="193"/>
    <n v="1310.04"/>
    <n v="71"/>
    <n v="18.451267605633802"/>
    <x v="2"/>
    <s v="Q3"/>
    <s v="Large"/>
  </r>
  <r>
    <x v="22"/>
    <x v="0"/>
    <x v="10"/>
    <x v="297"/>
    <n v="7805.9"/>
    <n v="179"/>
    <n v="43.608379888268153"/>
    <x v="2"/>
    <s v="Q3"/>
    <s v="Large"/>
  </r>
  <r>
    <x v="23"/>
    <x v="4"/>
    <x v="0"/>
    <x v="252"/>
    <n v="6101.12"/>
    <n v="261"/>
    <n v="23.375938697318006"/>
    <x v="4"/>
    <s v="Q1"/>
    <s v="Large"/>
  </r>
  <r>
    <x v="20"/>
    <x v="4"/>
    <x v="7"/>
    <x v="320"/>
    <n v="1425.81"/>
    <n v="133"/>
    <n v="10.720375939849623"/>
    <x v="4"/>
    <s v="Q1"/>
    <s v="Large"/>
  </r>
  <r>
    <x v="2"/>
    <x v="2"/>
    <x v="20"/>
    <x v="219"/>
    <n v="8724.4"/>
    <n v="147"/>
    <n v="59.349659863945575"/>
    <x v="2"/>
    <s v="Q3"/>
    <s v="Large"/>
  </r>
  <r>
    <x v="9"/>
    <x v="1"/>
    <x v="6"/>
    <x v="274"/>
    <n v="664.82"/>
    <n v="147"/>
    <n v="4.5225850340136056"/>
    <x v="7"/>
    <s v="Q2"/>
    <s v="Large"/>
  </r>
  <r>
    <x v="1"/>
    <x v="3"/>
    <x v="0"/>
    <x v="187"/>
    <n v="4351.3100000000004"/>
    <n v="103"/>
    <n v="42.245728155339812"/>
    <x v="5"/>
    <s v="Q2"/>
    <s v="Large"/>
  </r>
  <r>
    <x v="1"/>
    <x v="1"/>
    <x v="6"/>
    <x v="278"/>
    <n v="5825.09"/>
    <n v="123"/>
    <n v="47.358455284552846"/>
    <x v="7"/>
    <s v="Q2"/>
    <s v="Large"/>
  </r>
  <r>
    <x v="1"/>
    <x v="4"/>
    <x v="15"/>
    <x v="274"/>
    <n v="2418.9299999999998"/>
    <n v="110"/>
    <n v="21.990272727272725"/>
    <x v="7"/>
    <s v="Q2"/>
    <s v="Large"/>
  </r>
  <r>
    <x v="18"/>
    <x v="4"/>
    <x v="7"/>
    <x v="191"/>
    <n v="7725.52"/>
    <n v="38"/>
    <n v="203.30315789473684"/>
    <x v="4"/>
    <s v="Q1"/>
    <s v="Large"/>
  </r>
  <r>
    <x v="8"/>
    <x v="3"/>
    <x v="8"/>
    <x v="239"/>
    <n v="7144.08"/>
    <n v="32"/>
    <n v="223.2525"/>
    <x v="6"/>
    <s v="Q1"/>
    <s v="Large"/>
  </r>
  <r>
    <x v="2"/>
    <x v="4"/>
    <x v="5"/>
    <x v="270"/>
    <n v="2043.13"/>
    <n v="243"/>
    <n v="8.4079423868312766"/>
    <x v="0"/>
    <s v="Q1"/>
    <s v="Large"/>
  </r>
  <r>
    <x v="8"/>
    <x v="3"/>
    <x v="0"/>
    <x v="252"/>
    <n v="6526.01"/>
    <n v="147"/>
    <n v="44.394625850340141"/>
    <x v="4"/>
    <s v="Q1"/>
    <s v="Large"/>
  </r>
  <r>
    <x v="17"/>
    <x v="5"/>
    <x v="1"/>
    <x v="169"/>
    <n v="11334.77"/>
    <n v="89"/>
    <n v="127.35696629213484"/>
    <x v="1"/>
    <s v="Q3"/>
    <s v="Large"/>
  </r>
  <r>
    <x v="12"/>
    <x v="3"/>
    <x v="3"/>
    <x v="201"/>
    <n v="2492.67"/>
    <n v="58"/>
    <n v="42.97706896551724"/>
    <x v="7"/>
    <s v="Q2"/>
    <s v="Large"/>
  </r>
  <r>
    <x v="15"/>
    <x v="4"/>
    <x v="14"/>
    <x v="225"/>
    <n v="2066.48"/>
    <n v="59"/>
    <n v="35.025084745762712"/>
    <x v="2"/>
    <s v="Q3"/>
    <s v="Large"/>
  </r>
  <r>
    <x v="19"/>
    <x v="2"/>
    <x v="2"/>
    <x v="176"/>
    <n v="7009.01"/>
    <n v="150"/>
    <n v="46.726733333333335"/>
    <x v="3"/>
    <s v="Q2"/>
    <s v="Large"/>
  </r>
  <r>
    <x v="17"/>
    <x v="1"/>
    <x v="1"/>
    <x v="198"/>
    <n v="4562.97"/>
    <n v="21"/>
    <n v="217.28428571428572"/>
    <x v="5"/>
    <s v="Q2"/>
    <s v="Large"/>
  </r>
  <r>
    <x v="14"/>
    <x v="0"/>
    <x v="6"/>
    <x v="289"/>
    <n v="3442.99"/>
    <n v="142"/>
    <n v="24.246408450704223"/>
    <x v="6"/>
    <s v="Q1"/>
    <s v="Large"/>
  </r>
  <r>
    <x v="5"/>
    <x v="4"/>
    <x v="13"/>
    <x v="255"/>
    <n v="6669.6"/>
    <n v="99"/>
    <n v="67.369696969696975"/>
    <x v="6"/>
    <s v="Q1"/>
    <s v="Large"/>
  </r>
  <r>
    <x v="4"/>
    <x v="5"/>
    <x v="17"/>
    <x v="254"/>
    <n v="1902.47"/>
    <n v="217"/>
    <n v="8.7671428571428578"/>
    <x v="5"/>
    <s v="Q2"/>
    <s v="Large"/>
  </r>
  <r>
    <x v="2"/>
    <x v="0"/>
    <x v="9"/>
    <x v="198"/>
    <n v="6157.17"/>
    <n v="43"/>
    <n v="143.19"/>
    <x v="5"/>
    <s v="Q2"/>
    <s v="Large"/>
  </r>
  <r>
    <x v="20"/>
    <x v="1"/>
    <x v="0"/>
    <x v="180"/>
    <n v="3012.68"/>
    <n v="129"/>
    <n v="23.354108527131782"/>
    <x v="2"/>
    <s v="Q3"/>
    <s v="Large"/>
  </r>
  <r>
    <x v="10"/>
    <x v="5"/>
    <x v="2"/>
    <x v="321"/>
    <n v="3473.62"/>
    <n v="170"/>
    <n v="20.433058823529411"/>
    <x v="1"/>
    <s v="Q3"/>
    <s v="Large"/>
  </r>
  <r>
    <x v="8"/>
    <x v="0"/>
    <x v="0"/>
    <x v="170"/>
    <n v="4129.9799999999996"/>
    <n v="332"/>
    <n v="12.439698795180721"/>
    <x v="2"/>
    <s v="Q3"/>
    <s v="Large"/>
  </r>
  <r>
    <x v="8"/>
    <x v="4"/>
    <x v="1"/>
    <x v="242"/>
    <n v="14566.22"/>
    <n v="45"/>
    <n v="323.69377777777777"/>
    <x v="1"/>
    <s v="Q3"/>
    <s v="Large"/>
  </r>
  <r>
    <x v="15"/>
    <x v="5"/>
    <x v="8"/>
    <x v="322"/>
    <n v="4049.61"/>
    <n v="255"/>
    <n v="15.880823529411765"/>
    <x v="0"/>
    <s v="Q1"/>
    <s v="Large"/>
  </r>
  <r>
    <x v="3"/>
    <x v="2"/>
    <x v="21"/>
    <x v="240"/>
    <n v="5924.44"/>
    <n v="396"/>
    <n v="14.96070707070707"/>
    <x v="6"/>
    <s v="Q1"/>
    <s v="Large"/>
  </r>
  <r>
    <x v="11"/>
    <x v="3"/>
    <x v="13"/>
    <x v="242"/>
    <n v="10100.950000000001"/>
    <n v="4"/>
    <n v="2525.2375000000002"/>
    <x v="1"/>
    <s v="Q3"/>
    <s v="Large"/>
  </r>
  <r>
    <x v="24"/>
    <x v="0"/>
    <x v="2"/>
    <x v="203"/>
    <n v="2362.0100000000002"/>
    <n v="272"/>
    <n v="8.6838602941176486"/>
    <x v="3"/>
    <s v="Q2"/>
    <s v="Large"/>
  </r>
  <r>
    <x v="16"/>
    <x v="4"/>
    <x v="10"/>
    <x v="222"/>
    <n v="2638.76"/>
    <n v="24"/>
    <n v="109.94833333333334"/>
    <x v="6"/>
    <s v="Q1"/>
    <s v="Large"/>
  </r>
  <r>
    <x v="21"/>
    <x v="4"/>
    <x v="17"/>
    <x v="266"/>
    <n v="3496.41"/>
    <n v="18"/>
    <n v="194.245"/>
    <x v="7"/>
    <s v="Q2"/>
    <s v="Large"/>
  </r>
  <r>
    <x v="6"/>
    <x v="3"/>
    <x v="15"/>
    <x v="275"/>
    <n v="17222.86"/>
    <n v="44"/>
    <n v="391.42863636363637"/>
    <x v="5"/>
    <s v="Q2"/>
    <s v="Large"/>
  </r>
  <r>
    <x v="0"/>
    <x v="3"/>
    <x v="5"/>
    <x v="217"/>
    <n v="1604.87"/>
    <n v="71"/>
    <n v="22.603802816901407"/>
    <x v="3"/>
    <s v="Q2"/>
    <s v="Large"/>
  </r>
  <r>
    <x v="0"/>
    <x v="4"/>
    <x v="3"/>
    <x v="170"/>
    <n v="7170.21"/>
    <n v="151"/>
    <n v="47.484834437086093"/>
    <x v="2"/>
    <s v="Q3"/>
    <s v="Large"/>
  </r>
  <r>
    <x v="22"/>
    <x v="1"/>
    <x v="0"/>
    <x v="200"/>
    <n v="4090.16"/>
    <n v="75"/>
    <n v="54.535466666666665"/>
    <x v="1"/>
    <s v="Q3"/>
    <s v="Large"/>
  </r>
  <r>
    <x v="0"/>
    <x v="1"/>
    <x v="8"/>
    <x v="172"/>
    <n v="9574.3799999999992"/>
    <n v="134"/>
    <n v="71.450597014925364"/>
    <x v="4"/>
    <s v="Q1"/>
    <s v="Large"/>
  </r>
  <r>
    <x v="10"/>
    <x v="5"/>
    <x v="17"/>
    <x v="290"/>
    <n v="717.9"/>
    <n v="213"/>
    <n v="3.3704225352112673"/>
    <x v="7"/>
    <s v="Q2"/>
    <s v="Large"/>
  </r>
  <r>
    <x v="16"/>
    <x v="2"/>
    <x v="21"/>
    <x v="311"/>
    <n v="7734.54"/>
    <n v="227"/>
    <n v="34.072863436123349"/>
    <x v="4"/>
    <s v="Q1"/>
    <s v="Large"/>
  </r>
  <r>
    <x v="13"/>
    <x v="0"/>
    <x v="21"/>
    <x v="175"/>
    <n v="1606.49"/>
    <n v="305"/>
    <n v="5.2671803278688527"/>
    <x v="6"/>
    <s v="Q1"/>
    <s v="Large"/>
  </r>
  <r>
    <x v="7"/>
    <x v="4"/>
    <x v="9"/>
    <x v="223"/>
    <n v="9170.09"/>
    <n v="79"/>
    <n v="116.07708860759494"/>
    <x v="5"/>
    <s v="Q2"/>
    <s v="Large"/>
  </r>
  <r>
    <x v="9"/>
    <x v="5"/>
    <x v="15"/>
    <x v="234"/>
    <n v="1583.57"/>
    <n v="122"/>
    <n v="12.980081967213113"/>
    <x v="6"/>
    <s v="Q1"/>
    <s v="Large"/>
  </r>
  <r>
    <x v="16"/>
    <x v="2"/>
    <x v="13"/>
    <x v="223"/>
    <n v="7684.52"/>
    <n v="83"/>
    <n v="92.584578313253019"/>
    <x v="5"/>
    <s v="Q2"/>
    <s v="Large"/>
  </r>
  <r>
    <x v="4"/>
    <x v="3"/>
    <x v="10"/>
    <x v="188"/>
    <n v="16765.07"/>
    <n v="261"/>
    <n v="64.233984674329506"/>
    <x v="4"/>
    <s v="Q1"/>
    <s v="Large"/>
  </r>
  <r>
    <x v="22"/>
    <x v="0"/>
    <x v="4"/>
    <x v="182"/>
    <n v="11796.63"/>
    <n v="45"/>
    <n v="262.14733333333334"/>
    <x v="0"/>
    <s v="Q1"/>
    <s v="Large"/>
  </r>
  <r>
    <x v="22"/>
    <x v="2"/>
    <x v="0"/>
    <x v="306"/>
    <n v="2766.65"/>
    <n v="148"/>
    <n v="18.693581081081081"/>
    <x v="7"/>
    <s v="Q2"/>
    <s v="Large"/>
  </r>
  <r>
    <x v="14"/>
    <x v="5"/>
    <x v="4"/>
    <x v="170"/>
    <n v="13232.74"/>
    <n v="7"/>
    <n v="1890.3914285714286"/>
    <x v="2"/>
    <s v="Q3"/>
    <s v="Large"/>
  </r>
  <r>
    <x v="7"/>
    <x v="2"/>
    <x v="19"/>
    <x v="206"/>
    <n v="2820.41"/>
    <n v="50"/>
    <n v="56.408199999999994"/>
    <x v="1"/>
    <s v="Q3"/>
    <s v="Large"/>
  </r>
  <r>
    <x v="10"/>
    <x v="2"/>
    <x v="5"/>
    <x v="323"/>
    <n v="2483.3200000000002"/>
    <n v="65"/>
    <n v="38.20492307692308"/>
    <x v="1"/>
    <s v="Q3"/>
    <s v="Large"/>
  </r>
  <r>
    <x v="11"/>
    <x v="0"/>
    <x v="4"/>
    <x v="178"/>
    <n v="9124.16"/>
    <n v="209"/>
    <n v="43.656267942583732"/>
    <x v="0"/>
    <s v="Q1"/>
    <s v="Large"/>
  </r>
  <r>
    <x v="5"/>
    <x v="2"/>
    <x v="6"/>
    <x v="220"/>
    <n v="12728.16"/>
    <n v="111"/>
    <n v="114.6681081081081"/>
    <x v="6"/>
    <s v="Q1"/>
    <s v="Large"/>
  </r>
  <r>
    <x v="11"/>
    <x v="2"/>
    <x v="18"/>
    <x v="277"/>
    <n v="12624.64"/>
    <n v="41"/>
    <n v="307.91804878048777"/>
    <x v="2"/>
    <s v="Q3"/>
    <s v="Large"/>
  </r>
  <r>
    <x v="20"/>
    <x v="3"/>
    <x v="9"/>
    <x v="179"/>
    <n v="17584.16"/>
    <n v="110"/>
    <n v="159.85599999999999"/>
    <x v="6"/>
    <s v="Q1"/>
    <s v="Large"/>
  </r>
  <r>
    <x v="12"/>
    <x v="4"/>
    <x v="1"/>
    <x v="230"/>
    <n v="13156.49"/>
    <n v="360"/>
    <n v="36.545805555555553"/>
    <x v="1"/>
    <s v="Q3"/>
    <s v="Large"/>
  </r>
  <r>
    <x v="13"/>
    <x v="4"/>
    <x v="8"/>
    <x v="259"/>
    <n v="4164.1000000000004"/>
    <n v="167"/>
    <n v="24.934730538922157"/>
    <x v="3"/>
    <s v="Q2"/>
    <s v="Large"/>
  </r>
  <r>
    <x v="17"/>
    <x v="0"/>
    <x v="11"/>
    <x v="234"/>
    <n v="11698.98"/>
    <n v="436"/>
    <n v="26.832522935779817"/>
    <x v="6"/>
    <s v="Q1"/>
    <s v="Large"/>
  </r>
  <r>
    <x v="18"/>
    <x v="0"/>
    <x v="10"/>
    <x v="265"/>
    <n v="4964.25"/>
    <n v="56"/>
    <n v="88.647321428571431"/>
    <x v="2"/>
    <s v="Q3"/>
    <s v="Large"/>
  </r>
  <r>
    <x v="22"/>
    <x v="4"/>
    <x v="7"/>
    <x v="213"/>
    <n v="8258.3700000000008"/>
    <n v="132"/>
    <n v="62.563409090909097"/>
    <x v="7"/>
    <s v="Q2"/>
    <s v="Large"/>
  </r>
  <r>
    <x v="5"/>
    <x v="1"/>
    <x v="3"/>
    <x v="220"/>
    <n v="3938.2"/>
    <n v="70"/>
    <n v="56.26"/>
    <x v="6"/>
    <s v="Q1"/>
    <s v="Large"/>
  </r>
  <r>
    <x v="11"/>
    <x v="3"/>
    <x v="1"/>
    <x v="189"/>
    <n v="1368.27"/>
    <n v="163"/>
    <n v="8.3942944785276072"/>
    <x v="7"/>
    <s v="Q2"/>
    <s v="Large"/>
  </r>
  <r>
    <x v="11"/>
    <x v="0"/>
    <x v="15"/>
    <x v="207"/>
    <n v="12449.46"/>
    <n v="177"/>
    <n v="70.335932203389831"/>
    <x v="5"/>
    <s v="Q2"/>
    <s v="Large"/>
  </r>
  <r>
    <x v="6"/>
    <x v="4"/>
    <x v="4"/>
    <x v="258"/>
    <n v="7323.82"/>
    <n v="339"/>
    <n v="21.604188790560471"/>
    <x v="2"/>
    <s v="Q3"/>
    <s v="Large"/>
  </r>
  <r>
    <x v="12"/>
    <x v="3"/>
    <x v="0"/>
    <x v="301"/>
    <n v="4560.8100000000004"/>
    <n v="102"/>
    <n v="44.713823529411769"/>
    <x v="5"/>
    <s v="Q2"/>
    <s v="Large"/>
  </r>
  <r>
    <x v="17"/>
    <x v="4"/>
    <x v="11"/>
    <x v="233"/>
    <n v="777.46"/>
    <n v="58"/>
    <n v="13.40448275862069"/>
    <x v="7"/>
    <s v="Q2"/>
    <s v="Large"/>
  </r>
  <r>
    <x v="5"/>
    <x v="4"/>
    <x v="9"/>
    <x v="290"/>
    <n v="3857.27"/>
    <n v="5"/>
    <n v="771.45399999999995"/>
    <x v="7"/>
    <s v="Q2"/>
    <s v="Large"/>
  </r>
  <r>
    <x v="6"/>
    <x v="5"/>
    <x v="15"/>
    <x v="313"/>
    <n v="7442.69"/>
    <n v="179"/>
    <n v="41.579273743016756"/>
    <x v="1"/>
    <s v="Q3"/>
    <s v="Large"/>
  </r>
  <r>
    <x v="1"/>
    <x v="1"/>
    <x v="18"/>
    <x v="268"/>
    <n v="5799.3"/>
    <n v="125"/>
    <n v="46.394400000000005"/>
    <x v="3"/>
    <s v="Q2"/>
    <s v="Large"/>
  </r>
  <r>
    <x v="19"/>
    <x v="4"/>
    <x v="20"/>
    <x v="306"/>
    <n v="8836.9"/>
    <n v="48"/>
    <n v="184.10208333333333"/>
    <x v="7"/>
    <s v="Q2"/>
    <s v="Large"/>
  </r>
  <r>
    <x v="23"/>
    <x v="4"/>
    <x v="4"/>
    <x v="313"/>
    <n v="4185"/>
    <n v="315"/>
    <n v="13.285714285714286"/>
    <x v="1"/>
    <s v="Q3"/>
    <s v="Large"/>
  </r>
  <r>
    <x v="21"/>
    <x v="2"/>
    <x v="17"/>
    <x v="230"/>
    <n v="6984.06"/>
    <n v="174"/>
    <n v="40.138275862068966"/>
    <x v="1"/>
    <s v="Q3"/>
    <s v="Large"/>
  </r>
  <r>
    <x v="5"/>
    <x v="1"/>
    <x v="12"/>
    <x v="278"/>
    <n v="7362.7"/>
    <n v="179"/>
    <n v="41.132402234636871"/>
    <x v="7"/>
    <s v="Q2"/>
    <s v="Large"/>
  </r>
  <r>
    <x v="10"/>
    <x v="4"/>
    <x v="15"/>
    <x v="299"/>
    <n v="10338.27"/>
    <n v="73"/>
    <n v="141.62013698630139"/>
    <x v="4"/>
    <s v="Q1"/>
    <s v="Large"/>
  </r>
  <r>
    <x v="21"/>
    <x v="4"/>
    <x v="6"/>
    <x v="298"/>
    <n v="6215.72"/>
    <n v="324"/>
    <n v="19.184320987654321"/>
    <x v="5"/>
    <s v="Q2"/>
    <s v="Large"/>
  </r>
  <r>
    <x v="22"/>
    <x v="0"/>
    <x v="18"/>
    <x v="195"/>
    <n v="10400.66"/>
    <n v="144"/>
    <n v="72.226805555555558"/>
    <x v="7"/>
    <s v="Q2"/>
    <s v="Large"/>
  </r>
  <r>
    <x v="3"/>
    <x v="5"/>
    <x v="0"/>
    <x v="237"/>
    <n v="1062.6099999999999"/>
    <n v="217"/>
    <n v="4.8968202764976958"/>
    <x v="3"/>
    <s v="Q2"/>
    <s v="Large"/>
  </r>
  <r>
    <x v="21"/>
    <x v="5"/>
    <x v="21"/>
    <x v="277"/>
    <n v="10095.709999999999"/>
    <n v="151"/>
    <n v="66.859006622516546"/>
    <x v="2"/>
    <s v="Q3"/>
    <s v="Large"/>
  </r>
  <r>
    <x v="24"/>
    <x v="1"/>
    <x v="2"/>
    <x v="227"/>
    <n v="23251.68"/>
    <n v="210"/>
    <n v="110.72228571428572"/>
    <x v="0"/>
    <s v="Q1"/>
    <s v="Large"/>
  </r>
  <r>
    <x v="3"/>
    <x v="1"/>
    <x v="18"/>
    <x v="321"/>
    <n v="2669.61"/>
    <n v="143"/>
    <n v="18.6686013986014"/>
    <x v="1"/>
    <s v="Q3"/>
    <s v="Large"/>
  </r>
  <r>
    <x v="2"/>
    <x v="5"/>
    <x v="16"/>
    <x v="299"/>
    <n v="10265.969999999999"/>
    <n v="49"/>
    <n v="209.50959183673467"/>
    <x v="4"/>
    <s v="Q1"/>
    <s v="Large"/>
  </r>
  <r>
    <x v="7"/>
    <x v="1"/>
    <x v="5"/>
    <x v="220"/>
    <n v="5423.54"/>
    <n v="203"/>
    <n v="26.716945812807882"/>
    <x v="6"/>
    <s v="Q1"/>
    <s v="Large"/>
  </r>
  <r>
    <x v="20"/>
    <x v="2"/>
    <x v="4"/>
    <x v="198"/>
    <n v="3272.68"/>
    <n v="32"/>
    <n v="102.27124999999999"/>
    <x v="5"/>
    <s v="Q2"/>
    <s v="Large"/>
  </r>
  <r>
    <x v="23"/>
    <x v="2"/>
    <x v="12"/>
    <x v="322"/>
    <n v="8840.59"/>
    <n v="92"/>
    <n v="96.093369565217387"/>
    <x v="0"/>
    <s v="Q1"/>
    <s v="Large"/>
  </r>
  <r>
    <x v="6"/>
    <x v="4"/>
    <x v="11"/>
    <x v="170"/>
    <n v="14460.51"/>
    <n v="124"/>
    <n v="116.61701612903227"/>
    <x v="2"/>
    <s v="Q3"/>
    <s v="Large"/>
  </r>
  <r>
    <x v="9"/>
    <x v="3"/>
    <x v="0"/>
    <x v="228"/>
    <n v="1461.99"/>
    <n v="109"/>
    <n v="13.412752293577983"/>
    <x v="0"/>
    <s v="Q1"/>
    <s v="Large"/>
  </r>
  <r>
    <x v="12"/>
    <x v="0"/>
    <x v="4"/>
    <x v="218"/>
    <n v="3701.6"/>
    <n v="131"/>
    <n v="28.256488549618322"/>
    <x v="1"/>
    <s v="Q3"/>
    <s v="Large"/>
  </r>
  <r>
    <x v="12"/>
    <x v="4"/>
    <x v="2"/>
    <x v="229"/>
    <n v="13951.32"/>
    <n v="329"/>
    <n v="42.405227963525832"/>
    <x v="1"/>
    <s v="Q3"/>
    <s v="Large"/>
  </r>
  <r>
    <x v="6"/>
    <x v="3"/>
    <x v="14"/>
    <x v="194"/>
    <n v="5774.92"/>
    <n v="325"/>
    <n v="17.768984615384614"/>
    <x v="5"/>
    <s v="Q2"/>
    <s v="Large"/>
  </r>
  <r>
    <x v="11"/>
    <x v="4"/>
    <x v="19"/>
    <x v="182"/>
    <n v="9718.8700000000008"/>
    <n v="10"/>
    <n v="971.88700000000006"/>
    <x v="0"/>
    <s v="Q1"/>
    <s v="Large"/>
  </r>
  <r>
    <x v="20"/>
    <x v="4"/>
    <x v="12"/>
    <x v="262"/>
    <n v="87.52"/>
    <n v="69"/>
    <n v="1.2684057971014493"/>
    <x v="3"/>
    <s v="Q2"/>
    <s v="Small"/>
  </r>
  <r>
    <x v="9"/>
    <x v="5"/>
    <x v="14"/>
    <x v="318"/>
    <n v="3398.51"/>
    <n v="74"/>
    <n v="45.925810810810816"/>
    <x v="6"/>
    <s v="Q1"/>
    <s v="Large"/>
  </r>
  <r>
    <x v="16"/>
    <x v="2"/>
    <x v="16"/>
    <x v="273"/>
    <n v="4371.7700000000004"/>
    <n v="375"/>
    <n v="11.658053333333335"/>
    <x v="4"/>
    <s v="Q1"/>
    <s v="Large"/>
  </r>
  <r>
    <x v="4"/>
    <x v="4"/>
    <x v="3"/>
    <x v="240"/>
    <n v="3632.32"/>
    <n v="169"/>
    <n v="21.49301775147929"/>
    <x v="6"/>
    <s v="Q1"/>
    <s v="Large"/>
  </r>
  <r>
    <x v="17"/>
    <x v="1"/>
    <x v="3"/>
    <x v="170"/>
    <n v="3343.85"/>
    <n v="10"/>
    <n v="334.38499999999999"/>
    <x v="2"/>
    <s v="Q3"/>
    <s v="Large"/>
  </r>
  <r>
    <x v="21"/>
    <x v="3"/>
    <x v="20"/>
    <x v="324"/>
    <n v="4400.28"/>
    <n v="364"/>
    <n v="12.088681318681317"/>
    <x v="5"/>
    <s v="Q2"/>
    <s v="Large"/>
  </r>
  <r>
    <x v="3"/>
    <x v="5"/>
    <x v="20"/>
    <x v="241"/>
    <n v="10802.13"/>
    <n v="124"/>
    <n v="87.113951612903222"/>
    <x v="1"/>
    <s v="Q3"/>
    <s v="Large"/>
  </r>
  <r>
    <x v="4"/>
    <x v="4"/>
    <x v="19"/>
    <x v="321"/>
    <n v="9154.17"/>
    <n v="123"/>
    <n v="74.424146341463413"/>
    <x v="1"/>
    <s v="Q3"/>
    <s v="Large"/>
  </r>
  <r>
    <x v="22"/>
    <x v="3"/>
    <x v="2"/>
    <x v="250"/>
    <n v="5360.89"/>
    <n v="340"/>
    <n v="15.767323529411765"/>
    <x v="0"/>
    <s v="Q1"/>
    <s v="Large"/>
  </r>
  <r>
    <x v="20"/>
    <x v="2"/>
    <x v="7"/>
    <x v="262"/>
    <n v="11597.46"/>
    <n v="462"/>
    <n v="25.102727272727272"/>
    <x v="3"/>
    <s v="Q2"/>
    <s v="Large"/>
  </r>
  <r>
    <x v="11"/>
    <x v="2"/>
    <x v="15"/>
    <x v="184"/>
    <n v="14939.24"/>
    <n v="238"/>
    <n v="62.769915966386556"/>
    <x v="3"/>
    <s v="Q2"/>
    <s v="Large"/>
  </r>
  <r>
    <x v="16"/>
    <x v="5"/>
    <x v="15"/>
    <x v="261"/>
    <n v="10845.85"/>
    <n v="146"/>
    <n v="74.286643835616445"/>
    <x v="0"/>
    <s v="Q1"/>
    <s v="Large"/>
  </r>
  <r>
    <x v="0"/>
    <x v="0"/>
    <x v="19"/>
    <x v="213"/>
    <n v="2832.78"/>
    <n v="104"/>
    <n v="27.238269230769234"/>
    <x v="7"/>
    <s v="Q2"/>
    <s v="Large"/>
  </r>
  <r>
    <x v="20"/>
    <x v="2"/>
    <x v="14"/>
    <x v="200"/>
    <n v="8879.7199999999993"/>
    <n v="177"/>
    <n v="50.167909604519771"/>
    <x v="1"/>
    <s v="Q3"/>
    <s v="Large"/>
  </r>
  <r>
    <x v="14"/>
    <x v="1"/>
    <x v="1"/>
    <x v="261"/>
    <n v="298.33999999999997"/>
    <n v="399"/>
    <n v="0.74771929824561401"/>
    <x v="0"/>
    <s v="Q1"/>
    <s v="Small"/>
  </r>
  <r>
    <x v="16"/>
    <x v="4"/>
    <x v="8"/>
    <x v="206"/>
    <n v="7799.51"/>
    <n v="10"/>
    <n v="779.95100000000002"/>
    <x v="1"/>
    <s v="Q3"/>
    <s v="Large"/>
  </r>
  <r>
    <x v="5"/>
    <x v="0"/>
    <x v="4"/>
    <x v="234"/>
    <n v="8.0399999999999991"/>
    <n v="85"/>
    <n v="9.458823529411764E-2"/>
    <x v="6"/>
    <s v="Q1"/>
    <s v="Small"/>
  </r>
  <r>
    <x v="12"/>
    <x v="0"/>
    <x v="18"/>
    <x v="240"/>
    <n v="3212.35"/>
    <n v="66"/>
    <n v="48.671969696969697"/>
    <x v="6"/>
    <s v="Q1"/>
    <s v="Large"/>
  </r>
  <r>
    <x v="23"/>
    <x v="5"/>
    <x v="15"/>
    <x v="287"/>
    <n v="12048.56"/>
    <n v="113"/>
    <n v="106.62442477876105"/>
    <x v="3"/>
    <s v="Q2"/>
    <s v="Large"/>
  </r>
  <r>
    <x v="16"/>
    <x v="2"/>
    <x v="11"/>
    <x v="301"/>
    <n v="4499.6400000000003"/>
    <n v="91"/>
    <n v="49.446593406593408"/>
    <x v="5"/>
    <s v="Q2"/>
    <s v="Large"/>
  </r>
  <r>
    <x v="3"/>
    <x v="5"/>
    <x v="13"/>
    <x v="258"/>
    <n v="9984.16"/>
    <n v="207"/>
    <n v="48.232657004830919"/>
    <x v="2"/>
    <s v="Q3"/>
    <s v="Large"/>
  </r>
  <r>
    <x v="3"/>
    <x v="1"/>
    <x v="3"/>
    <x v="181"/>
    <n v="11867.83"/>
    <n v="95"/>
    <n v="124.92452631578948"/>
    <x v="1"/>
    <s v="Q3"/>
    <s v="Large"/>
  </r>
  <r>
    <x v="7"/>
    <x v="2"/>
    <x v="15"/>
    <x v="181"/>
    <n v="4806.6499999999996"/>
    <n v="132"/>
    <n v="36.414015151515152"/>
    <x v="1"/>
    <s v="Q3"/>
    <s v="Large"/>
  </r>
  <r>
    <x v="0"/>
    <x v="0"/>
    <x v="11"/>
    <x v="312"/>
    <n v="13420.93"/>
    <n v="232"/>
    <n v="57.84883620689655"/>
    <x v="7"/>
    <s v="Q2"/>
    <s v="Large"/>
  </r>
  <r>
    <x v="15"/>
    <x v="5"/>
    <x v="5"/>
    <x v="246"/>
    <n v="10407.51"/>
    <n v="301"/>
    <n v="34.576445182724257"/>
    <x v="0"/>
    <s v="Q1"/>
    <s v="Large"/>
  </r>
  <r>
    <x v="13"/>
    <x v="4"/>
    <x v="6"/>
    <x v="226"/>
    <n v="10849.39"/>
    <n v="330"/>
    <n v="32.876939393939395"/>
    <x v="4"/>
    <s v="Q1"/>
    <s v="Large"/>
  </r>
  <r>
    <x v="1"/>
    <x v="1"/>
    <x v="16"/>
    <x v="275"/>
    <n v="7247.29"/>
    <n v="402"/>
    <n v="18.028084577114427"/>
    <x v="5"/>
    <s v="Q2"/>
    <s v="Large"/>
  </r>
  <r>
    <x v="20"/>
    <x v="4"/>
    <x v="6"/>
    <x v="253"/>
    <n v="6387.65"/>
    <n v="227"/>
    <n v="28.139427312775329"/>
    <x v="6"/>
    <s v="Q1"/>
    <s v="Large"/>
  </r>
  <r>
    <x v="22"/>
    <x v="5"/>
    <x v="1"/>
    <x v="188"/>
    <n v="8373.42"/>
    <n v="108"/>
    <n v="77.531666666666666"/>
    <x v="4"/>
    <s v="Q1"/>
    <s v="Large"/>
  </r>
  <r>
    <x v="17"/>
    <x v="5"/>
    <x v="3"/>
    <x v="271"/>
    <n v="1887.19"/>
    <n v="488"/>
    <n v="3.86719262295082"/>
    <x v="6"/>
    <s v="Q1"/>
    <s v="Large"/>
  </r>
  <r>
    <x v="9"/>
    <x v="2"/>
    <x v="12"/>
    <x v="196"/>
    <n v="6054.04"/>
    <n v="287"/>
    <n v="21.094216027874566"/>
    <x v="5"/>
    <s v="Q2"/>
    <s v="Large"/>
  </r>
  <r>
    <x v="24"/>
    <x v="5"/>
    <x v="18"/>
    <x v="200"/>
    <n v="16254.61"/>
    <n v="268"/>
    <n v="60.651529850746272"/>
    <x v="1"/>
    <s v="Q3"/>
    <s v="Large"/>
  </r>
  <r>
    <x v="2"/>
    <x v="5"/>
    <x v="12"/>
    <x v="177"/>
    <n v="13173.56"/>
    <n v="301"/>
    <n v="43.765980066445181"/>
    <x v="2"/>
    <s v="Q3"/>
    <s v="Large"/>
  </r>
  <r>
    <x v="13"/>
    <x v="3"/>
    <x v="16"/>
    <x v="239"/>
    <n v="2721.46"/>
    <n v="72"/>
    <n v="37.798055555555557"/>
    <x v="6"/>
    <s v="Q1"/>
    <s v="Large"/>
  </r>
  <r>
    <x v="14"/>
    <x v="1"/>
    <x v="3"/>
    <x v="209"/>
    <n v="19283.64"/>
    <n v="139"/>
    <n v="138.73122302158274"/>
    <x v="3"/>
    <s v="Q2"/>
    <s v="Large"/>
  </r>
  <r>
    <x v="24"/>
    <x v="3"/>
    <x v="0"/>
    <x v="261"/>
    <n v="9327.52"/>
    <n v="232"/>
    <n v="40.204827586206896"/>
    <x v="0"/>
    <s v="Q1"/>
    <s v="Large"/>
  </r>
  <r>
    <x v="1"/>
    <x v="3"/>
    <x v="13"/>
    <x v="322"/>
    <n v="3184.03"/>
    <n v="85"/>
    <n v="37.45917647058824"/>
    <x v="0"/>
    <s v="Q1"/>
    <s v="Large"/>
  </r>
  <r>
    <x v="19"/>
    <x v="3"/>
    <x v="0"/>
    <x v="310"/>
    <n v="9738.74"/>
    <n v="209"/>
    <n v="46.596842105263157"/>
    <x v="4"/>
    <s v="Q1"/>
    <s v="Large"/>
  </r>
  <r>
    <x v="19"/>
    <x v="0"/>
    <x v="11"/>
    <x v="226"/>
    <n v="16486.650000000001"/>
    <n v="314"/>
    <n v="52.505254777070071"/>
    <x v="4"/>
    <s v="Q1"/>
    <s v="Large"/>
  </r>
  <r>
    <x v="21"/>
    <x v="4"/>
    <x v="15"/>
    <x v="307"/>
    <n v="16792.23"/>
    <n v="184"/>
    <n v="91.26211956521739"/>
    <x v="6"/>
    <s v="Q1"/>
    <s v="Large"/>
  </r>
  <r>
    <x v="5"/>
    <x v="3"/>
    <x v="16"/>
    <x v="247"/>
    <n v="5752.62"/>
    <n v="125"/>
    <n v="46.020960000000002"/>
    <x v="0"/>
    <s v="Q1"/>
    <s v="Large"/>
  </r>
  <r>
    <x v="6"/>
    <x v="1"/>
    <x v="17"/>
    <x v="189"/>
    <n v="6833.28"/>
    <n v="157"/>
    <n v="43.524076433121017"/>
    <x v="7"/>
    <s v="Q2"/>
    <s v="Large"/>
  </r>
  <r>
    <x v="0"/>
    <x v="4"/>
    <x v="4"/>
    <x v="168"/>
    <n v="2815.72"/>
    <n v="222"/>
    <n v="12.683423423423422"/>
    <x v="0"/>
    <s v="Q1"/>
    <s v="Large"/>
  </r>
  <r>
    <x v="12"/>
    <x v="2"/>
    <x v="13"/>
    <x v="287"/>
    <n v="1545.36"/>
    <n v="269"/>
    <n v="5.7448327137546462"/>
    <x v="3"/>
    <s v="Q2"/>
    <s v="Large"/>
  </r>
  <r>
    <x v="2"/>
    <x v="5"/>
    <x v="11"/>
    <x v="325"/>
    <n v="3432.73"/>
    <n v="120"/>
    <n v="28.606083333333334"/>
    <x v="4"/>
    <s v="Q1"/>
    <s v="Large"/>
  </r>
  <r>
    <x v="23"/>
    <x v="1"/>
    <x v="12"/>
    <x v="321"/>
    <n v="1001.99"/>
    <n v="217"/>
    <n v="4.6174654377880184"/>
    <x v="1"/>
    <s v="Q3"/>
    <s v="Large"/>
  </r>
  <r>
    <x v="5"/>
    <x v="4"/>
    <x v="10"/>
    <x v="218"/>
    <n v="2494.19"/>
    <n v="315"/>
    <n v="7.9180634920634922"/>
    <x v="1"/>
    <s v="Q3"/>
    <s v="Large"/>
  </r>
  <r>
    <x v="20"/>
    <x v="2"/>
    <x v="17"/>
    <x v="244"/>
    <n v="770.25"/>
    <n v="61"/>
    <n v="12.627049180327869"/>
    <x v="5"/>
    <s v="Q2"/>
    <s v="Large"/>
  </r>
  <r>
    <x v="0"/>
    <x v="1"/>
    <x v="19"/>
    <x v="173"/>
    <n v="2261.98"/>
    <n v="73"/>
    <n v="30.986027397260273"/>
    <x v="5"/>
    <s v="Q2"/>
    <s v="Large"/>
  </r>
  <r>
    <x v="10"/>
    <x v="3"/>
    <x v="19"/>
    <x v="184"/>
    <n v="5667.58"/>
    <n v="204"/>
    <n v="27.782254901960783"/>
    <x v="3"/>
    <s v="Q2"/>
    <s v="Large"/>
  </r>
  <r>
    <x v="18"/>
    <x v="4"/>
    <x v="6"/>
    <x v="326"/>
    <n v="4738.71"/>
    <n v="125"/>
    <n v="37.909680000000002"/>
    <x v="3"/>
    <s v="Q2"/>
    <s v="Large"/>
  </r>
  <r>
    <x v="19"/>
    <x v="1"/>
    <x v="6"/>
    <x v="228"/>
    <n v="13661.89"/>
    <n v="15"/>
    <n v="910.79266666666661"/>
    <x v="0"/>
    <s v="Q1"/>
    <s v="Large"/>
  </r>
  <r>
    <x v="22"/>
    <x v="4"/>
    <x v="19"/>
    <x v="206"/>
    <n v="6067.19"/>
    <n v="151"/>
    <n v="40.180066225165561"/>
    <x v="1"/>
    <s v="Q3"/>
    <s v="Large"/>
  </r>
  <r>
    <x v="0"/>
    <x v="2"/>
    <x v="4"/>
    <x v="243"/>
    <n v="11720.99"/>
    <n v="204"/>
    <n v="57.455833333333331"/>
    <x v="4"/>
    <s v="Q1"/>
    <s v="Large"/>
  </r>
  <r>
    <x v="3"/>
    <x v="2"/>
    <x v="0"/>
    <x v="273"/>
    <n v="19999.55"/>
    <n v="106"/>
    <n v="188.67499999999998"/>
    <x v="4"/>
    <s v="Q1"/>
    <s v="Large"/>
  </r>
  <r>
    <x v="4"/>
    <x v="3"/>
    <x v="11"/>
    <x v="257"/>
    <n v="4484.03"/>
    <n v="201"/>
    <n v="22.308606965174128"/>
    <x v="0"/>
    <s v="Q1"/>
    <s v="Large"/>
  </r>
  <r>
    <x v="6"/>
    <x v="0"/>
    <x v="16"/>
    <x v="231"/>
    <n v="107.24"/>
    <n v="129"/>
    <n v="0.83131782945736432"/>
    <x v="7"/>
    <s v="Q2"/>
    <s v="Small"/>
  </r>
  <r>
    <x v="20"/>
    <x v="1"/>
    <x v="3"/>
    <x v="299"/>
    <n v="2525.98"/>
    <n v="8"/>
    <n v="315.7475"/>
    <x v="4"/>
    <s v="Q1"/>
    <s v="Large"/>
  </r>
  <r>
    <x v="7"/>
    <x v="0"/>
    <x v="8"/>
    <x v="171"/>
    <n v="1577.84"/>
    <n v="67"/>
    <n v="23.549850746268657"/>
    <x v="3"/>
    <s v="Q2"/>
    <s v="Large"/>
  </r>
  <r>
    <x v="2"/>
    <x v="4"/>
    <x v="3"/>
    <x v="199"/>
    <n v="2972.07"/>
    <n v="129"/>
    <n v="23.039302325581396"/>
    <x v="2"/>
    <s v="Q3"/>
    <s v="Large"/>
  </r>
  <r>
    <x v="14"/>
    <x v="3"/>
    <x v="0"/>
    <x v="182"/>
    <n v="3691.63"/>
    <n v="284"/>
    <n v="12.998697183098592"/>
    <x v="0"/>
    <s v="Q1"/>
    <s v="Large"/>
  </r>
  <r>
    <x v="14"/>
    <x v="4"/>
    <x v="0"/>
    <x v="200"/>
    <n v="5188.8900000000003"/>
    <n v="293"/>
    <n v="17.709522184300344"/>
    <x v="1"/>
    <s v="Q3"/>
    <s v="Large"/>
  </r>
  <r>
    <x v="22"/>
    <x v="3"/>
    <x v="13"/>
    <x v="261"/>
    <n v="5766.51"/>
    <n v="21"/>
    <n v="274.59571428571428"/>
    <x v="0"/>
    <s v="Q1"/>
    <s v="Large"/>
  </r>
  <r>
    <x v="10"/>
    <x v="1"/>
    <x v="1"/>
    <x v="327"/>
    <n v="1036.77"/>
    <n v="82"/>
    <n v="12.643536585365853"/>
    <x v="6"/>
    <s v="Q1"/>
    <s v="Large"/>
  </r>
  <r>
    <x v="24"/>
    <x v="2"/>
    <x v="20"/>
    <x v="322"/>
    <n v="10033.52"/>
    <n v="163"/>
    <n v="61.555337423312885"/>
    <x v="0"/>
    <s v="Q1"/>
    <s v="Large"/>
  </r>
  <r>
    <x v="20"/>
    <x v="4"/>
    <x v="13"/>
    <x v="188"/>
    <n v="5220.6899999999996"/>
    <n v="154"/>
    <n v="33.900584415584412"/>
    <x v="4"/>
    <s v="Q1"/>
    <s v="Large"/>
  </r>
  <r>
    <x v="20"/>
    <x v="5"/>
    <x v="2"/>
    <x v="238"/>
    <n v="8106.62"/>
    <n v="47"/>
    <n v="172.48127659574467"/>
    <x v="3"/>
    <s v="Q2"/>
    <s v="Large"/>
  </r>
  <r>
    <x v="2"/>
    <x v="5"/>
    <x v="9"/>
    <x v="215"/>
    <n v="3934.09"/>
    <n v="86"/>
    <n v="45.745232558139534"/>
    <x v="2"/>
    <s v="Q3"/>
    <s v="Large"/>
  </r>
  <r>
    <x v="15"/>
    <x v="1"/>
    <x v="13"/>
    <x v="260"/>
    <n v="4508.93"/>
    <n v="231"/>
    <n v="19.519177489177491"/>
    <x v="3"/>
    <s v="Q2"/>
    <s v="Large"/>
  </r>
  <r>
    <x v="3"/>
    <x v="3"/>
    <x v="10"/>
    <x v="220"/>
    <n v="1921.57"/>
    <n v="226"/>
    <n v="8.5025221238938045"/>
    <x v="6"/>
    <s v="Q1"/>
    <s v="Large"/>
  </r>
  <r>
    <x v="2"/>
    <x v="3"/>
    <x v="17"/>
    <x v="313"/>
    <n v="1161.31"/>
    <n v="181"/>
    <n v="6.416077348066298"/>
    <x v="1"/>
    <s v="Q3"/>
    <s v="Large"/>
  </r>
  <r>
    <x v="17"/>
    <x v="2"/>
    <x v="11"/>
    <x v="301"/>
    <n v="11389.29"/>
    <n v="282"/>
    <n v="40.387553191489367"/>
    <x v="5"/>
    <s v="Q2"/>
    <s v="Large"/>
  </r>
  <r>
    <x v="24"/>
    <x v="0"/>
    <x v="20"/>
    <x v="202"/>
    <n v="3032.3"/>
    <n v="313"/>
    <n v="9.6878594249201289"/>
    <x v="5"/>
    <s v="Q2"/>
    <s v="Large"/>
  </r>
  <r>
    <x v="1"/>
    <x v="4"/>
    <x v="13"/>
    <x v="193"/>
    <n v="6871.55"/>
    <n v="238"/>
    <n v="28.872058823529411"/>
    <x v="2"/>
    <s v="Q3"/>
    <s v="Large"/>
  </r>
  <r>
    <x v="19"/>
    <x v="5"/>
    <x v="8"/>
    <x v="323"/>
    <n v="339.99"/>
    <n v="124"/>
    <n v="2.7418548387096773"/>
    <x v="1"/>
    <s v="Q3"/>
    <s v="Small"/>
  </r>
  <r>
    <x v="22"/>
    <x v="1"/>
    <x v="18"/>
    <x v="226"/>
    <n v="3720.22"/>
    <n v="141"/>
    <n v="26.384539007092197"/>
    <x v="4"/>
    <s v="Q1"/>
    <s v="Large"/>
  </r>
  <r>
    <x v="20"/>
    <x v="3"/>
    <x v="12"/>
    <x v="323"/>
    <n v="731.19"/>
    <n v="69"/>
    <n v="10.596956521739131"/>
    <x v="1"/>
    <s v="Q3"/>
    <s v="Large"/>
  </r>
  <r>
    <x v="13"/>
    <x v="2"/>
    <x v="9"/>
    <x v="233"/>
    <n v="13288.65"/>
    <n v="112"/>
    <n v="118.64866071428571"/>
    <x v="7"/>
    <s v="Q2"/>
    <s v="Large"/>
  </r>
  <r>
    <x v="18"/>
    <x v="4"/>
    <x v="11"/>
    <x v="210"/>
    <n v="5332.79"/>
    <n v="101"/>
    <n v="52.799900990099012"/>
    <x v="2"/>
    <s v="Q3"/>
    <s v="Large"/>
  </r>
  <r>
    <x v="19"/>
    <x v="1"/>
    <x v="10"/>
    <x v="261"/>
    <n v="3971.78"/>
    <n v="131"/>
    <n v="30.318931297709923"/>
    <x v="0"/>
    <s v="Q1"/>
    <s v="Large"/>
  </r>
  <r>
    <x v="22"/>
    <x v="0"/>
    <x v="13"/>
    <x v="247"/>
    <n v="9538.2099999999991"/>
    <n v="198"/>
    <n v="48.172777777777775"/>
    <x v="0"/>
    <s v="Q1"/>
    <s v="Large"/>
  </r>
  <r>
    <x v="14"/>
    <x v="2"/>
    <x v="6"/>
    <x v="196"/>
    <n v="547.85"/>
    <n v="221"/>
    <n v="2.4789592760180996"/>
    <x v="5"/>
    <s v="Q2"/>
    <s v="Large"/>
  </r>
  <r>
    <x v="6"/>
    <x v="5"/>
    <x v="17"/>
    <x v="275"/>
    <n v="2994.76"/>
    <n v="47"/>
    <n v="63.718297872340429"/>
    <x v="5"/>
    <s v="Q2"/>
    <s v="Large"/>
  </r>
  <r>
    <x v="5"/>
    <x v="1"/>
    <x v="0"/>
    <x v="283"/>
    <n v="4451.38"/>
    <n v="71"/>
    <n v="62.695492957746481"/>
    <x v="1"/>
    <s v="Q3"/>
    <s v="Large"/>
  </r>
  <r>
    <x v="17"/>
    <x v="1"/>
    <x v="0"/>
    <x v="253"/>
    <n v="14691.77"/>
    <n v="143"/>
    <n v="102.73965034965035"/>
    <x v="6"/>
    <s v="Q1"/>
    <s v="Large"/>
  </r>
  <r>
    <x v="8"/>
    <x v="1"/>
    <x v="20"/>
    <x v="168"/>
    <n v="7042.98"/>
    <n v="107"/>
    <n v="65.822242990654203"/>
    <x v="0"/>
    <s v="Q1"/>
    <s v="Large"/>
  </r>
  <r>
    <x v="6"/>
    <x v="1"/>
    <x v="11"/>
    <x v="273"/>
    <n v="15583"/>
    <n v="248"/>
    <n v="62.83467741935484"/>
    <x v="4"/>
    <s v="Q1"/>
    <s v="Large"/>
  </r>
  <r>
    <x v="12"/>
    <x v="0"/>
    <x v="12"/>
    <x v="188"/>
    <n v="9059.82"/>
    <n v="268"/>
    <n v="33.805298507462687"/>
    <x v="4"/>
    <s v="Q1"/>
    <s v="Large"/>
  </r>
  <r>
    <x v="8"/>
    <x v="4"/>
    <x v="16"/>
    <x v="320"/>
    <n v="430.59"/>
    <n v="85"/>
    <n v="5.0657647058823523"/>
    <x v="4"/>
    <s v="Q1"/>
    <s v="Small"/>
  </r>
  <r>
    <x v="1"/>
    <x v="5"/>
    <x v="17"/>
    <x v="271"/>
    <n v="1264.25"/>
    <n v="137"/>
    <n v="9.2281021897810227"/>
    <x v="6"/>
    <s v="Q1"/>
    <s v="Large"/>
  </r>
  <r>
    <x v="18"/>
    <x v="2"/>
    <x v="19"/>
    <x v="174"/>
    <n v="2995.47"/>
    <n v="156"/>
    <n v="19.201730769230767"/>
    <x v="0"/>
    <s v="Q1"/>
    <s v="Large"/>
  </r>
  <r>
    <x v="6"/>
    <x v="2"/>
    <x v="11"/>
    <x v="277"/>
    <n v="2117.8200000000002"/>
    <n v="56"/>
    <n v="37.818214285714291"/>
    <x v="2"/>
    <s v="Q3"/>
    <s v="Large"/>
  </r>
  <r>
    <x v="15"/>
    <x v="2"/>
    <x v="13"/>
    <x v="250"/>
    <n v="8081.79"/>
    <n v="54"/>
    <n v="149.66277777777779"/>
    <x v="0"/>
    <s v="Q1"/>
    <s v="Large"/>
  </r>
  <r>
    <x v="22"/>
    <x v="2"/>
    <x v="10"/>
    <x v="193"/>
    <n v="11542.54"/>
    <n v="49"/>
    <n v="235.56204081632654"/>
    <x v="2"/>
    <s v="Q3"/>
    <s v="Large"/>
  </r>
  <r>
    <x v="1"/>
    <x v="1"/>
    <x v="14"/>
    <x v="279"/>
    <n v="2183.6799999999998"/>
    <n v="46"/>
    <n v="47.471304347826084"/>
    <x v="6"/>
    <s v="Q1"/>
    <s v="Large"/>
  </r>
  <r>
    <x v="5"/>
    <x v="5"/>
    <x v="5"/>
    <x v="285"/>
    <n v="3125.34"/>
    <n v="191"/>
    <n v="16.36303664921466"/>
    <x v="1"/>
    <s v="Q3"/>
    <s v="Large"/>
  </r>
  <r>
    <x v="3"/>
    <x v="4"/>
    <x v="13"/>
    <x v="187"/>
    <n v="4891.8599999999997"/>
    <n v="380"/>
    <n v="12.873315789473683"/>
    <x v="5"/>
    <s v="Q2"/>
    <s v="Large"/>
  </r>
  <r>
    <x v="3"/>
    <x v="5"/>
    <x v="5"/>
    <x v="225"/>
    <n v="4881.32"/>
    <n v="183"/>
    <n v="26.673879781420762"/>
    <x v="2"/>
    <s v="Q3"/>
    <s v="Large"/>
  </r>
  <r>
    <x v="8"/>
    <x v="3"/>
    <x v="15"/>
    <x v="172"/>
    <n v="5917.62"/>
    <n v="238"/>
    <n v="24.863949579831932"/>
    <x v="4"/>
    <s v="Q1"/>
    <s v="Large"/>
  </r>
  <r>
    <x v="10"/>
    <x v="3"/>
    <x v="1"/>
    <x v="212"/>
    <n v="6312.53"/>
    <n v="60"/>
    <n v="105.20883333333333"/>
    <x v="5"/>
    <s v="Q2"/>
    <s v="Large"/>
  </r>
  <r>
    <x v="4"/>
    <x v="2"/>
    <x v="1"/>
    <x v="198"/>
    <n v="7956.28"/>
    <n v="27"/>
    <n v="294.67703703703705"/>
    <x v="5"/>
    <s v="Q2"/>
    <s v="Large"/>
  </r>
  <r>
    <x v="14"/>
    <x v="5"/>
    <x v="18"/>
    <x v="229"/>
    <n v="5895.88"/>
    <n v="7"/>
    <n v="842.26857142857148"/>
    <x v="1"/>
    <s v="Q3"/>
    <s v="Large"/>
  </r>
  <r>
    <x v="16"/>
    <x v="1"/>
    <x v="21"/>
    <x v="248"/>
    <n v="13535.7"/>
    <n v="296"/>
    <n v="45.72871621621622"/>
    <x v="0"/>
    <s v="Q1"/>
    <s v="Large"/>
  </r>
  <r>
    <x v="12"/>
    <x v="4"/>
    <x v="14"/>
    <x v="222"/>
    <n v="5639.9"/>
    <n v="129"/>
    <n v="43.720155038759685"/>
    <x v="6"/>
    <s v="Q1"/>
    <s v="Large"/>
  </r>
  <r>
    <x v="24"/>
    <x v="3"/>
    <x v="5"/>
    <x v="298"/>
    <n v="5813.44"/>
    <n v="356"/>
    <n v="16.329887640449439"/>
    <x v="5"/>
    <s v="Q2"/>
    <s v="Large"/>
  </r>
  <r>
    <x v="15"/>
    <x v="1"/>
    <x v="12"/>
    <x v="206"/>
    <n v="2514.8200000000002"/>
    <n v="32"/>
    <n v="78.588125000000005"/>
    <x v="1"/>
    <s v="Q3"/>
    <s v="Large"/>
  </r>
  <r>
    <x v="5"/>
    <x v="5"/>
    <x v="6"/>
    <x v="168"/>
    <n v="3044.01"/>
    <n v="22"/>
    <n v="138.36409090909092"/>
    <x v="0"/>
    <s v="Q1"/>
    <s v="Large"/>
  </r>
  <r>
    <x v="14"/>
    <x v="1"/>
    <x v="11"/>
    <x v="184"/>
    <n v="3902.04"/>
    <n v="214"/>
    <n v="18.233831775700935"/>
    <x v="3"/>
    <s v="Q2"/>
    <s v="Large"/>
  </r>
  <r>
    <x v="12"/>
    <x v="1"/>
    <x v="11"/>
    <x v="203"/>
    <n v="1928.74"/>
    <n v="354"/>
    <n v="5.4484180790960455"/>
    <x v="3"/>
    <s v="Q2"/>
    <s v="Large"/>
  </r>
  <r>
    <x v="15"/>
    <x v="2"/>
    <x v="14"/>
    <x v="197"/>
    <n v="3251.53"/>
    <n v="241"/>
    <n v="13.49182572614108"/>
    <x v="7"/>
    <s v="Q2"/>
    <s v="Large"/>
  </r>
  <r>
    <x v="19"/>
    <x v="5"/>
    <x v="15"/>
    <x v="297"/>
    <n v="5031.9399999999996"/>
    <n v="495"/>
    <n v="10.165535353535352"/>
    <x v="2"/>
    <s v="Q3"/>
    <s v="Large"/>
  </r>
  <r>
    <x v="3"/>
    <x v="3"/>
    <x v="7"/>
    <x v="226"/>
    <n v="1350.26"/>
    <n v="89"/>
    <n v="15.171460674157304"/>
    <x v="4"/>
    <s v="Q1"/>
    <s v="Large"/>
  </r>
  <r>
    <x v="19"/>
    <x v="5"/>
    <x v="3"/>
    <x v="219"/>
    <n v="1187.71"/>
    <n v="75"/>
    <n v="15.836133333333335"/>
    <x v="2"/>
    <s v="Q3"/>
    <s v="Large"/>
  </r>
  <r>
    <x v="5"/>
    <x v="0"/>
    <x v="17"/>
    <x v="323"/>
    <n v="7055.38"/>
    <n v="334"/>
    <n v="21.123892215568862"/>
    <x v="1"/>
    <s v="Q3"/>
    <s v="Large"/>
  </r>
  <r>
    <x v="15"/>
    <x v="3"/>
    <x v="5"/>
    <x v="285"/>
    <n v="7231.89"/>
    <n v="8"/>
    <n v="903.98625000000004"/>
    <x v="1"/>
    <s v="Q3"/>
    <s v="Large"/>
  </r>
  <r>
    <x v="19"/>
    <x v="3"/>
    <x v="7"/>
    <x v="275"/>
    <n v="9295.83"/>
    <n v="93"/>
    <n v="99.955161290322579"/>
    <x v="5"/>
    <s v="Q2"/>
    <s v="Large"/>
  </r>
  <r>
    <x v="17"/>
    <x v="0"/>
    <x v="19"/>
    <x v="322"/>
    <n v="2276.94"/>
    <n v="296"/>
    <n v="7.6923648648648655"/>
    <x v="0"/>
    <s v="Q1"/>
    <s v="Large"/>
  </r>
  <r>
    <x v="0"/>
    <x v="5"/>
    <x v="7"/>
    <x v="298"/>
    <n v="4229.79"/>
    <n v="548"/>
    <n v="7.7185948905109489"/>
    <x v="5"/>
    <s v="Q2"/>
    <s v="Large"/>
  </r>
  <r>
    <x v="0"/>
    <x v="0"/>
    <x v="3"/>
    <x v="200"/>
    <n v="1640.53"/>
    <n v="119"/>
    <n v="13.785966386554621"/>
    <x v="1"/>
    <s v="Q3"/>
    <s v="Large"/>
  </r>
  <r>
    <x v="19"/>
    <x v="0"/>
    <x v="20"/>
    <x v="244"/>
    <n v="8234.5"/>
    <n v="294"/>
    <n v="28.008503401360546"/>
    <x v="5"/>
    <s v="Q2"/>
    <s v="Large"/>
  </r>
  <r>
    <x v="3"/>
    <x v="0"/>
    <x v="14"/>
    <x v="305"/>
    <n v="10087.040000000001"/>
    <n v="46"/>
    <n v="219.28347826086957"/>
    <x v="5"/>
    <s v="Q2"/>
    <s v="Large"/>
  </r>
  <r>
    <x v="23"/>
    <x v="4"/>
    <x v="13"/>
    <x v="225"/>
    <n v="3169.26"/>
    <n v="281"/>
    <n v="11.278505338078293"/>
    <x v="2"/>
    <s v="Q3"/>
    <s v="Large"/>
  </r>
  <r>
    <x v="20"/>
    <x v="0"/>
    <x v="18"/>
    <x v="195"/>
    <n v="10355.42"/>
    <n v="215"/>
    <n v="48.164744186046512"/>
    <x v="7"/>
    <s v="Q2"/>
    <s v="Large"/>
  </r>
  <r>
    <x v="5"/>
    <x v="3"/>
    <x v="5"/>
    <x v="313"/>
    <n v="7772.63"/>
    <n v="140"/>
    <n v="55.518785714285713"/>
    <x v="1"/>
    <s v="Q3"/>
    <s v="Large"/>
  </r>
  <r>
    <x v="16"/>
    <x v="5"/>
    <x v="1"/>
    <x v="249"/>
    <n v="1992.77"/>
    <n v="31"/>
    <n v="64.28290322580645"/>
    <x v="3"/>
    <s v="Q2"/>
    <s v="Large"/>
  </r>
  <r>
    <x v="3"/>
    <x v="3"/>
    <x v="15"/>
    <x v="180"/>
    <n v="1815.56"/>
    <n v="266"/>
    <n v="6.8254135338345865"/>
    <x v="2"/>
    <s v="Q3"/>
    <s v="Large"/>
  </r>
  <r>
    <x v="5"/>
    <x v="3"/>
    <x v="17"/>
    <x v="200"/>
    <n v="727.11"/>
    <n v="50"/>
    <n v="14.542200000000001"/>
    <x v="1"/>
    <s v="Q3"/>
    <s v="Large"/>
  </r>
  <r>
    <x v="1"/>
    <x v="2"/>
    <x v="4"/>
    <x v="322"/>
    <n v="114.96"/>
    <n v="132"/>
    <n v="0.87090909090909085"/>
    <x v="0"/>
    <s v="Q1"/>
    <s v="Small"/>
  </r>
  <r>
    <x v="14"/>
    <x v="4"/>
    <x v="9"/>
    <x v="232"/>
    <n v="5378.09"/>
    <n v="142"/>
    <n v="37.87387323943662"/>
    <x v="4"/>
    <s v="Q1"/>
    <s v="Large"/>
  </r>
  <r>
    <x v="6"/>
    <x v="2"/>
    <x v="12"/>
    <x v="290"/>
    <n v="6707.63"/>
    <n v="269"/>
    <n v="24.935427509293682"/>
    <x v="7"/>
    <s v="Q2"/>
    <s v="Large"/>
  </r>
  <r>
    <x v="9"/>
    <x v="3"/>
    <x v="1"/>
    <x v="173"/>
    <n v="8167.18"/>
    <n v="102"/>
    <n v="80.070392156862752"/>
    <x v="5"/>
    <s v="Q2"/>
    <s v="Large"/>
  </r>
  <r>
    <x v="18"/>
    <x v="4"/>
    <x v="18"/>
    <x v="173"/>
    <n v="9950.14"/>
    <n v="6"/>
    <n v="1658.3566666666666"/>
    <x v="5"/>
    <s v="Q2"/>
    <s v="Large"/>
  </r>
  <r>
    <x v="12"/>
    <x v="3"/>
    <x v="10"/>
    <x v="195"/>
    <n v="7229.26"/>
    <n v="215"/>
    <n v="33.624465116279069"/>
    <x v="7"/>
    <s v="Q2"/>
    <s v="Large"/>
  </r>
  <r>
    <x v="5"/>
    <x v="0"/>
    <x v="6"/>
    <x v="178"/>
    <n v="2260.21"/>
    <n v="128"/>
    <n v="17.657890625"/>
    <x v="0"/>
    <s v="Q1"/>
    <s v="Large"/>
  </r>
  <r>
    <x v="11"/>
    <x v="4"/>
    <x v="17"/>
    <x v="291"/>
    <n v="6206.9"/>
    <n v="149"/>
    <n v="41.657046979865768"/>
    <x v="7"/>
    <s v="Q2"/>
    <s v="Large"/>
  </r>
  <r>
    <x v="0"/>
    <x v="0"/>
    <x v="14"/>
    <x v="196"/>
    <n v="1889.83"/>
    <n v="286"/>
    <n v="6.6077972027972027"/>
    <x v="5"/>
    <s v="Q2"/>
    <s v="Large"/>
  </r>
  <r>
    <x v="0"/>
    <x v="3"/>
    <x v="1"/>
    <x v="222"/>
    <n v="7797.24"/>
    <n v="88"/>
    <n v="88.605000000000004"/>
    <x v="6"/>
    <s v="Q1"/>
    <s v="Large"/>
  </r>
  <r>
    <x v="23"/>
    <x v="4"/>
    <x v="1"/>
    <x v="259"/>
    <n v="11644.92"/>
    <n v="536"/>
    <n v="21.725597014925373"/>
    <x v="3"/>
    <s v="Q2"/>
    <s v="Large"/>
  </r>
  <r>
    <x v="7"/>
    <x v="2"/>
    <x v="3"/>
    <x v="189"/>
    <n v="4207.22"/>
    <n v="255"/>
    <n v="16.498901960784316"/>
    <x v="7"/>
    <s v="Q2"/>
    <s v="Large"/>
  </r>
  <r>
    <x v="14"/>
    <x v="1"/>
    <x v="15"/>
    <x v="291"/>
    <n v="1683.88"/>
    <n v="169"/>
    <n v="9.9637869822485214"/>
    <x v="7"/>
    <s v="Q2"/>
    <s v="Large"/>
  </r>
  <r>
    <x v="9"/>
    <x v="4"/>
    <x v="2"/>
    <x v="291"/>
    <n v="1337.36"/>
    <n v="18"/>
    <n v="74.297777777777767"/>
    <x v="7"/>
    <s v="Q2"/>
    <s v="Large"/>
  </r>
  <r>
    <x v="1"/>
    <x v="5"/>
    <x v="2"/>
    <x v="300"/>
    <n v="7147.04"/>
    <n v="300"/>
    <n v="23.823466666666665"/>
    <x v="5"/>
    <s v="Q2"/>
    <s v="Large"/>
  </r>
  <r>
    <x v="20"/>
    <x v="3"/>
    <x v="3"/>
    <x v="222"/>
    <n v="12030.46"/>
    <n v="296"/>
    <n v="40.643445945945942"/>
    <x v="6"/>
    <s v="Q1"/>
    <s v="Large"/>
  </r>
  <r>
    <x v="7"/>
    <x v="4"/>
    <x v="3"/>
    <x v="277"/>
    <n v="15844.58"/>
    <n v="232"/>
    <n v="68.295603448275855"/>
    <x v="2"/>
    <s v="Q3"/>
    <s v="Large"/>
  </r>
  <r>
    <x v="7"/>
    <x v="4"/>
    <x v="14"/>
    <x v="328"/>
    <n v="5025.84"/>
    <n v="133"/>
    <n v="37.788270676691731"/>
    <x v="1"/>
    <s v="Q3"/>
    <s v="Large"/>
  </r>
  <r>
    <x v="13"/>
    <x v="5"/>
    <x v="3"/>
    <x v="234"/>
    <n v="9902.0300000000007"/>
    <n v="12"/>
    <n v="825.16916666666668"/>
    <x v="6"/>
    <s v="Q1"/>
    <s v="Large"/>
  </r>
  <r>
    <x v="14"/>
    <x v="3"/>
    <x v="5"/>
    <x v="184"/>
    <n v="7944.07"/>
    <n v="33"/>
    <n v="240.72939393939393"/>
    <x v="3"/>
    <s v="Q2"/>
    <s v="Large"/>
  </r>
  <r>
    <x v="21"/>
    <x v="1"/>
    <x v="1"/>
    <x v="284"/>
    <n v="9523.65"/>
    <n v="55"/>
    <n v="173.15727272727273"/>
    <x v="7"/>
    <s v="Q2"/>
    <s v="Large"/>
  </r>
  <r>
    <x v="24"/>
    <x v="4"/>
    <x v="18"/>
    <x v="168"/>
    <n v="16240.71"/>
    <n v="93"/>
    <n v="174.63129032258064"/>
    <x v="0"/>
    <s v="Q1"/>
    <s v="Large"/>
  </r>
  <r>
    <x v="11"/>
    <x v="2"/>
    <x v="19"/>
    <x v="178"/>
    <n v="5891.94"/>
    <n v="109"/>
    <n v="54.054495412844034"/>
    <x v="0"/>
    <s v="Q1"/>
    <s v="Large"/>
  </r>
  <r>
    <x v="18"/>
    <x v="3"/>
    <x v="13"/>
    <x v="204"/>
    <n v="6924.52"/>
    <n v="94"/>
    <n v="73.665106382978735"/>
    <x v="2"/>
    <s v="Q3"/>
    <s v="Large"/>
  </r>
  <r>
    <x v="16"/>
    <x v="2"/>
    <x v="0"/>
    <x v="302"/>
    <n v="4552.57"/>
    <n v="158"/>
    <n v="28.813734177215188"/>
    <x v="7"/>
    <s v="Q2"/>
    <s v="Large"/>
  </r>
  <r>
    <x v="21"/>
    <x v="3"/>
    <x v="2"/>
    <x v="297"/>
    <n v="1724.91"/>
    <n v="60"/>
    <n v="28.7485"/>
    <x v="2"/>
    <s v="Q3"/>
    <s v="Large"/>
  </r>
  <r>
    <x v="14"/>
    <x v="5"/>
    <x v="10"/>
    <x v="273"/>
    <n v="897.3"/>
    <n v="21"/>
    <n v="42.728571428571428"/>
    <x v="4"/>
    <s v="Q1"/>
    <s v="Large"/>
  </r>
  <r>
    <x v="3"/>
    <x v="1"/>
    <x v="4"/>
    <x v="291"/>
    <n v="10283.9"/>
    <n v="178"/>
    <n v="57.774719101123594"/>
    <x v="7"/>
    <s v="Q2"/>
    <s v="Large"/>
  </r>
  <r>
    <x v="7"/>
    <x v="5"/>
    <x v="9"/>
    <x v="265"/>
    <n v="10415.77"/>
    <n v="200"/>
    <n v="52.078850000000003"/>
    <x v="2"/>
    <s v="Q3"/>
    <s v="Large"/>
  </r>
  <r>
    <x v="3"/>
    <x v="0"/>
    <x v="7"/>
    <x v="194"/>
    <n v="4220.83"/>
    <n v="193"/>
    <n v="21.86958549222798"/>
    <x v="5"/>
    <s v="Q2"/>
    <s v="Large"/>
  </r>
  <r>
    <x v="8"/>
    <x v="3"/>
    <x v="6"/>
    <x v="298"/>
    <n v="4909.8599999999997"/>
    <n v="304"/>
    <n v="16.150855263157894"/>
    <x v="5"/>
    <s v="Q2"/>
    <s v="Large"/>
  </r>
  <r>
    <x v="14"/>
    <x v="2"/>
    <x v="8"/>
    <x v="280"/>
    <n v="6549.62"/>
    <n v="53"/>
    <n v="123.57773584905661"/>
    <x v="6"/>
    <s v="Q1"/>
    <s v="Large"/>
  </r>
  <r>
    <x v="3"/>
    <x v="1"/>
    <x v="20"/>
    <x v="177"/>
    <n v="88.72"/>
    <n v="165"/>
    <n v="0.53769696969696967"/>
    <x v="2"/>
    <s v="Q3"/>
    <s v="Small"/>
  </r>
  <r>
    <x v="19"/>
    <x v="0"/>
    <x v="14"/>
    <x v="233"/>
    <n v="9793.16"/>
    <n v="110"/>
    <n v="89.028727272727266"/>
    <x v="7"/>
    <s v="Q2"/>
    <s v="Large"/>
  </r>
  <r>
    <x v="21"/>
    <x v="3"/>
    <x v="17"/>
    <x v="260"/>
    <n v="4823.6499999999996"/>
    <n v="143"/>
    <n v="33.731818181818177"/>
    <x v="3"/>
    <s v="Q2"/>
    <s v="Large"/>
  </r>
  <r>
    <x v="22"/>
    <x v="2"/>
    <x v="7"/>
    <x v="203"/>
    <n v="7556.55"/>
    <n v="404"/>
    <n v="18.704331683168316"/>
    <x v="3"/>
    <s v="Q2"/>
    <s v="Large"/>
  </r>
  <r>
    <x v="13"/>
    <x v="5"/>
    <x v="8"/>
    <x v="289"/>
    <n v="7082.03"/>
    <n v="95"/>
    <n v="74.547684210526313"/>
    <x v="6"/>
    <s v="Q1"/>
    <s v="Large"/>
  </r>
  <r>
    <x v="10"/>
    <x v="1"/>
    <x v="14"/>
    <x v="322"/>
    <n v="8361.4699999999993"/>
    <n v="231"/>
    <n v="36.196839826839827"/>
    <x v="0"/>
    <s v="Q1"/>
    <s v="Large"/>
  </r>
  <r>
    <x v="18"/>
    <x v="1"/>
    <x v="0"/>
    <x v="206"/>
    <n v="1310.5"/>
    <n v="52"/>
    <n v="25.201923076923077"/>
    <x v="1"/>
    <s v="Q3"/>
    <s v="Large"/>
  </r>
  <r>
    <x v="19"/>
    <x v="0"/>
    <x v="4"/>
    <x v="258"/>
    <n v="1288.0999999999999"/>
    <n v="67"/>
    <n v="19.225373134328358"/>
    <x v="2"/>
    <s v="Q3"/>
    <s v="Large"/>
  </r>
  <r>
    <x v="11"/>
    <x v="0"/>
    <x v="6"/>
    <x v="275"/>
    <n v="3288.29"/>
    <n v="133"/>
    <n v="24.723984962406014"/>
    <x v="5"/>
    <s v="Q2"/>
    <s v="Large"/>
  </r>
  <r>
    <x v="24"/>
    <x v="1"/>
    <x v="18"/>
    <x v="184"/>
    <n v="10669.09"/>
    <n v="85"/>
    <n v="125.51870588235295"/>
    <x v="3"/>
    <s v="Q2"/>
    <s v="Large"/>
  </r>
  <r>
    <x v="22"/>
    <x v="0"/>
    <x v="17"/>
    <x v="224"/>
    <n v="7361.93"/>
    <n v="344"/>
    <n v="21.400959302325582"/>
    <x v="1"/>
    <s v="Q3"/>
    <s v="Large"/>
  </r>
  <r>
    <x v="18"/>
    <x v="2"/>
    <x v="6"/>
    <x v="181"/>
    <n v="10336.219999999999"/>
    <n v="123"/>
    <n v="84.034308943089428"/>
    <x v="1"/>
    <s v="Q3"/>
    <s v="Large"/>
  </r>
  <r>
    <x v="2"/>
    <x v="5"/>
    <x v="14"/>
    <x v="204"/>
    <n v="6985.95"/>
    <n v="4"/>
    <n v="1746.4875"/>
    <x v="2"/>
    <s v="Q3"/>
    <s v="Large"/>
  </r>
  <r>
    <x v="18"/>
    <x v="3"/>
    <x v="8"/>
    <x v="222"/>
    <n v="3394.46"/>
    <n v="21"/>
    <n v="161.64095238095237"/>
    <x v="6"/>
    <s v="Q1"/>
    <s v="Large"/>
  </r>
  <r>
    <x v="6"/>
    <x v="0"/>
    <x v="2"/>
    <x v="221"/>
    <n v="15337.23"/>
    <n v="31"/>
    <n v="494.74935483870968"/>
    <x v="0"/>
    <s v="Q1"/>
    <s v="Large"/>
  </r>
  <r>
    <x v="13"/>
    <x v="0"/>
    <x v="19"/>
    <x v="260"/>
    <n v="15925.17"/>
    <n v="378"/>
    <n v="42.130079365079368"/>
    <x v="3"/>
    <s v="Q2"/>
    <s v="Large"/>
  </r>
  <r>
    <x v="10"/>
    <x v="2"/>
    <x v="6"/>
    <x v="322"/>
    <n v="7355.77"/>
    <n v="772"/>
    <n v="9.5281994818652862"/>
    <x v="0"/>
    <s v="Q1"/>
    <s v="Large"/>
  </r>
  <r>
    <x v="11"/>
    <x v="3"/>
    <x v="10"/>
    <x v="219"/>
    <n v="9489.27"/>
    <n v="54"/>
    <n v="175.72722222222222"/>
    <x v="2"/>
    <s v="Q3"/>
    <s v="Large"/>
  </r>
  <r>
    <x v="3"/>
    <x v="0"/>
    <x v="10"/>
    <x v="245"/>
    <n v="1281.32"/>
    <n v="354"/>
    <n v="3.6195480225988699"/>
    <x v="3"/>
    <s v="Q2"/>
    <s v="Large"/>
  </r>
  <r>
    <x v="7"/>
    <x v="5"/>
    <x v="13"/>
    <x v="200"/>
    <n v="518.07000000000005"/>
    <n v="192"/>
    <n v="2.6982812500000004"/>
    <x v="1"/>
    <s v="Q3"/>
    <s v="Large"/>
  </r>
  <r>
    <x v="24"/>
    <x v="0"/>
    <x v="18"/>
    <x v="244"/>
    <n v="1933.56"/>
    <n v="239"/>
    <n v="8.0902092050209209"/>
    <x v="5"/>
    <s v="Q2"/>
    <s v="Large"/>
  </r>
  <r>
    <x v="5"/>
    <x v="5"/>
    <x v="16"/>
    <x v="180"/>
    <n v="1308.52"/>
    <n v="30"/>
    <n v="43.617333333333335"/>
    <x v="2"/>
    <s v="Q3"/>
    <s v="Large"/>
  </r>
  <r>
    <x v="15"/>
    <x v="4"/>
    <x v="4"/>
    <x v="252"/>
    <n v="9878.5"/>
    <n v="111"/>
    <n v="88.99549549549549"/>
    <x v="4"/>
    <s v="Q1"/>
    <s v="Large"/>
  </r>
  <r>
    <x v="17"/>
    <x v="5"/>
    <x v="0"/>
    <x v="238"/>
    <n v="1943.7"/>
    <n v="297"/>
    <n v="6.5444444444444443"/>
    <x v="3"/>
    <s v="Q2"/>
    <s v="Large"/>
  </r>
  <r>
    <x v="6"/>
    <x v="0"/>
    <x v="15"/>
    <x v="212"/>
    <n v="80.62"/>
    <n v="103"/>
    <n v="0.78271844660194179"/>
    <x v="5"/>
    <s v="Q2"/>
    <s v="Small"/>
  </r>
  <r>
    <x v="1"/>
    <x v="0"/>
    <x v="19"/>
    <x v="175"/>
    <n v="2678.37"/>
    <n v="20"/>
    <n v="133.91849999999999"/>
    <x v="6"/>
    <s v="Q1"/>
    <s v="Large"/>
  </r>
  <r>
    <x v="8"/>
    <x v="2"/>
    <x v="20"/>
    <x v="267"/>
    <n v="2931.1"/>
    <n v="60"/>
    <n v="48.851666666666667"/>
    <x v="2"/>
    <s v="Q3"/>
    <s v="Large"/>
  </r>
  <r>
    <x v="17"/>
    <x v="4"/>
    <x v="8"/>
    <x v="231"/>
    <n v="2316.09"/>
    <n v="90"/>
    <n v="25.734333333333336"/>
    <x v="7"/>
    <s v="Q2"/>
    <s v="Large"/>
  </r>
  <r>
    <x v="2"/>
    <x v="2"/>
    <x v="17"/>
    <x v="327"/>
    <n v="6722.22"/>
    <n v="330"/>
    <n v="20.370363636363638"/>
    <x v="6"/>
    <s v="Q1"/>
    <s v="Large"/>
  </r>
  <r>
    <x v="17"/>
    <x v="4"/>
    <x v="10"/>
    <x v="303"/>
    <n v="14528.51"/>
    <n v="134"/>
    <n v="108.42171641791045"/>
    <x v="2"/>
    <s v="Q3"/>
    <s v="Large"/>
  </r>
  <r>
    <x v="12"/>
    <x v="5"/>
    <x v="7"/>
    <x v="314"/>
    <n v="9390.2800000000007"/>
    <n v="104"/>
    <n v="90.291153846153847"/>
    <x v="7"/>
    <s v="Q2"/>
    <s v="Large"/>
  </r>
  <r>
    <x v="9"/>
    <x v="2"/>
    <x v="18"/>
    <x v="281"/>
    <n v="16230.41"/>
    <n v="94"/>
    <n v="172.66393617021276"/>
    <x v="6"/>
    <s v="Q1"/>
    <s v="Large"/>
  </r>
  <r>
    <x v="24"/>
    <x v="1"/>
    <x v="20"/>
    <x v="194"/>
    <n v="7224.39"/>
    <n v="55"/>
    <n v="131.35254545454546"/>
    <x v="5"/>
    <s v="Q2"/>
    <s v="Large"/>
  </r>
  <r>
    <x v="1"/>
    <x v="5"/>
    <x v="6"/>
    <x v="233"/>
    <n v="15567.58"/>
    <n v="57"/>
    <n v="273.11543859649123"/>
    <x v="7"/>
    <s v="Q2"/>
    <s v="Large"/>
  </r>
  <r>
    <x v="20"/>
    <x v="3"/>
    <x v="19"/>
    <x v="298"/>
    <n v="2964.2"/>
    <n v="105"/>
    <n v="28.230476190476189"/>
    <x v="5"/>
    <s v="Q2"/>
    <s v="Large"/>
  </r>
  <r>
    <x v="12"/>
    <x v="1"/>
    <x v="12"/>
    <x v="294"/>
    <n v="3357.08"/>
    <n v="186"/>
    <n v="18.048817204301074"/>
    <x v="3"/>
    <s v="Q2"/>
    <s v="Large"/>
  </r>
  <r>
    <x v="2"/>
    <x v="2"/>
    <x v="16"/>
    <x v="288"/>
    <n v="1010.37"/>
    <n v="127"/>
    <n v="7.9556692913385829"/>
    <x v="1"/>
    <s v="Q3"/>
    <s v="Large"/>
  </r>
  <r>
    <x v="7"/>
    <x v="3"/>
    <x v="8"/>
    <x v="232"/>
    <n v="20470.43"/>
    <n v="54"/>
    <n v="379.08203703703703"/>
    <x v="4"/>
    <s v="Q1"/>
    <s v="Large"/>
  </r>
  <r>
    <x v="20"/>
    <x v="5"/>
    <x v="3"/>
    <x v="271"/>
    <n v="8762.75"/>
    <n v="115"/>
    <n v="76.197826086956525"/>
    <x v="6"/>
    <s v="Q1"/>
    <s v="Large"/>
  </r>
  <r>
    <x v="3"/>
    <x v="1"/>
    <x v="19"/>
    <x v="169"/>
    <n v="14613.52"/>
    <n v="85"/>
    <n v="171.92376470588235"/>
    <x v="1"/>
    <s v="Q3"/>
    <s v="Large"/>
  </r>
  <r>
    <x v="0"/>
    <x v="2"/>
    <x v="11"/>
    <x v="281"/>
    <n v="9839.4599999999991"/>
    <n v="31"/>
    <n v="317.40193548387094"/>
    <x v="6"/>
    <s v="Q1"/>
    <s v="Large"/>
  </r>
  <r>
    <x v="2"/>
    <x v="5"/>
    <x v="13"/>
    <x v="275"/>
    <n v="6633.23"/>
    <n v="103"/>
    <n v="64.400291262135923"/>
    <x v="5"/>
    <s v="Q2"/>
    <s v="Large"/>
  </r>
  <r>
    <x v="12"/>
    <x v="0"/>
    <x v="8"/>
    <x v="287"/>
    <n v="9749.07"/>
    <n v="169"/>
    <n v="57.686804733727811"/>
    <x v="3"/>
    <s v="Q2"/>
    <s v="Large"/>
  </r>
  <r>
    <x v="11"/>
    <x v="3"/>
    <x v="8"/>
    <x v="261"/>
    <n v="5254.38"/>
    <n v="31"/>
    <n v="169.49612903225807"/>
    <x v="0"/>
    <s v="Q1"/>
    <s v="Large"/>
  </r>
  <r>
    <x v="15"/>
    <x v="2"/>
    <x v="4"/>
    <x v="224"/>
    <n v="3430.43"/>
    <n v="123"/>
    <n v="27.889674796747965"/>
    <x v="1"/>
    <s v="Q3"/>
    <s v="Large"/>
  </r>
  <r>
    <x v="5"/>
    <x v="3"/>
    <x v="13"/>
    <x v="207"/>
    <n v="10454.549999999999"/>
    <n v="434"/>
    <n v="24.088824884792626"/>
    <x v="5"/>
    <s v="Q2"/>
    <s v="Large"/>
  </r>
  <r>
    <x v="14"/>
    <x v="5"/>
    <x v="21"/>
    <x v="228"/>
    <n v="2413.87"/>
    <n v="7"/>
    <n v="344.83857142857141"/>
    <x v="0"/>
    <s v="Q1"/>
    <s v="Large"/>
  </r>
  <r>
    <x v="20"/>
    <x v="3"/>
    <x v="15"/>
    <x v="238"/>
    <n v="1445.14"/>
    <n v="108"/>
    <n v="13.380925925925927"/>
    <x v="3"/>
    <s v="Q2"/>
    <s v="Large"/>
  </r>
  <r>
    <x v="23"/>
    <x v="2"/>
    <x v="19"/>
    <x v="244"/>
    <n v="4022.64"/>
    <n v="71"/>
    <n v="56.6569014084507"/>
    <x v="5"/>
    <s v="Q2"/>
    <s v="Large"/>
  </r>
  <r>
    <x v="8"/>
    <x v="2"/>
    <x v="1"/>
    <x v="325"/>
    <n v="8651.2000000000007"/>
    <n v="43"/>
    <n v="201.19069767441863"/>
    <x v="4"/>
    <s v="Q1"/>
    <s v="Large"/>
  </r>
  <r>
    <x v="12"/>
    <x v="2"/>
    <x v="6"/>
    <x v="213"/>
    <n v="725.16"/>
    <n v="453"/>
    <n v="1.600794701986755"/>
    <x v="7"/>
    <s v="Q2"/>
    <s v="Large"/>
  </r>
  <r>
    <x v="5"/>
    <x v="1"/>
    <x v="19"/>
    <x v="281"/>
    <n v="2385.4"/>
    <n v="540"/>
    <n v="4.4174074074074072"/>
    <x v="6"/>
    <s v="Q1"/>
    <s v="Large"/>
  </r>
  <r>
    <x v="1"/>
    <x v="2"/>
    <x v="6"/>
    <x v="225"/>
    <n v="726.04"/>
    <n v="131"/>
    <n v="5.5422900763358776"/>
    <x v="2"/>
    <s v="Q3"/>
    <s v="Large"/>
  </r>
  <r>
    <x v="4"/>
    <x v="4"/>
    <x v="15"/>
    <x v="258"/>
    <n v="4742.3500000000004"/>
    <n v="83"/>
    <n v="57.13674698795181"/>
    <x v="2"/>
    <s v="Q3"/>
    <s v="Large"/>
  </r>
  <r>
    <x v="1"/>
    <x v="5"/>
    <x v="18"/>
    <x v="293"/>
    <n v="2556.96"/>
    <n v="312"/>
    <n v="8.195384615384615"/>
    <x v="1"/>
    <s v="Q3"/>
    <s v="Large"/>
  </r>
  <r>
    <x v="10"/>
    <x v="5"/>
    <x v="21"/>
    <x v="300"/>
    <n v="8376.69"/>
    <n v="646"/>
    <n v="12.967012383900929"/>
    <x v="5"/>
    <s v="Q2"/>
    <s v="Large"/>
  </r>
  <r>
    <x v="20"/>
    <x v="5"/>
    <x v="13"/>
    <x v="223"/>
    <n v="840.71"/>
    <n v="162"/>
    <n v="5.1895679012345681"/>
    <x v="5"/>
    <s v="Q2"/>
    <s v="Large"/>
  </r>
  <r>
    <x v="21"/>
    <x v="1"/>
    <x v="4"/>
    <x v="241"/>
    <n v="207.87"/>
    <n v="216"/>
    <n v="0.96236111111111111"/>
    <x v="1"/>
    <s v="Q3"/>
    <s v="Small"/>
  </r>
  <r>
    <x v="22"/>
    <x v="3"/>
    <x v="21"/>
    <x v="273"/>
    <n v="13370.34"/>
    <n v="94"/>
    <n v="142.2376595744681"/>
    <x v="4"/>
    <s v="Q1"/>
    <s v="Large"/>
  </r>
  <r>
    <x v="9"/>
    <x v="3"/>
    <x v="7"/>
    <x v="299"/>
    <n v="6811.37"/>
    <n v="25"/>
    <n v="272.45479999999998"/>
    <x v="4"/>
    <s v="Q1"/>
    <s v="Large"/>
  </r>
  <r>
    <x v="3"/>
    <x v="5"/>
    <x v="21"/>
    <x v="183"/>
    <n v="6096.52"/>
    <n v="300"/>
    <n v="20.321733333333334"/>
    <x v="4"/>
    <s v="Q1"/>
    <s v="Large"/>
  </r>
  <r>
    <x v="20"/>
    <x v="2"/>
    <x v="11"/>
    <x v="172"/>
    <n v="8684.58"/>
    <n v="120"/>
    <n v="72.371499999999997"/>
    <x v="4"/>
    <s v="Q1"/>
    <s v="Large"/>
  </r>
  <r>
    <x v="17"/>
    <x v="1"/>
    <x v="7"/>
    <x v="281"/>
    <n v="873.26"/>
    <n v="140"/>
    <n v="6.2375714285714281"/>
    <x v="6"/>
    <s v="Q1"/>
    <s v="Large"/>
  </r>
  <r>
    <x v="15"/>
    <x v="0"/>
    <x v="8"/>
    <x v="296"/>
    <n v="1912.66"/>
    <n v="253"/>
    <n v="7.5599209486166012"/>
    <x v="1"/>
    <s v="Q3"/>
    <s v="Large"/>
  </r>
  <r>
    <x v="2"/>
    <x v="4"/>
    <x v="2"/>
    <x v="290"/>
    <n v="321.61"/>
    <n v="76"/>
    <n v="4.2317105263157897"/>
    <x v="7"/>
    <s v="Q2"/>
    <s v="Small"/>
  </r>
  <r>
    <x v="18"/>
    <x v="4"/>
    <x v="3"/>
    <x v="261"/>
    <n v="511.12"/>
    <n v="96"/>
    <n v="5.3241666666666667"/>
    <x v="0"/>
    <s v="Q1"/>
    <s v="Large"/>
  </r>
  <r>
    <x v="14"/>
    <x v="1"/>
    <x v="14"/>
    <x v="177"/>
    <n v="7887.15"/>
    <n v="335"/>
    <n v="23.543731343283582"/>
    <x v="2"/>
    <s v="Q3"/>
    <s v="Large"/>
  </r>
  <r>
    <x v="4"/>
    <x v="3"/>
    <x v="12"/>
    <x v="329"/>
    <n v="1793.67"/>
    <n v="13"/>
    <n v="137.97461538461539"/>
    <x v="5"/>
    <s v="Q2"/>
    <s v="Large"/>
  </r>
  <r>
    <x v="12"/>
    <x v="3"/>
    <x v="2"/>
    <x v="205"/>
    <n v="12129.42"/>
    <n v="29"/>
    <n v="418.25586206896554"/>
    <x v="4"/>
    <s v="Q1"/>
    <s v="Large"/>
  </r>
  <r>
    <x v="23"/>
    <x v="3"/>
    <x v="4"/>
    <x v="290"/>
    <n v="11749.75"/>
    <n v="213"/>
    <n v="55.163145539906104"/>
    <x v="7"/>
    <s v="Q2"/>
    <s v="Large"/>
  </r>
  <r>
    <x v="20"/>
    <x v="1"/>
    <x v="21"/>
    <x v="173"/>
    <n v="3967.25"/>
    <n v="101"/>
    <n v="39.279702970297031"/>
    <x v="5"/>
    <s v="Q2"/>
    <s v="Large"/>
  </r>
  <r>
    <x v="20"/>
    <x v="1"/>
    <x v="9"/>
    <x v="177"/>
    <n v="8105.37"/>
    <n v="255"/>
    <n v="31.785764705882354"/>
    <x v="2"/>
    <s v="Q3"/>
    <s v="Large"/>
  </r>
  <r>
    <x v="6"/>
    <x v="3"/>
    <x v="9"/>
    <x v="173"/>
    <n v="1614.17"/>
    <n v="106"/>
    <n v="15.228018867924529"/>
    <x v="5"/>
    <s v="Q2"/>
    <s v="Large"/>
  </r>
  <r>
    <x v="23"/>
    <x v="2"/>
    <x v="16"/>
    <x v="278"/>
    <n v="1613.3"/>
    <n v="91"/>
    <n v="17.728571428571428"/>
    <x v="7"/>
    <s v="Q2"/>
    <s v="Large"/>
  </r>
  <r>
    <x v="18"/>
    <x v="3"/>
    <x v="10"/>
    <x v="228"/>
    <n v="2155.64"/>
    <n v="281"/>
    <n v="7.671316725978647"/>
    <x v="0"/>
    <s v="Q1"/>
    <s v="Large"/>
  </r>
  <r>
    <x v="24"/>
    <x v="3"/>
    <x v="20"/>
    <x v="198"/>
    <n v="8184.37"/>
    <n v="43"/>
    <n v="190.33418604651163"/>
    <x v="5"/>
    <s v="Q2"/>
    <s v="Large"/>
  </r>
  <r>
    <x v="8"/>
    <x v="5"/>
    <x v="15"/>
    <x v="242"/>
    <n v="3613.32"/>
    <n v="251"/>
    <n v="14.39569721115538"/>
    <x v="1"/>
    <s v="Q3"/>
    <s v="Large"/>
  </r>
  <r>
    <x v="2"/>
    <x v="3"/>
    <x v="3"/>
    <x v="221"/>
    <n v="801.09"/>
    <n v="101"/>
    <n v="7.9315841584158422"/>
    <x v="0"/>
    <s v="Q1"/>
    <s v="Large"/>
  </r>
  <r>
    <x v="6"/>
    <x v="4"/>
    <x v="15"/>
    <x v="206"/>
    <n v="2069.48"/>
    <n v="8"/>
    <n v="258.685"/>
    <x v="1"/>
    <s v="Q3"/>
    <s v="Large"/>
  </r>
  <r>
    <x v="13"/>
    <x v="3"/>
    <x v="1"/>
    <x v="217"/>
    <n v="5096.21"/>
    <n v="284"/>
    <n v="17.944401408450705"/>
    <x v="3"/>
    <s v="Q2"/>
    <s v="Large"/>
  </r>
  <r>
    <x v="4"/>
    <x v="0"/>
    <x v="3"/>
    <x v="274"/>
    <n v="10573.5"/>
    <n v="338"/>
    <n v="31.282544378698226"/>
    <x v="7"/>
    <s v="Q2"/>
    <s v="Large"/>
  </r>
  <r>
    <x v="4"/>
    <x v="0"/>
    <x v="17"/>
    <x v="238"/>
    <n v="4611.37"/>
    <n v="322"/>
    <n v="14.321024844720496"/>
    <x v="3"/>
    <s v="Q2"/>
    <s v="Large"/>
  </r>
  <r>
    <x v="13"/>
    <x v="4"/>
    <x v="9"/>
    <x v="252"/>
    <n v="3288.77"/>
    <n v="148"/>
    <n v="22.221418918918918"/>
    <x v="4"/>
    <s v="Q1"/>
    <s v="Large"/>
  </r>
  <r>
    <x v="19"/>
    <x v="2"/>
    <x v="15"/>
    <x v="327"/>
    <n v="10883.13"/>
    <n v="394"/>
    <n v="27.622157360406089"/>
    <x v="6"/>
    <s v="Q1"/>
    <s v="Large"/>
  </r>
  <r>
    <x v="9"/>
    <x v="1"/>
    <x v="17"/>
    <x v="220"/>
    <n v="1516.56"/>
    <n v="2"/>
    <n v="758.28"/>
    <x v="6"/>
    <s v="Q1"/>
    <s v="Large"/>
  </r>
  <r>
    <x v="0"/>
    <x v="4"/>
    <x v="7"/>
    <x v="180"/>
    <n v="391.33"/>
    <n v="184"/>
    <n v="2.1267934782608693"/>
    <x v="2"/>
    <s v="Q3"/>
    <s v="Small"/>
  </r>
  <r>
    <x v="16"/>
    <x v="3"/>
    <x v="21"/>
    <x v="175"/>
    <n v="7969.08"/>
    <n v="38"/>
    <n v="209.71263157894737"/>
    <x v="6"/>
    <s v="Q1"/>
    <s v="Large"/>
  </r>
  <r>
    <x v="14"/>
    <x v="2"/>
    <x v="5"/>
    <x v="323"/>
    <n v="63.71"/>
    <n v="109"/>
    <n v="0.58449541284403672"/>
    <x v="1"/>
    <s v="Q3"/>
    <s v="Small"/>
  </r>
  <r>
    <x v="15"/>
    <x v="0"/>
    <x v="16"/>
    <x v="302"/>
    <n v="8832.33"/>
    <n v="175"/>
    <n v="50.470457142857143"/>
    <x v="7"/>
    <s v="Q2"/>
    <s v="Large"/>
  </r>
  <r>
    <x v="16"/>
    <x v="5"/>
    <x v="18"/>
    <x v="211"/>
    <n v="3542.19"/>
    <n v="180"/>
    <n v="19.678833333333333"/>
    <x v="7"/>
    <s v="Q2"/>
    <s v="Large"/>
  </r>
  <r>
    <x v="13"/>
    <x v="0"/>
    <x v="2"/>
    <x v="288"/>
    <n v="6052.07"/>
    <n v="173"/>
    <n v="34.983063583815024"/>
    <x v="1"/>
    <s v="Q3"/>
    <s v="Large"/>
  </r>
  <r>
    <x v="24"/>
    <x v="3"/>
    <x v="8"/>
    <x v="260"/>
    <n v="543.20000000000005"/>
    <n v="54"/>
    <n v="10.05925925925926"/>
    <x v="3"/>
    <s v="Q2"/>
    <s v="Large"/>
  </r>
  <r>
    <x v="6"/>
    <x v="1"/>
    <x v="1"/>
    <x v="313"/>
    <n v="18894.919999999998"/>
    <n v="201"/>
    <n v="94.004577114427846"/>
    <x v="1"/>
    <s v="Q3"/>
    <s v="Large"/>
  </r>
  <r>
    <x v="6"/>
    <x v="3"/>
    <x v="10"/>
    <x v="322"/>
    <n v="689.4"/>
    <n v="331"/>
    <n v="2.0827794561933533"/>
    <x v="0"/>
    <s v="Q1"/>
    <s v="Large"/>
  </r>
  <r>
    <x v="19"/>
    <x v="5"/>
    <x v="14"/>
    <x v="183"/>
    <n v="4435.95"/>
    <n v="31"/>
    <n v="143.09516129032258"/>
    <x v="4"/>
    <s v="Q1"/>
    <s v="Large"/>
  </r>
  <r>
    <x v="2"/>
    <x v="3"/>
    <x v="7"/>
    <x v="213"/>
    <n v="9111.34"/>
    <n v="324"/>
    <n v="28.121419753086421"/>
    <x v="7"/>
    <s v="Q2"/>
    <s v="Large"/>
  </r>
  <r>
    <x v="24"/>
    <x v="5"/>
    <x v="3"/>
    <x v="251"/>
    <n v="10369.709999999999"/>
    <n v="129"/>
    <n v="80.385348837209293"/>
    <x v="6"/>
    <s v="Q1"/>
    <s v="Large"/>
  </r>
  <r>
    <x v="15"/>
    <x v="5"/>
    <x v="21"/>
    <x v="228"/>
    <n v="5833.2"/>
    <n v="290"/>
    <n v="20.114482758620689"/>
    <x v="0"/>
    <s v="Q1"/>
    <s v="Large"/>
  </r>
  <r>
    <x v="8"/>
    <x v="5"/>
    <x v="10"/>
    <x v="179"/>
    <n v="1229.96"/>
    <n v="219"/>
    <n v="5.6162557077625577"/>
    <x v="6"/>
    <s v="Q1"/>
    <s v="Large"/>
  </r>
  <r>
    <x v="4"/>
    <x v="0"/>
    <x v="10"/>
    <x v="198"/>
    <n v="8839.7199999999993"/>
    <n v="170"/>
    <n v="51.998352941176464"/>
    <x v="5"/>
    <s v="Q2"/>
    <s v="Large"/>
  </r>
  <r>
    <x v="1"/>
    <x v="3"/>
    <x v="8"/>
    <x v="330"/>
    <n v="5747.66"/>
    <n v="176"/>
    <n v="32.65715909090909"/>
    <x v="6"/>
    <s v="Q1"/>
    <s v="Large"/>
  </r>
  <r>
    <x v="9"/>
    <x v="0"/>
    <x v="9"/>
    <x v="216"/>
    <n v="3666.04"/>
    <n v="107"/>
    <n v="34.262056074766356"/>
    <x v="7"/>
    <s v="Q2"/>
    <s v="Large"/>
  </r>
  <r>
    <x v="4"/>
    <x v="0"/>
    <x v="11"/>
    <x v="204"/>
    <n v="6853.82"/>
    <n v="220"/>
    <n v="31.15372727272727"/>
    <x v="2"/>
    <s v="Q3"/>
    <s v="Large"/>
  </r>
  <r>
    <x v="10"/>
    <x v="3"/>
    <x v="0"/>
    <x v="220"/>
    <n v="4361.01"/>
    <n v="59"/>
    <n v="73.915423728813565"/>
    <x v="6"/>
    <s v="Q1"/>
    <s v="Large"/>
  </r>
  <r>
    <x v="0"/>
    <x v="4"/>
    <x v="17"/>
    <x v="240"/>
    <n v="7686.15"/>
    <n v="141"/>
    <n v="54.511702127659575"/>
    <x v="6"/>
    <s v="Q1"/>
    <s v="Large"/>
  </r>
  <r>
    <x v="20"/>
    <x v="0"/>
    <x v="1"/>
    <x v="298"/>
    <n v="4188.43"/>
    <n v="235"/>
    <n v="17.823106382978725"/>
    <x v="5"/>
    <s v="Q2"/>
    <s v="Large"/>
  </r>
  <r>
    <x v="20"/>
    <x v="4"/>
    <x v="16"/>
    <x v="227"/>
    <n v="5425.24"/>
    <n v="234"/>
    <n v="23.184786324786323"/>
    <x v="0"/>
    <s v="Q1"/>
    <s v="Large"/>
  </r>
  <r>
    <x v="11"/>
    <x v="5"/>
    <x v="7"/>
    <x v="270"/>
    <n v="2896.97"/>
    <n v="456"/>
    <n v="6.3530043859649119"/>
    <x v="0"/>
    <s v="Q1"/>
    <s v="Large"/>
  </r>
  <r>
    <x v="17"/>
    <x v="1"/>
    <x v="13"/>
    <x v="267"/>
    <n v="1071.31"/>
    <n v="23"/>
    <n v="46.578695652173913"/>
    <x v="2"/>
    <s v="Q3"/>
    <s v="Large"/>
  </r>
  <r>
    <x v="6"/>
    <x v="5"/>
    <x v="3"/>
    <x v="278"/>
    <n v="6417.05"/>
    <n v="497"/>
    <n v="12.911569416498994"/>
    <x v="7"/>
    <s v="Q2"/>
    <s v="Large"/>
  </r>
  <r>
    <x v="8"/>
    <x v="5"/>
    <x v="19"/>
    <x v="320"/>
    <n v="10967.31"/>
    <n v="172"/>
    <n v="63.763430232558136"/>
    <x v="4"/>
    <s v="Q1"/>
    <s v="Large"/>
  </r>
  <r>
    <x v="6"/>
    <x v="1"/>
    <x v="3"/>
    <x v="216"/>
    <n v="6345.02"/>
    <n v="28"/>
    <n v="226.60785714285717"/>
    <x v="7"/>
    <s v="Q2"/>
    <s v="Large"/>
  </r>
  <r>
    <x v="3"/>
    <x v="2"/>
    <x v="9"/>
    <x v="331"/>
    <n v="2824.71"/>
    <n v="25"/>
    <n v="112.9884"/>
    <x v="4"/>
    <s v="Q1"/>
    <s v="Large"/>
  </r>
  <r>
    <x v="6"/>
    <x v="1"/>
    <x v="12"/>
    <x v="250"/>
    <n v="1463.67"/>
    <n v="34"/>
    <n v="43.049117647058829"/>
    <x v="0"/>
    <s v="Q1"/>
    <s v="Large"/>
  </r>
  <r>
    <x v="1"/>
    <x v="0"/>
    <x v="8"/>
    <x v="196"/>
    <n v="5856.52"/>
    <n v="115"/>
    <n v="50.926260869565219"/>
    <x v="5"/>
    <s v="Q2"/>
    <s v="Large"/>
  </r>
  <r>
    <x v="18"/>
    <x v="1"/>
    <x v="20"/>
    <x v="178"/>
    <n v="4303.8599999999997"/>
    <n v="282"/>
    <n v="15.261914893617019"/>
    <x v="0"/>
    <s v="Q1"/>
    <s v="Large"/>
  </r>
  <r>
    <x v="0"/>
    <x v="0"/>
    <x v="5"/>
    <x v="187"/>
    <n v="2047.77"/>
    <n v="169"/>
    <n v="12.11698224852071"/>
    <x v="5"/>
    <s v="Q2"/>
    <s v="Large"/>
  </r>
  <r>
    <x v="8"/>
    <x v="5"/>
    <x v="14"/>
    <x v="264"/>
    <n v="4692.3599999999997"/>
    <n v="1"/>
    <n v="4692.3599999999997"/>
    <x v="6"/>
    <s v="Q1"/>
    <s v="Large"/>
  </r>
  <r>
    <x v="5"/>
    <x v="1"/>
    <x v="10"/>
    <x v="329"/>
    <n v="7302.42"/>
    <n v="153"/>
    <n v="47.728235294117646"/>
    <x v="5"/>
    <s v="Q2"/>
    <s v="Large"/>
  </r>
  <r>
    <x v="9"/>
    <x v="5"/>
    <x v="3"/>
    <x v="307"/>
    <n v="2056.92"/>
    <n v="103"/>
    <n v="19.97009708737864"/>
    <x v="6"/>
    <s v="Q1"/>
    <s v="Large"/>
  </r>
  <r>
    <x v="9"/>
    <x v="1"/>
    <x v="8"/>
    <x v="245"/>
    <n v="11032.79"/>
    <n v="49"/>
    <n v="225.15897959183675"/>
    <x v="3"/>
    <s v="Q2"/>
    <s v="Large"/>
  </r>
  <r>
    <x v="7"/>
    <x v="2"/>
    <x v="17"/>
    <x v="246"/>
    <n v="7773.64"/>
    <n v="247"/>
    <n v="31.472226720647775"/>
    <x v="0"/>
    <s v="Q1"/>
    <s v="Large"/>
  </r>
  <r>
    <x v="10"/>
    <x v="0"/>
    <x v="6"/>
    <x v="249"/>
    <n v="3843.01"/>
    <n v="295"/>
    <n v="13.027152542372882"/>
    <x v="3"/>
    <s v="Q2"/>
    <s v="Large"/>
  </r>
  <r>
    <x v="16"/>
    <x v="2"/>
    <x v="6"/>
    <x v="241"/>
    <n v="9163.7900000000009"/>
    <n v="81"/>
    <n v="113.13320987654322"/>
    <x v="1"/>
    <s v="Q3"/>
    <s v="Large"/>
  </r>
  <r>
    <x v="2"/>
    <x v="2"/>
    <x v="8"/>
    <x v="245"/>
    <n v="7628.59"/>
    <n v="146"/>
    <n v="52.250616438356168"/>
    <x v="3"/>
    <s v="Q2"/>
    <s v="Large"/>
  </r>
  <r>
    <x v="4"/>
    <x v="1"/>
    <x v="9"/>
    <x v="297"/>
    <n v="18220.59"/>
    <n v="139"/>
    <n v="131.08338129496403"/>
    <x v="2"/>
    <s v="Q3"/>
    <s v="Large"/>
  </r>
  <r>
    <x v="1"/>
    <x v="3"/>
    <x v="19"/>
    <x v="295"/>
    <n v="9828.94"/>
    <n v="24"/>
    <n v="409.53916666666669"/>
    <x v="6"/>
    <s v="Q1"/>
    <s v="Large"/>
  </r>
  <r>
    <x v="15"/>
    <x v="1"/>
    <x v="2"/>
    <x v="290"/>
    <n v="4726.6499999999996"/>
    <n v="5"/>
    <n v="945.32999999999993"/>
    <x v="7"/>
    <s v="Q2"/>
    <s v="Large"/>
  </r>
  <r>
    <x v="19"/>
    <x v="2"/>
    <x v="19"/>
    <x v="313"/>
    <n v="344.82"/>
    <n v="118"/>
    <n v="2.9222033898305084"/>
    <x v="1"/>
    <s v="Q3"/>
    <s v="Small"/>
  </r>
  <r>
    <x v="22"/>
    <x v="5"/>
    <x v="18"/>
    <x v="332"/>
    <n v="3451.24"/>
    <n v="283"/>
    <n v="12.195194346289751"/>
    <x v="2"/>
    <s v="Q3"/>
    <s v="Large"/>
  </r>
  <r>
    <x v="6"/>
    <x v="1"/>
    <x v="21"/>
    <x v="217"/>
    <n v="5071.49"/>
    <n v="439"/>
    <n v="11.552369020501139"/>
    <x v="3"/>
    <s v="Q2"/>
    <s v="Large"/>
  </r>
  <r>
    <x v="0"/>
    <x v="5"/>
    <x v="14"/>
    <x v="174"/>
    <n v="4719.38"/>
    <n v="132"/>
    <n v="35.752878787878785"/>
    <x v="0"/>
    <s v="Q1"/>
    <s v="Large"/>
  </r>
  <r>
    <x v="19"/>
    <x v="2"/>
    <x v="16"/>
    <x v="259"/>
    <n v="3430.58"/>
    <n v="174"/>
    <n v="19.715977011494253"/>
    <x v="3"/>
    <s v="Q2"/>
    <s v="Large"/>
  </r>
  <r>
    <x v="23"/>
    <x v="5"/>
    <x v="5"/>
    <x v="322"/>
    <n v="268.3"/>
    <n v="239"/>
    <n v="1.1225941422594143"/>
    <x v="0"/>
    <s v="Q1"/>
    <s v="Small"/>
  </r>
  <r>
    <x v="10"/>
    <x v="4"/>
    <x v="8"/>
    <x v="256"/>
    <n v="991.46"/>
    <n v="133"/>
    <n v="7.4545864661654138"/>
    <x v="1"/>
    <s v="Q3"/>
    <s v="Large"/>
  </r>
  <r>
    <x v="10"/>
    <x v="5"/>
    <x v="13"/>
    <x v="202"/>
    <n v="213.45"/>
    <n v="17"/>
    <n v="12.555882352941175"/>
    <x v="5"/>
    <s v="Q2"/>
    <s v="Small"/>
  </r>
  <r>
    <x v="5"/>
    <x v="4"/>
    <x v="1"/>
    <x v="198"/>
    <n v="7586.38"/>
    <n v="131"/>
    <n v="57.911297709923666"/>
    <x v="5"/>
    <s v="Q2"/>
    <s v="Large"/>
  </r>
  <r>
    <x v="23"/>
    <x v="3"/>
    <x v="17"/>
    <x v="325"/>
    <n v="6192.19"/>
    <n v="99"/>
    <n v="62.547373737373732"/>
    <x v="4"/>
    <s v="Q1"/>
    <s v="Large"/>
  </r>
  <r>
    <x v="11"/>
    <x v="5"/>
    <x v="20"/>
    <x v="205"/>
    <n v="1510.58"/>
    <n v="602"/>
    <n v="2.5092691029900331"/>
    <x v="4"/>
    <s v="Q1"/>
    <s v="Large"/>
  </r>
  <r>
    <x v="17"/>
    <x v="1"/>
    <x v="10"/>
    <x v="227"/>
    <n v="8693.31"/>
    <n v="209"/>
    <n v="41.594784688995212"/>
    <x v="0"/>
    <s v="Q1"/>
    <s v="Large"/>
  </r>
  <r>
    <x v="21"/>
    <x v="0"/>
    <x v="0"/>
    <x v="214"/>
    <n v="5509.77"/>
    <n v="307"/>
    <n v="17.947133550488601"/>
    <x v="7"/>
    <s v="Q2"/>
    <s v="Large"/>
  </r>
  <r>
    <x v="6"/>
    <x v="4"/>
    <x v="21"/>
    <x v="217"/>
    <n v="1863.2"/>
    <n v="22"/>
    <n v="84.690909090909088"/>
    <x v="3"/>
    <s v="Q2"/>
    <s v="Large"/>
  </r>
  <r>
    <x v="22"/>
    <x v="2"/>
    <x v="4"/>
    <x v="169"/>
    <n v="4822.5"/>
    <n v="159"/>
    <n v="30.330188679245282"/>
    <x v="1"/>
    <s v="Q3"/>
    <s v="Large"/>
  </r>
  <r>
    <x v="9"/>
    <x v="2"/>
    <x v="8"/>
    <x v="206"/>
    <n v="10856.55"/>
    <n v="229"/>
    <n v="47.408515283842789"/>
    <x v="1"/>
    <s v="Q3"/>
    <s v="Large"/>
  </r>
  <r>
    <x v="11"/>
    <x v="1"/>
    <x v="4"/>
    <x v="199"/>
    <n v="11252.11"/>
    <n v="159"/>
    <n v="70.767987421383651"/>
    <x v="2"/>
    <s v="Q3"/>
    <s v="Large"/>
  </r>
  <r>
    <x v="15"/>
    <x v="4"/>
    <x v="13"/>
    <x v="333"/>
    <n v="1387.72"/>
    <n v="27"/>
    <n v="51.397037037037038"/>
    <x v="3"/>
    <s v="Q2"/>
    <s v="Large"/>
  </r>
  <r>
    <x v="20"/>
    <x v="2"/>
    <x v="16"/>
    <x v="189"/>
    <n v="5509.22"/>
    <n v="341"/>
    <n v="16.156070381231672"/>
    <x v="7"/>
    <s v="Q2"/>
    <s v="Large"/>
  </r>
  <r>
    <x v="24"/>
    <x v="4"/>
    <x v="11"/>
    <x v="297"/>
    <n v="2444.25"/>
    <n v="155"/>
    <n v="15.769354838709678"/>
    <x v="2"/>
    <s v="Q3"/>
    <s v="Large"/>
  </r>
  <r>
    <x v="3"/>
    <x v="0"/>
    <x v="20"/>
    <x v="241"/>
    <n v="3175.62"/>
    <n v="507"/>
    <n v="6.2635502958579883"/>
    <x v="1"/>
    <s v="Q3"/>
    <s v="Large"/>
  </r>
  <r>
    <x v="6"/>
    <x v="3"/>
    <x v="21"/>
    <x v="194"/>
    <n v="7900.42"/>
    <n v="143"/>
    <n v="55.247692307692311"/>
    <x v="5"/>
    <s v="Q2"/>
    <s v="Large"/>
  </r>
  <r>
    <x v="4"/>
    <x v="1"/>
    <x v="1"/>
    <x v="193"/>
    <n v="9072.4599999999991"/>
    <n v="142"/>
    <n v="63.890563380281684"/>
    <x v="2"/>
    <s v="Q3"/>
    <s v="Large"/>
  </r>
  <r>
    <x v="16"/>
    <x v="3"/>
    <x v="3"/>
    <x v="245"/>
    <n v="8.06"/>
    <n v="513"/>
    <n v="1.5711500974658871E-2"/>
    <x v="3"/>
    <s v="Q2"/>
    <s v="Small"/>
  </r>
  <r>
    <x v="2"/>
    <x v="2"/>
    <x v="21"/>
    <x v="229"/>
    <n v="1548.54"/>
    <n v="104"/>
    <n v="14.889807692307691"/>
    <x v="1"/>
    <s v="Q3"/>
    <s v="Large"/>
  </r>
  <r>
    <x v="3"/>
    <x v="0"/>
    <x v="6"/>
    <x v="257"/>
    <n v="5501.67"/>
    <n v="298"/>
    <n v="18.461979865771813"/>
    <x v="0"/>
    <s v="Q1"/>
    <s v="Large"/>
  </r>
  <r>
    <x v="5"/>
    <x v="5"/>
    <x v="14"/>
    <x v="323"/>
    <n v="7685.42"/>
    <n v="15"/>
    <n v="512.36133333333339"/>
    <x v="1"/>
    <s v="Q3"/>
    <s v="Large"/>
  </r>
  <r>
    <x v="0"/>
    <x v="2"/>
    <x v="12"/>
    <x v="178"/>
    <n v="5147.7700000000004"/>
    <n v="402"/>
    <n v="12.805398009950251"/>
    <x v="0"/>
    <s v="Q1"/>
    <s v="Large"/>
  </r>
  <r>
    <x v="15"/>
    <x v="0"/>
    <x v="19"/>
    <x v="262"/>
    <n v="3070.43"/>
    <n v="143"/>
    <n v="21.471538461538461"/>
    <x v="3"/>
    <s v="Q2"/>
    <s v="Large"/>
  </r>
  <r>
    <x v="7"/>
    <x v="3"/>
    <x v="5"/>
    <x v="170"/>
    <n v="1127.5"/>
    <n v="88"/>
    <n v="12.8125"/>
    <x v="2"/>
    <s v="Q3"/>
    <s v="Large"/>
  </r>
  <r>
    <x v="22"/>
    <x v="3"/>
    <x v="0"/>
    <x v="222"/>
    <n v="8502.77"/>
    <n v="4"/>
    <n v="2125.6925000000001"/>
    <x v="6"/>
    <s v="Q1"/>
    <s v="Large"/>
  </r>
  <r>
    <x v="22"/>
    <x v="0"/>
    <x v="21"/>
    <x v="185"/>
    <n v="5961.02"/>
    <n v="241"/>
    <n v="24.734522821576764"/>
    <x v="4"/>
    <s v="Q1"/>
    <s v="Large"/>
  </r>
  <r>
    <x v="8"/>
    <x v="2"/>
    <x v="10"/>
    <x v="269"/>
    <n v="2478.33"/>
    <n v="33"/>
    <n v="75.100909090909084"/>
    <x v="0"/>
    <s v="Q1"/>
    <s v="Large"/>
  </r>
  <r>
    <x v="12"/>
    <x v="3"/>
    <x v="9"/>
    <x v="257"/>
    <n v="1269.56"/>
    <n v="497"/>
    <n v="2.5544466800804826"/>
    <x v="0"/>
    <s v="Q1"/>
    <s v="Large"/>
  </r>
  <r>
    <x v="12"/>
    <x v="1"/>
    <x v="8"/>
    <x v="301"/>
    <n v="11130.52"/>
    <n v="144"/>
    <n v="77.295277777777784"/>
    <x v="5"/>
    <s v="Q2"/>
    <s v="Large"/>
  </r>
  <r>
    <x v="19"/>
    <x v="1"/>
    <x v="8"/>
    <x v="213"/>
    <n v="2455.09"/>
    <n v="83"/>
    <n v="29.579397590361449"/>
    <x v="7"/>
    <s v="Q2"/>
    <s v="Large"/>
  </r>
  <r>
    <x v="2"/>
    <x v="0"/>
    <x v="1"/>
    <x v="298"/>
    <n v="12764.94"/>
    <n v="100"/>
    <n v="127.6494"/>
    <x v="5"/>
    <s v="Q2"/>
    <s v="Large"/>
  </r>
  <r>
    <x v="13"/>
    <x v="0"/>
    <x v="17"/>
    <x v="250"/>
    <n v="13351.42"/>
    <n v="198"/>
    <n v="67.431414141414137"/>
    <x v="0"/>
    <s v="Q1"/>
    <s v="Large"/>
  </r>
  <r>
    <x v="23"/>
    <x v="0"/>
    <x v="0"/>
    <x v="334"/>
    <n v="2763.22"/>
    <n v="223"/>
    <n v="12.391121076233183"/>
    <x v="2"/>
    <s v="Q3"/>
    <s v="Large"/>
  </r>
  <r>
    <x v="8"/>
    <x v="5"/>
    <x v="9"/>
    <x v="326"/>
    <n v="6523.34"/>
    <n v="245"/>
    <n v="26.625877551020409"/>
    <x v="3"/>
    <s v="Q2"/>
    <s v="Large"/>
  </r>
  <r>
    <x v="4"/>
    <x v="4"/>
    <x v="11"/>
    <x v="275"/>
    <n v="1868.25"/>
    <n v="82"/>
    <n v="22.783536585365855"/>
    <x v="5"/>
    <s v="Q2"/>
    <s v="Large"/>
  </r>
  <r>
    <x v="4"/>
    <x v="0"/>
    <x v="7"/>
    <x v="203"/>
    <n v="8431.83"/>
    <n v="251"/>
    <n v="33.592948207171311"/>
    <x v="3"/>
    <s v="Q2"/>
    <s v="Large"/>
  </r>
  <r>
    <x v="14"/>
    <x v="5"/>
    <x v="2"/>
    <x v="201"/>
    <n v="5646.99"/>
    <n v="64"/>
    <n v="88.234218749999997"/>
    <x v="7"/>
    <s v="Q2"/>
    <s v="Large"/>
  </r>
  <r>
    <x v="2"/>
    <x v="1"/>
    <x v="14"/>
    <x v="268"/>
    <n v="1484.67"/>
    <n v="180"/>
    <n v="8.2481666666666662"/>
    <x v="3"/>
    <s v="Q2"/>
    <s v="Large"/>
  </r>
  <r>
    <x v="15"/>
    <x v="5"/>
    <x v="18"/>
    <x v="256"/>
    <n v="3859.95"/>
    <n v="395"/>
    <n v="9.7720253164556965"/>
    <x v="1"/>
    <s v="Q3"/>
    <s v="Large"/>
  </r>
  <r>
    <x v="18"/>
    <x v="1"/>
    <x v="18"/>
    <x v="206"/>
    <n v="3237.3"/>
    <n v="227"/>
    <n v="14.261233480176212"/>
    <x v="1"/>
    <s v="Q3"/>
    <s v="Large"/>
  </r>
  <r>
    <x v="18"/>
    <x v="3"/>
    <x v="19"/>
    <x v="287"/>
    <n v="4072.43"/>
    <n v="64"/>
    <n v="63.631718749999997"/>
    <x v="3"/>
    <s v="Q2"/>
    <s v="Large"/>
  </r>
  <r>
    <x v="16"/>
    <x v="0"/>
    <x v="18"/>
    <x v="181"/>
    <n v="8054.87"/>
    <n v="118"/>
    <n v="68.261610169491519"/>
    <x v="1"/>
    <s v="Q3"/>
    <s v="Large"/>
  </r>
  <r>
    <x v="17"/>
    <x v="3"/>
    <x v="10"/>
    <x v="168"/>
    <n v="420.3"/>
    <n v="224"/>
    <n v="1.8763392857142858"/>
    <x v="0"/>
    <s v="Q1"/>
    <s v="Small"/>
  </r>
  <r>
    <x v="20"/>
    <x v="5"/>
    <x v="5"/>
    <x v="178"/>
    <n v="17073.990000000002"/>
    <n v="218"/>
    <n v="78.32105504587156"/>
    <x v="0"/>
    <s v="Q1"/>
    <s v="Large"/>
  </r>
  <r>
    <x v="1"/>
    <x v="2"/>
    <x v="19"/>
    <x v="197"/>
    <n v="13624.31"/>
    <n v="33"/>
    <n v="412.85787878787875"/>
    <x v="7"/>
    <s v="Q2"/>
    <s v="Large"/>
  </r>
  <r>
    <x v="15"/>
    <x v="3"/>
    <x v="2"/>
    <x v="185"/>
    <n v="2318.46"/>
    <n v="235"/>
    <n v="9.8657872340425534"/>
    <x v="4"/>
    <s v="Q1"/>
    <s v="Large"/>
  </r>
  <r>
    <x v="16"/>
    <x v="0"/>
    <x v="20"/>
    <x v="266"/>
    <n v="10740.05"/>
    <n v="67"/>
    <n v="160.29925373134327"/>
    <x v="7"/>
    <s v="Q2"/>
    <s v="Large"/>
  </r>
  <r>
    <x v="0"/>
    <x v="0"/>
    <x v="9"/>
    <x v="320"/>
    <n v="7624.67"/>
    <n v="422"/>
    <n v="18.067938388625592"/>
    <x v="4"/>
    <s v="Q1"/>
    <s v="Large"/>
  </r>
  <r>
    <x v="12"/>
    <x v="1"/>
    <x v="15"/>
    <x v="309"/>
    <n v="10168.32"/>
    <n v="159"/>
    <n v="63.951698113207549"/>
    <x v="7"/>
    <s v="Q2"/>
    <s v="Large"/>
  </r>
  <r>
    <x v="5"/>
    <x v="0"/>
    <x v="18"/>
    <x v="198"/>
    <n v="6635.15"/>
    <n v="141"/>
    <n v="47.057801418439716"/>
    <x v="5"/>
    <s v="Q2"/>
    <s v="Large"/>
  </r>
  <r>
    <x v="5"/>
    <x v="0"/>
    <x v="3"/>
    <x v="295"/>
    <n v="860.12"/>
    <n v="158"/>
    <n v="5.4437974683544308"/>
    <x v="6"/>
    <s v="Q1"/>
    <s v="Large"/>
  </r>
  <r>
    <x v="21"/>
    <x v="5"/>
    <x v="7"/>
    <x v="188"/>
    <n v="8671.2099999999991"/>
    <n v="52"/>
    <n v="166.75403846153844"/>
    <x v="4"/>
    <s v="Q1"/>
    <s v="Large"/>
  </r>
  <r>
    <x v="0"/>
    <x v="0"/>
    <x v="1"/>
    <x v="170"/>
    <n v="5534.11"/>
    <n v="63"/>
    <n v="87.843015873015872"/>
    <x v="2"/>
    <s v="Q3"/>
    <s v="Large"/>
  </r>
  <r>
    <x v="4"/>
    <x v="0"/>
    <x v="21"/>
    <x v="251"/>
    <n v="6800.26"/>
    <n v="187"/>
    <n v="36.365026737967916"/>
    <x v="6"/>
    <s v="Q1"/>
    <s v="Large"/>
  </r>
  <r>
    <x v="20"/>
    <x v="0"/>
    <x v="4"/>
    <x v="321"/>
    <n v="3927.83"/>
    <n v="123"/>
    <n v="31.933577235772358"/>
    <x v="1"/>
    <s v="Q3"/>
    <s v="Large"/>
  </r>
  <r>
    <x v="2"/>
    <x v="3"/>
    <x v="5"/>
    <x v="272"/>
    <n v="5833.8"/>
    <n v="196"/>
    <n v="29.764285714285716"/>
    <x v="0"/>
    <s v="Q1"/>
    <s v="Large"/>
  </r>
  <r>
    <x v="4"/>
    <x v="2"/>
    <x v="6"/>
    <x v="309"/>
    <n v="733.08"/>
    <n v="147"/>
    <n v="4.9869387755102039"/>
    <x v="7"/>
    <s v="Q2"/>
    <s v="Large"/>
  </r>
  <r>
    <x v="4"/>
    <x v="5"/>
    <x v="6"/>
    <x v="300"/>
    <n v="7164.51"/>
    <n v="140"/>
    <n v="51.175071428571428"/>
    <x v="5"/>
    <s v="Q2"/>
    <s v="Large"/>
  </r>
  <r>
    <x v="8"/>
    <x v="4"/>
    <x v="14"/>
    <x v="308"/>
    <n v="7900.52"/>
    <n v="175"/>
    <n v="45.145828571428574"/>
    <x v="7"/>
    <s v="Q2"/>
    <s v="Large"/>
  </r>
  <r>
    <x v="7"/>
    <x v="3"/>
    <x v="4"/>
    <x v="280"/>
    <n v="3550.76"/>
    <n v="85"/>
    <n v="41.773647058823535"/>
    <x v="6"/>
    <s v="Q1"/>
    <s v="Large"/>
  </r>
  <r>
    <x v="14"/>
    <x v="2"/>
    <x v="20"/>
    <x v="183"/>
    <n v="10281.51"/>
    <n v="136"/>
    <n v="75.599338235294113"/>
    <x v="4"/>
    <s v="Q1"/>
    <s v="Large"/>
  </r>
  <r>
    <x v="14"/>
    <x v="3"/>
    <x v="1"/>
    <x v="233"/>
    <n v="5936.81"/>
    <n v="180"/>
    <n v="32.982277777777782"/>
    <x v="7"/>
    <s v="Q2"/>
    <s v="Large"/>
  </r>
  <r>
    <x v="8"/>
    <x v="3"/>
    <x v="3"/>
    <x v="174"/>
    <n v="4552.1499999999996"/>
    <n v="172"/>
    <n v="26.465988372093022"/>
    <x v="0"/>
    <s v="Q1"/>
    <s v="Large"/>
  </r>
  <r>
    <x v="24"/>
    <x v="0"/>
    <x v="1"/>
    <x v="212"/>
    <n v="15944.86"/>
    <n v="11"/>
    <n v="1449.5327272727272"/>
    <x v="5"/>
    <s v="Q2"/>
    <s v="Large"/>
  </r>
  <r>
    <x v="17"/>
    <x v="2"/>
    <x v="9"/>
    <x v="225"/>
    <n v="7722.58"/>
    <n v="188"/>
    <n v="41.077553191489365"/>
    <x v="2"/>
    <s v="Q3"/>
    <s v="Large"/>
  </r>
  <r>
    <x v="13"/>
    <x v="4"/>
    <x v="11"/>
    <x v="213"/>
    <n v="3105.38"/>
    <n v="268"/>
    <n v="11.58723880597015"/>
    <x v="7"/>
    <s v="Q2"/>
    <s v="Large"/>
  </r>
  <r>
    <x v="3"/>
    <x v="1"/>
    <x v="5"/>
    <x v="190"/>
    <n v="6994.35"/>
    <n v="179"/>
    <n v="39.074581005586595"/>
    <x v="6"/>
    <s v="Q1"/>
    <s v="Large"/>
  </r>
  <r>
    <x v="5"/>
    <x v="4"/>
    <x v="5"/>
    <x v="256"/>
    <n v="4264.49"/>
    <n v="252"/>
    <n v="16.922579365079365"/>
    <x v="1"/>
    <s v="Q3"/>
    <s v="Large"/>
  </r>
  <r>
    <x v="24"/>
    <x v="1"/>
    <x v="7"/>
    <x v="185"/>
    <n v="1215.3"/>
    <n v="271"/>
    <n v="4.4845018450184497"/>
    <x v="4"/>
    <s v="Q1"/>
    <s v="Large"/>
  </r>
  <r>
    <x v="9"/>
    <x v="0"/>
    <x v="15"/>
    <x v="194"/>
    <n v="8519.3700000000008"/>
    <n v="45"/>
    <n v="189.31933333333336"/>
    <x v="5"/>
    <s v="Q2"/>
    <s v="Large"/>
  </r>
  <r>
    <x v="8"/>
    <x v="2"/>
    <x v="17"/>
    <x v="216"/>
    <n v="9810.9500000000007"/>
    <n v="105"/>
    <n v="93.437619047619052"/>
    <x v="7"/>
    <s v="Q2"/>
    <s v="Large"/>
  </r>
  <r>
    <x v="18"/>
    <x v="4"/>
    <x v="9"/>
    <x v="275"/>
    <n v="1065.6300000000001"/>
    <n v="107"/>
    <n v="9.9591588785046739"/>
    <x v="5"/>
    <s v="Q2"/>
    <s v="Large"/>
  </r>
  <r>
    <x v="18"/>
    <x v="1"/>
    <x v="8"/>
    <x v="243"/>
    <n v="3894.68"/>
    <n v="80"/>
    <n v="48.683499999999995"/>
    <x v="4"/>
    <s v="Q1"/>
    <s v="Large"/>
  </r>
  <r>
    <x v="18"/>
    <x v="1"/>
    <x v="5"/>
    <x v="285"/>
    <n v="12194.27"/>
    <n v="252"/>
    <n v="48.389960317460321"/>
    <x v="1"/>
    <s v="Q3"/>
    <s v="Large"/>
  </r>
  <r>
    <x v="20"/>
    <x v="1"/>
    <x v="4"/>
    <x v="212"/>
    <n v="2455.13"/>
    <n v="236"/>
    <n v="10.403093220338983"/>
    <x v="5"/>
    <s v="Q2"/>
    <s v="Large"/>
  </r>
  <r>
    <x v="5"/>
    <x v="5"/>
    <x v="12"/>
    <x v="184"/>
    <n v="14887.76"/>
    <n v="12"/>
    <n v="1240.6466666666668"/>
    <x v="3"/>
    <s v="Q2"/>
    <s v="Large"/>
  </r>
  <r>
    <x v="22"/>
    <x v="5"/>
    <x v="2"/>
    <x v="193"/>
    <n v="15276.46"/>
    <n v="121"/>
    <n v="126.25173553719007"/>
    <x v="2"/>
    <s v="Q3"/>
    <s v="Large"/>
  </r>
  <r>
    <x v="16"/>
    <x v="3"/>
    <x v="8"/>
    <x v="335"/>
    <n v="13520.48"/>
    <n v="47"/>
    <n v="287.66978723404253"/>
    <x v="0"/>
    <s v="Q1"/>
    <s v="Large"/>
  </r>
  <r>
    <x v="24"/>
    <x v="3"/>
    <x v="9"/>
    <x v="185"/>
    <n v="9195.5300000000007"/>
    <n v="127"/>
    <n v="72.405748031496074"/>
    <x v="4"/>
    <s v="Q1"/>
    <s v="Large"/>
  </r>
  <r>
    <x v="14"/>
    <x v="0"/>
    <x v="9"/>
    <x v="265"/>
    <n v="460.98"/>
    <n v="182"/>
    <n v="2.5328571428571429"/>
    <x v="2"/>
    <s v="Q3"/>
    <s v="Small"/>
  </r>
  <r>
    <x v="20"/>
    <x v="1"/>
    <x v="17"/>
    <x v="254"/>
    <n v="8216.56"/>
    <n v="257"/>
    <n v="31.971050583657586"/>
    <x v="5"/>
    <s v="Q2"/>
    <s v="Large"/>
  </r>
  <r>
    <x v="23"/>
    <x v="2"/>
    <x v="18"/>
    <x v="268"/>
    <n v="1863.54"/>
    <n v="277"/>
    <n v="6.727581227436823"/>
    <x v="3"/>
    <s v="Q2"/>
    <s v="Large"/>
  </r>
  <r>
    <x v="16"/>
    <x v="0"/>
    <x v="6"/>
    <x v="252"/>
    <n v="3283"/>
    <n v="72"/>
    <n v="45.597222222222221"/>
    <x v="4"/>
    <s v="Q1"/>
    <s v="Large"/>
  </r>
  <r>
    <x v="13"/>
    <x v="5"/>
    <x v="18"/>
    <x v="197"/>
    <n v="5967.18"/>
    <n v="247"/>
    <n v="24.158623481781376"/>
    <x v="7"/>
    <s v="Q2"/>
    <s v="Large"/>
  </r>
  <r>
    <x v="24"/>
    <x v="1"/>
    <x v="6"/>
    <x v="203"/>
    <n v="12083.5"/>
    <n v="334"/>
    <n v="36.178143712574851"/>
    <x v="3"/>
    <s v="Q2"/>
    <s v="Large"/>
  </r>
  <r>
    <x v="4"/>
    <x v="5"/>
    <x v="2"/>
    <x v="244"/>
    <n v="12397.06"/>
    <n v="179"/>
    <n v="69.257318435754186"/>
    <x v="5"/>
    <s v="Q2"/>
    <s v="Large"/>
  </r>
  <r>
    <x v="4"/>
    <x v="0"/>
    <x v="14"/>
    <x v="187"/>
    <n v="1746.01"/>
    <n v="280"/>
    <n v="6.2357500000000003"/>
    <x v="5"/>
    <s v="Q2"/>
    <s v="Large"/>
  </r>
  <r>
    <x v="8"/>
    <x v="1"/>
    <x v="5"/>
    <x v="267"/>
    <n v="9021.65"/>
    <n v="104"/>
    <n v="86.746634615384608"/>
    <x v="2"/>
    <s v="Q3"/>
    <s v="Large"/>
  </r>
  <r>
    <x v="18"/>
    <x v="5"/>
    <x v="3"/>
    <x v="202"/>
    <n v="5263.45"/>
    <n v="165"/>
    <n v="31.899696969696969"/>
    <x v="5"/>
    <s v="Q2"/>
    <s v="Large"/>
  </r>
  <r>
    <x v="7"/>
    <x v="1"/>
    <x v="0"/>
    <x v="182"/>
    <n v="15473"/>
    <n v="91"/>
    <n v="170.03296703296704"/>
    <x v="0"/>
    <s v="Q1"/>
    <s v="Large"/>
  </r>
  <r>
    <x v="7"/>
    <x v="5"/>
    <x v="4"/>
    <x v="220"/>
    <n v="5566.57"/>
    <n v="140"/>
    <n v="39.761214285714281"/>
    <x v="6"/>
    <s v="Q1"/>
    <s v="Large"/>
  </r>
  <r>
    <x v="1"/>
    <x v="2"/>
    <x v="21"/>
    <x v="221"/>
    <n v="8111.43"/>
    <n v="111"/>
    <n v="73.075945945945946"/>
    <x v="0"/>
    <s v="Q1"/>
    <s v="Large"/>
  </r>
  <r>
    <x v="12"/>
    <x v="4"/>
    <x v="21"/>
    <x v="187"/>
    <n v="2341.8000000000002"/>
    <n v="117"/>
    <n v="20.015384615384615"/>
    <x v="5"/>
    <s v="Q2"/>
    <s v="Large"/>
  </r>
  <r>
    <x v="8"/>
    <x v="5"/>
    <x v="7"/>
    <x v="198"/>
    <n v="8650.42"/>
    <n v="19"/>
    <n v="455.28526315789475"/>
    <x v="5"/>
    <s v="Q2"/>
    <s v="Large"/>
  </r>
  <r>
    <x v="13"/>
    <x v="2"/>
    <x v="1"/>
    <x v="219"/>
    <n v="4444.72"/>
    <n v="77"/>
    <n v="57.723636363636366"/>
    <x v="2"/>
    <s v="Q3"/>
    <s v="Large"/>
  </r>
  <r>
    <x v="4"/>
    <x v="1"/>
    <x v="12"/>
    <x v="186"/>
    <n v="12531.37"/>
    <n v="86"/>
    <n v="145.7136046511628"/>
    <x v="5"/>
    <s v="Q2"/>
    <s v="Large"/>
  </r>
  <r>
    <x v="3"/>
    <x v="0"/>
    <x v="15"/>
    <x v="229"/>
    <n v="3558.89"/>
    <n v="231"/>
    <n v="15.406450216450216"/>
    <x v="1"/>
    <s v="Q3"/>
    <s v="Large"/>
  </r>
  <r>
    <x v="16"/>
    <x v="2"/>
    <x v="5"/>
    <x v="238"/>
    <n v="7889.9"/>
    <n v="300"/>
    <n v="26.299666666666667"/>
    <x v="3"/>
    <s v="Q2"/>
    <s v="Large"/>
  </r>
  <r>
    <x v="18"/>
    <x v="5"/>
    <x v="13"/>
    <x v="283"/>
    <n v="3589.18"/>
    <n v="176"/>
    <n v="20.39306818181818"/>
    <x v="1"/>
    <s v="Q3"/>
    <s v="Large"/>
  </r>
  <r>
    <x v="18"/>
    <x v="0"/>
    <x v="11"/>
    <x v="224"/>
    <n v="305.39"/>
    <n v="62"/>
    <n v="4.9256451612903227"/>
    <x v="1"/>
    <s v="Q3"/>
    <s v="Small"/>
  </r>
  <r>
    <x v="4"/>
    <x v="5"/>
    <x v="13"/>
    <x v="270"/>
    <n v="1896.64"/>
    <n v="161"/>
    <n v="11.780372670807454"/>
    <x v="0"/>
    <s v="Q1"/>
    <s v="Large"/>
  </r>
  <r>
    <x v="17"/>
    <x v="4"/>
    <x v="19"/>
    <x v="323"/>
    <n v="18494.72"/>
    <n v="298"/>
    <n v="62.062818791946313"/>
    <x v="1"/>
    <s v="Q3"/>
    <s v="Large"/>
  </r>
  <r>
    <x v="22"/>
    <x v="4"/>
    <x v="16"/>
    <x v="274"/>
    <n v="11103.47"/>
    <n v="24"/>
    <n v="462.64458333333329"/>
    <x v="7"/>
    <s v="Q2"/>
    <s v="Large"/>
  </r>
  <r>
    <x v="1"/>
    <x v="3"/>
    <x v="6"/>
    <x v="204"/>
    <n v="4162.28"/>
    <n v="11"/>
    <n v="378.3890909090909"/>
    <x v="2"/>
    <s v="Q3"/>
    <s v="Large"/>
  </r>
  <r>
    <x v="10"/>
    <x v="5"/>
    <x v="20"/>
    <x v="220"/>
    <n v="3357.3"/>
    <n v="308"/>
    <n v="10.900324675324676"/>
    <x v="6"/>
    <s v="Q1"/>
    <s v="Large"/>
  </r>
  <r>
    <x v="22"/>
    <x v="2"/>
    <x v="17"/>
    <x v="225"/>
    <n v="7033.52"/>
    <n v="94"/>
    <n v="74.824680851063832"/>
    <x v="2"/>
    <s v="Q3"/>
    <s v="Large"/>
  </r>
  <r>
    <x v="7"/>
    <x v="0"/>
    <x v="12"/>
    <x v="181"/>
    <n v="9896.7999999999993"/>
    <n v="143"/>
    <n v="69.208391608391608"/>
    <x v="1"/>
    <s v="Q3"/>
    <s v="Large"/>
  </r>
  <r>
    <x v="14"/>
    <x v="0"/>
    <x v="2"/>
    <x v="330"/>
    <n v="15653.44"/>
    <n v="175"/>
    <n v="89.448228571428572"/>
    <x v="6"/>
    <s v="Q1"/>
    <s v="Large"/>
  </r>
  <r>
    <x v="20"/>
    <x v="3"/>
    <x v="14"/>
    <x v="268"/>
    <n v="7899.31"/>
    <n v="148"/>
    <n v="53.373716216216216"/>
    <x v="3"/>
    <s v="Q2"/>
    <s v="Large"/>
  </r>
  <r>
    <x v="12"/>
    <x v="5"/>
    <x v="13"/>
    <x v="183"/>
    <n v="10644.74"/>
    <n v="172"/>
    <n v="61.888023255813955"/>
    <x v="4"/>
    <s v="Q1"/>
    <s v="Large"/>
  </r>
  <r>
    <x v="9"/>
    <x v="1"/>
    <x v="14"/>
    <x v="236"/>
    <n v="872.83"/>
    <n v="224"/>
    <n v="3.8965625000000004"/>
    <x v="2"/>
    <s v="Q3"/>
    <s v="Large"/>
  </r>
  <r>
    <x v="6"/>
    <x v="0"/>
    <x v="9"/>
    <x v="227"/>
    <n v="6337.94"/>
    <n v="128"/>
    <n v="49.515156249999997"/>
    <x v="0"/>
    <s v="Q1"/>
    <s v="Large"/>
  </r>
  <r>
    <x v="0"/>
    <x v="1"/>
    <x v="2"/>
    <x v="217"/>
    <n v="31.15"/>
    <n v="451"/>
    <n v="6.9068736141906867E-2"/>
    <x v="3"/>
    <s v="Q2"/>
    <s v="Small"/>
  </r>
  <r>
    <x v="4"/>
    <x v="4"/>
    <x v="16"/>
    <x v="201"/>
    <n v="7107.55"/>
    <n v="142"/>
    <n v="50.05316901408451"/>
    <x v="7"/>
    <s v="Q2"/>
    <s v="Large"/>
  </r>
  <r>
    <x v="15"/>
    <x v="1"/>
    <x v="8"/>
    <x v="192"/>
    <n v="5465.85"/>
    <n v="56"/>
    <n v="97.604464285714286"/>
    <x v="4"/>
    <s v="Q1"/>
    <s v="Large"/>
  </r>
  <r>
    <x v="6"/>
    <x v="0"/>
    <x v="12"/>
    <x v="231"/>
    <n v="2462.14"/>
    <n v="60"/>
    <n v="41.035666666666664"/>
    <x v="7"/>
    <s v="Q2"/>
    <s v="Large"/>
  </r>
  <r>
    <x v="4"/>
    <x v="2"/>
    <x v="15"/>
    <x v="182"/>
    <n v="4194.4399999999996"/>
    <n v="80"/>
    <n v="52.430499999999995"/>
    <x v="0"/>
    <s v="Q1"/>
    <s v="Large"/>
  </r>
  <r>
    <x v="12"/>
    <x v="1"/>
    <x v="14"/>
    <x v="177"/>
    <n v="1994.44"/>
    <n v="299"/>
    <n v="6.6703678929765884"/>
    <x v="2"/>
    <s v="Q3"/>
    <s v="Large"/>
  </r>
  <r>
    <x v="24"/>
    <x v="1"/>
    <x v="16"/>
    <x v="268"/>
    <n v="12124.05"/>
    <n v="80"/>
    <n v="151.550625"/>
    <x v="3"/>
    <s v="Q2"/>
    <s v="Large"/>
  </r>
  <r>
    <x v="2"/>
    <x v="2"/>
    <x v="3"/>
    <x v="174"/>
    <n v="5884.09"/>
    <n v="117"/>
    <n v="50.291367521367519"/>
    <x v="0"/>
    <s v="Q1"/>
    <s v="Large"/>
  </r>
  <r>
    <x v="21"/>
    <x v="4"/>
    <x v="1"/>
    <x v="259"/>
    <n v="2639.16"/>
    <n v="80"/>
    <n v="32.9895"/>
    <x v="3"/>
    <s v="Q2"/>
    <s v="Large"/>
  </r>
  <r>
    <x v="21"/>
    <x v="4"/>
    <x v="8"/>
    <x v="207"/>
    <n v="5031.3999999999996"/>
    <n v="401"/>
    <n v="12.547132169576059"/>
    <x v="5"/>
    <s v="Q2"/>
    <s v="Large"/>
  </r>
  <r>
    <x v="22"/>
    <x v="3"/>
    <x v="14"/>
    <x v="206"/>
    <n v="11510.71"/>
    <n v="56"/>
    <n v="205.54839285714283"/>
    <x v="1"/>
    <s v="Q3"/>
    <s v="Large"/>
  </r>
  <r>
    <x v="1"/>
    <x v="1"/>
    <x v="5"/>
    <x v="187"/>
    <n v="15021.98"/>
    <n v="211"/>
    <n v="71.194218009478675"/>
    <x v="5"/>
    <s v="Q2"/>
    <s v="Large"/>
  </r>
  <r>
    <x v="15"/>
    <x v="1"/>
    <x v="7"/>
    <x v="198"/>
    <n v="4517.1899999999996"/>
    <n v="40"/>
    <n v="112.92974999999998"/>
    <x v="5"/>
    <s v="Q2"/>
    <s v="Large"/>
  </r>
  <r>
    <x v="0"/>
    <x v="1"/>
    <x v="16"/>
    <x v="296"/>
    <n v="10778.53"/>
    <n v="99"/>
    <n v="108.87404040404041"/>
    <x v="1"/>
    <s v="Q3"/>
    <s v="Large"/>
  </r>
  <r>
    <x v="10"/>
    <x v="2"/>
    <x v="17"/>
    <x v="230"/>
    <n v="1145.72"/>
    <n v="60"/>
    <n v="19.095333333333333"/>
    <x v="1"/>
    <s v="Q3"/>
    <s v="Large"/>
  </r>
  <r>
    <x v="21"/>
    <x v="3"/>
    <x v="4"/>
    <x v="224"/>
    <n v="2518.5"/>
    <n v="45"/>
    <n v="55.966666666666669"/>
    <x v="1"/>
    <s v="Q3"/>
    <s v="Large"/>
  </r>
  <r>
    <x v="2"/>
    <x v="2"/>
    <x v="7"/>
    <x v="255"/>
    <n v="596.63"/>
    <n v="158"/>
    <n v="3.7761392405063292"/>
    <x v="6"/>
    <s v="Q1"/>
    <s v="Large"/>
  </r>
  <r>
    <x v="20"/>
    <x v="0"/>
    <x v="9"/>
    <x v="176"/>
    <n v="1858.71"/>
    <n v="24"/>
    <n v="77.446250000000006"/>
    <x v="3"/>
    <s v="Q2"/>
    <s v="Large"/>
  </r>
  <r>
    <x v="9"/>
    <x v="5"/>
    <x v="20"/>
    <x v="207"/>
    <n v="5194.28"/>
    <n v="547"/>
    <n v="9.495941499085923"/>
    <x v="5"/>
    <s v="Q2"/>
    <s v="Large"/>
  </r>
  <r>
    <x v="15"/>
    <x v="2"/>
    <x v="10"/>
    <x v="311"/>
    <n v="960.69"/>
    <n v="155"/>
    <n v="6.1980000000000004"/>
    <x v="4"/>
    <s v="Q1"/>
    <s v="Large"/>
  </r>
  <r>
    <x v="6"/>
    <x v="2"/>
    <x v="14"/>
    <x v="242"/>
    <n v="5347.12"/>
    <n v="23"/>
    <n v="232.48347826086956"/>
    <x v="1"/>
    <s v="Q3"/>
    <s v="Large"/>
  </r>
  <r>
    <x v="23"/>
    <x v="1"/>
    <x v="2"/>
    <x v="185"/>
    <n v="9805.11"/>
    <n v="76"/>
    <n v="129.0146052631579"/>
    <x v="4"/>
    <s v="Q1"/>
    <s v="Large"/>
  </r>
  <r>
    <x v="17"/>
    <x v="0"/>
    <x v="4"/>
    <x v="189"/>
    <n v="13205.42"/>
    <n v="26"/>
    <n v="507.90076923076924"/>
    <x v="7"/>
    <s v="Q2"/>
    <s v="Large"/>
  </r>
  <r>
    <x v="2"/>
    <x v="3"/>
    <x v="6"/>
    <x v="196"/>
    <n v="5929.2"/>
    <n v="65"/>
    <n v="91.21846153846154"/>
    <x v="5"/>
    <s v="Q2"/>
    <s v="Large"/>
  </r>
  <r>
    <x v="2"/>
    <x v="4"/>
    <x v="11"/>
    <x v="254"/>
    <n v="516.91999999999996"/>
    <n v="141"/>
    <n v="3.6660992907801417"/>
    <x v="5"/>
    <s v="Q2"/>
    <s v="Large"/>
  </r>
  <r>
    <x v="6"/>
    <x v="0"/>
    <x v="20"/>
    <x v="240"/>
    <n v="2882.76"/>
    <n v="145"/>
    <n v="19.881103448275862"/>
    <x v="6"/>
    <s v="Q1"/>
    <s v="Large"/>
  </r>
  <r>
    <x v="14"/>
    <x v="3"/>
    <x v="2"/>
    <x v="279"/>
    <n v="1637.72"/>
    <n v="454"/>
    <n v="3.6073127753303966"/>
    <x v="6"/>
    <s v="Q1"/>
    <s v="Large"/>
  </r>
  <r>
    <x v="14"/>
    <x v="3"/>
    <x v="6"/>
    <x v="227"/>
    <n v="10791.46"/>
    <n v="88"/>
    <n v="122.63022727272727"/>
    <x v="0"/>
    <s v="Q1"/>
    <s v="Large"/>
  </r>
  <r>
    <x v="12"/>
    <x v="5"/>
    <x v="9"/>
    <x v="193"/>
    <n v="1093.46"/>
    <n v="115"/>
    <n v="9.5083478260869576"/>
    <x v="2"/>
    <s v="Q3"/>
    <s v="Large"/>
  </r>
  <r>
    <x v="8"/>
    <x v="4"/>
    <x v="20"/>
    <x v="264"/>
    <n v="3407.61"/>
    <n v="316"/>
    <n v="10.783575949367089"/>
    <x v="6"/>
    <s v="Q1"/>
    <s v="Large"/>
  </r>
  <r>
    <x v="9"/>
    <x v="5"/>
    <x v="16"/>
    <x v="233"/>
    <n v="4753.93"/>
    <n v="37"/>
    <n v="128.4845945945946"/>
    <x v="7"/>
    <s v="Q2"/>
    <s v="Large"/>
  </r>
  <r>
    <x v="4"/>
    <x v="4"/>
    <x v="9"/>
    <x v="222"/>
    <n v="8280.6200000000008"/>
    <n v="47"/>
    <n v="176.18340425531918"/>
    <x v="6"/>
    <s v="Q1"/>
    <s v="Large"/>
  </r>
  <r>
    <x v="6"/>
    <x v="3"/>
    <x v="8"/>
    <x v="204"/>
    <n v="4981.78"/>
    <n v="299"/>
    <n v="16.661471571906354"/>
    <x v="2"/>
    <s v="Q3"/>
    <s v="Large"/>
  </r>
  <r>
    <x v="5"/>
    <x v="3"/>
    <x v="18"/>
    <x v="169"/>
    <n v="13998.33"/>
    <n v="60"/>
    <n v="233.30549999999999"/>
    <x v="1"/>
    <s v="Q3"/>
    <s v="Large"/>
  </r>
  <r>
    <x v="5"/>
    <x v="0"/>
    <x v="12"/>
    <x v="185"/>
    <n v="13105.65"/>
    <n v="199"/>
    <n v="65.857537688442207"/>
    <x v="4"/>
    <s v="Q1"/>
    <s v="Large"/>
  </r>
  <r>
    <x v="14"/>
    <x v="4"/>
    <x v="5"/>
    <x v="268"/>
    <n v="15728.81"/>
    <n v="256"/>
    <n v="61.440664062499998"/>
    <x v="3"/>
    <s v="Q2"/>
    <s v="Large"/>
  </r>
  <r>
    <x v="4"/>
    <x v="1"/>
    <x v="18"/>
    <x v="183"/>
    <n v="53.85"/>
    <n v="399"/>
    <n v="0.13496240601503759"/>
    <x v="4"/>
    <s v="Q1"/>
    <s v="Small"/>
  </r>
  <r>
    <x v="24"/>
    <x v="2"/>
    <x v="2"/>
    <x v="190"/>
    <n v="10857.23"/>
    <n v="73"/>
    <n v="148.72917808219177"/>
    <x v="6"/>
    <s v="Q1"/>
    <s v="Large"/>
  </r>
  <r>
    <x v="4"/>
    <x v="2"/>
    <x v="12"/>
    <x v="319"/>
    <n v="12412.53"/>
    <n v="25"/>
    <n v="496.50120000000004"/>
    <x v="3"/>
    <s v="Q2"/>
    <s v="Large"/>
  </r>
  <r>
    <x v="0"/>
    <x v="5"/>
    <x v="15"/>
    <x v="184"/>
    <n v="3669.15"/>
    <n v="209"/>
    <n v="17.555741626794259"/>
    <x v="3"/>
    <s v="Q2"/>
    <s v="Large"/>
  </r>
  <r>
    <x v="21"/>
    <x v="5"/>
    <x v="9"/>
    <x v="318"/>
    <n v="13555.26"/>
    <n v="279"/>
    <n v="48.585161290322581"/>
    <x v="6"/>
    <s v="Q1"/>
    <s v="Large"/>
  </r>
  <r>
    <x v="16"/>
    <x v="4"/>
    <x v="12"/>
    <x v="276"/>
    <n v="2333.84"/>
    <n v="171"/>
    <n v="13.648187134502924"/>
    <x v="5"/>
    <s v="Q2"/>
    <s v="Large"/>
  </r>
  <r>
    <x v="11"/>
    <x v="3"/>
    <x v="21"/>
    <x v="183"/>
    <n v="8973.0499999999993"/>
    <n v="360"/>
    <n v="24.925138888888888"/>
    <x v="4"/>
    <s v="Q1"/>
    <s v="Large"/>
  </r>
  <r>
    <x v="13"/>
    <x v="3"/>
    <x v="4"/>
    <x v="326"/>
    <n v="8610.3799999999992"/>
    <n v="188"/>
    <n v="45.799893617021276"/>
    <x v="3"/>
    <s v="Q2"/>
    <s v="Large"/>
  </r>
  <r>
    <x v="4"/>
    <x v="3"/>
    <x v="1"/>
    <x v="299"/>
    <n v="3432.3"/>
    <n v="452"/>
    <n v="7.5935840707964601"/>
    <x v="4"/>
    <s v="Q1"/>
    <s v="Large"/>
  </r>
  <r>
    <x v="23"/>
    <x v="3"/>
    <x v="7"/>
    <x v="285"/>
    <n v="2283.39"/>
    <n v="155"/>
    <n v="14.731548387096773"/>
    <x v="1"/>
    <s v="Q3"/>
    <s v="Large"/>
  </r>
  <r>
    <x v="19"/>
    <x v="3"/>
    <x v="16"/>
    <x v="184"/>
    <n v="7190.49"/>
    <n v="165"/>
    <n v="43.578727272727271"/>
    <x v="3"/>
    <s v="Q2"/>
    <s v="Large"/>
  </r>
  <r>
    <x v="10"/>
    <x v="2"/>
    <x v="4"/>
    <x v="182"/>
    <n v="11303.07"/>
    <n v="166"/>
    <n v="68.09078313253012"/>
    <x v="0"/>
    <s v="Q1"/>
    <s v="Large"/>
  </r>
  <r>
    <x v="16"/>
    <x v="0"/>
    <x v="5"/>
    <x v="272"/>
    <n v="18911.490000000002"/>
    <n v="171"/>
    <n v="110.59350877192983"/>
    <x v="0"/>
    <s v="Q1"/>
    <s v="Large"/>
  </r>
  <r>
    <x v="16"/>
    <x v="5"/>
    <x v="5"/>
    <x v="206"/>
    <n v="6233.02"/>
    <n v="178"/>
    <n v="35.016966292134832"/>
    <x v="1"/>
    <s v="Q3"/>
    <s v="Large"/>
  </r>
  <r>
    <x v="16"/>
    <x v="0"/>
    <x v="9"/>
    <x v="227"/>
    <n v="2334.5"/>
    <n v="233"/>
    <n v="10.019313304721029"/>
    <x v="0"/>
    <s v="Q1"/>
    <s v="Large"/>
  </r>
  <r>
    <x v="7"/>
    <x v="0"/>
    <x v="6"/>
    <x v="185"/>
    <n v="11099.73"/>
    <n v="73"/>
    <n v="152.05109589041095"/>
    <x v="4"/>
    <s v="Q1"/>
    <s v="Large"/>
  </r>
  <r>
    <x v="23"/>
    <x v="4"/>
    <x v="17"/>
    <x v="235"/>
    <n v="3590.55"/>
    <n v="47"/>
    <n v="76.394680851063839"/>
    <x v="0"/>
    <s v="Q1"/>
    <s v="Large"/>
  </r>
  <r>
    <x v="10"/>
    <x v="4"/>
    <x v="14"/>
    <x v="200"/>
    <n v="5209.3999999999996"/>
    <n v="2"/>
    <n v="2604.6999999999998"/>
    <x v="1"/>
    <s v="Q3"/>
    <s v="Large"/>
  </r>
  <r>
    <x v="4"/>
    <x v="4"/>
    <x v="12"/>
    <x v="232"/>
    <n v="6315.14"/>
    <n v="398"/>
    <n v="15.867185929648242"/>
    <x v="4"/>
    <s v="Q1"/>
    <s v="Large"/>
  </r>
  <r>
    <x v="9"/>
    <x v="2"/>
    <x v="3"/>
    <x v="226"/>
    <n v="4454.71"/>
    <n v="117"/>
    <n v="38.074444444444445"/>
    <x v="4"/>
    <s v="Q1"/>
    <s v="Large"/>
  </r>
  <r>
    <x v="16"/>
    <x v="5"/>
    <x v="10"/>
    <x v="264"/>
    <n v="6078.71"/>
    <n v="78"/>
    <n v="77.932179487179482"/>
    <x v="6"/>
    <s v="Q1"/>
    <s v="Large"/>
  </r>
  <r>
    <x v="11"/>
    <x v="4"/>
    <x v="2"/>
    <x v="194"/>
    <n v="695.96"/>
    <n v="363"/>
    <n v="1.9172451790633609"/>
    <x v="5"/>
    <s v="Q2"/>
    <s v="Large"/>
  </r>
  <r>
    <x v="17"/>
    <x v="0"/>
    <x v="3"/>
    <x v="319"/>
    <n v="563.76"/>
    <n v="151"/>
    <n v="3.7335099337748345"/>
    <x v="3"/>
    <s v="Q2"/>
    <s v="Large"/>
  </r>
  <r>
    <x v="6"/>
    <x v="2"/>
    <x v="10"/>
    <x v="210"/>
    <n v="4479.6899999999996"/>
    <n v="261"/>
    <n v="17.163563218390802"/>
    <x v="2"/>
    <s v="Q3"/>
    <s v="Large"/>
  </r>
  <r>
    <x v="12"/>
    <x v="1"/>
    <x v="10"/>
    <x v="298"/>
    <n v="1093.72"/>
    <n v="22"/>
    <n v="49.714545454545458"/>
    <x v="5"/>
    <s v="Q2"/>
    <s v="Large"/>
  </r>
  <r>
    <x v="17"/>
    <x v="2"/>
    <x v="19"/>
    <x v="292"/>
    <n v="15870.43"/>
    <n v="449"/>
    <n v="35.34616926503341"/>
    <x v="0"/>
    <s v="Q1"/>
    <s v="Large"/>
  </r>
  <r>
    <x v="12"/>
    <x v="0"/>
    <x v="6"/>
    <x v="192"/>
    <n v="2529.8200000000002"/>
    <n v="297"/>
    <n v="8.517912457912459"/>
    <x v="4"/>
    <s v="Q1"/>
    <s v="Large"/>
  </r>
  <r>
    <x v="1"/>
    <x v="0"/>
    <x v="16"/>
    <x v="173"/>
    <n v="11258.39"/>
    <n v="217"/>
    <n v="51.881981566820272"/>
    <x v="5"/>
    <s v="Q2"/>
    <s v="Large"/>
  </r>
  <r>
    <x v="23"/>
    <x v="0"/>
    <x v="20"/>
    <x v="218"/>
    <n v="6180.45"/>
    <n v="230"/>
    <n v="26.871521739130433"/>
    <x v="1"/>
    <s v="Q3"/>
    <s v="Large"/>
  </r>
  <r>
    <x v="18"/>
    <x v="2"/>
    <x v="3"/>
    <x v="168"/>
    <n v="2496.06"/>
    <n v="45"/>
    <n v="55.467999999999996"/>
    <x v="0"/>
    <s v="Q1"/>
    <s v="Large"/>
  </r>
  <r>
    <x v="19"/>
    <x v="5"/>
    <x v="21"/>
    <x v="238"/>
    <n v="10964.29"/>
    <n v="16"/>
    <n v="685.26812500000005"/>
    <x v="3"/>
    <s v="Q2"/>
    <s v="Large"/>
  </r>
  <r>
    <x v="8"/>
    <x v="0"/>
    <x v="11"/>
    <x v="220"/>
    <n v="4012.51"/>
    <n v="409"/>
    <n v="9.810537897310514"/>
    <x v="6"/>
    <s v="Q1"/>
    <s v="Large"/>
  </r>
  <r>
    <x v="1"/>
    <x v="5"/>
    <x v="9"/>
    <x v="194"/>
    <n v="4919.25"/>
    <n v="746"/>
    <n v="6.5941689008042896"/>
    <x v="5"/>
    <s v="Q2"/>
    <s v="Large"/>
  </r>
  <r>
    <x v="0"/>
    <x v="2"/>
    <x v="5"/>
    <x v="183"/>
    <n v="5602.02"/>
    <n v="51"/>
    <n v="109.84352941176472"/>
    <x v="4"/>
    <s v="Q1"/>
    <s v="Large"/>
  </r>
  <r>
    <x v="15"/>
    <x v="0"/>
    <x v="5"/>
    <x v="193"/>
    <n v="3563.87"/>
    <n v="372"/>
    <n v="9.580295698924731"/>
    <x v="2"/>
    <s v="Q3"/>
    <s v="Large"/>
  </r>
  <r>
    <x v="8"/>
    <x v="1"/>
    <x v="0"/>
    <x v="257"/>
    <n v="8313.09"/>
    <n v="493"/>
    <n v="16.862251521298173"/>
    <x v="0"/>
    <s v="Q1"/>
    <s v="Large"/>
  </r>
  <r>
    <x v="14"/>
    <x v="1"/>
    <x v="0"/>
    <x v="318"/>
    <n v="8447.48"/>
    <n v="96"/>
    <n v="87.994583333333324"/>
    <x v="6"/>
    <s v="Q1"/>
    <s v="Large"/>
  </r>
  <r>
    <x v="0"/>
    <x v="3"/>
    <x v="11"/>
    <x v="211"/>
    <n v="2646.23"/>
    <n v="198"/>
    <n v="13.364797979797979"/>
    <x v="7"/>
    <s v="Q2"/>
    <s v="Large"/>
  </r>
  <r>
    <x v="5"/>
    <x v="1"/>
    <x v="20"/>
    <x v="180"/>
    <n v="2706.83"/>
    <n v="198"/>
    <n v="13.670858585858586"/>
    <x v="2"/>
    <s v="Q3"/>
    <s v="Large"/>
  </r>
  <r>
    <x v="14"/>
    <x v="0"/>
    <x v="15"/>
    <x v="232"/>
    <n v="1710.48"/>
    <n v="108"/>
    <n v="15.837777777777777"/>
    <x v="4"/>
    <s v="Q1"/>
    <s v="Large"/>
  </r>
  <r>
    <x v="19"/>
    <x v="1"/>
    <x v="7"/>
    <x v="189"/>
    <n v="318.19"/>
    <n v="417"/>
    <n v="0.76304556354916064"/>
    <x v="7"/>
    <s v="Q2"/>
    <s v="Small"/>
  </r>
  <r>
    <x v="9"/>
    <x v="2"/>
    <x v="17"/>
    <x v="259"/>
    <n v="9479.65"/>
    <n v="26"/>
    <n v="364.60192307692307"/>
    <x v="3"/>
    <s v="Q2"/>
    <s v="Large"/>
  </r>
  <r>
    <x v="12"/>
    <x v="5"/>
    <x v="1"/>
    <x v="185"/>
    <n v="6393.2"/>
    <n v="44"/>
    <n v="145.29999999999998"/>
    <x v="4"/>
    <s v="Q1"/>
    <s v="Large"/>
  </r>
  <r>
    <x v="20"/>
    <x v="2"/>
    <x v="9"/>
    <x v="284"/>
    <n v="1355.65"/>
    <n v="60"/>
    <n v="22.59416666666667"/>
    <x v="7"/>
    <s v="Q2"/>
    <s v="Large"/>
  </r>
  <r>
    <x v="1"/>
    <x v="5"/>
    <x v="21"/>
    <x v="202"/>
    <n v="7911.23"/>
    <n v="74"/>
    <n v="106.90851351351351"/>
    <x v="5"/>
    <s v="Q2"/>
    <s v="Large"/>
  </r>
  <r>
    <x v="17"/>
    <x v="4"/>
    <x v="20"/>
    <x v="204"/>
    <n v="2583.0300000000002"/>
    <n v="501"/>
    <n v="5.1557485029940127"/>
    <x v="2"/>
    <s v="Q3"/>
    <s v="Large"/>
  </r>
  <r>
    <x v="12"/>
    <x v="3"/>
    <x v="12"/>
    <x v="244"/>
    <n v="66.13"/>
    <n v="65"/>
    <n v="1.0173846153846153"/>
    <x v="5"/>
    <s v="Q2"/>
    <s v="Small"/>
  </r>
  <r>
    <x v="3"/>
    <x v="0"/>
    <x v="16"/>
    <x v="215"/>
    <n v="10668.69"/>
    <n v="150"/>
    <n v="71.124600000000001"/>
    <x v="2"/>
    <s v="Q3"/>
    <s v="Large"/>
  </r>
  <r>
    <x v="15"/>
    <x v="1"/>
    <x v="17"/>
    <x v="194"/>
    <n v="10994.3"/>
    <n v="152"/>
    <n v="72.330921052631581"/>
    <x v="5"/>
    <s v="Q2"/>
    <s v="Large"/>
  </r>
  <r>
    <x v="23"/>
    <x v="1"/>
    <x v="0"/>
    <x v="217"/>
    <n v="1259.6099999999999"/>
    <n v="227"/>
    <n v="5.548942731277533"/>
    <x v="3"/>
    <s v="Q2"/>
    <s v="Large"/>
  </r>
  <r>
    <x v="21"/>
    <x v="1"/>
    <x v="9"/>
    <x v="283"/>
    <n v="492.13"/>
    <n v="164"/>
    <n v="3.0007926829268294"/>
    <x v="1"/>
    <s v="Q3"/>
    <s v="Small"/>
  </r>
  <r>
    <x v="11"/>
    <x v="0"/>
    <x v="9"/>
    <x v="264"/>
    <n v="1016.77"/>
    <n v="28"/>
    <n v="36.313214285714288"/>
    <x v="6"/>
    <s v="Q1"/>
    <s v="Large"/>
  </r>
  <r>
    <x v="13"/>
    <x v="2"/>
    <x v="10"/>
    <x v="177"/>
    <n v="4111.42"/>
    <n v="81"/>
    <n v="50.758271604938273"/>
    <x v="2"/>
    <s v="Q3"/>
    <s v="Large"/>
  </r>
  <r>
    <x v="24"/>
    <x v="1"/>
    <x v="4"/>
    <x v="185"/>
    <n v="503.97"/>
    <n v="105"/>
    <n v="4.7997142857142858"/>
    <x v="4"/>
    <s v="Q1"/>
    <s v="Large"/>
  </r>
  <r>
    <x v="7"/>
    <x v="5"/>
    <x v="12"/>
    <x v="306"/>
    <n v="2883.71"/>
    <n v="163"/>
    <n v="17.691472392638037"/>
    <x v="7"/>
    <s v="Q2"/>
    <s v="Large"/>
  </r>
  <r>
    <x v="1"/>
    <x v="1"/>
    <x v="8"/>
    <x v="297"/>
    <n v="11861.89"/>
    <n v="105"/>
    <n v="112.97038095238095"/>
    <x v="2"/>
    <s v="Q3"/>
    <s v="Large"/>
  </r>
  <r>
    <x v="5"/>
    <x v="2"/>
    <x v="4"/>
    <x v="229"/>
    <n v="8564.73"/>
    <n v="237"/>
    <n v="36.138101265822783"/>
    <x v="1"/>
    <s v="Q3"/>
    <s v="Large"/>
  </r>
  <r>
    <x v="16"/>
    <x v="4"/>
    <x v="1"/>
    <x v="305"/>
    <n v="538.03"/>
    <n v="271"/>
    <n v="1.9853505535055349"/>
    <x v="5"/>
    <s v="Q2"/>
    <s v="Large"/>
  </r>
  <r>
    <x v="21"/>
    <x v="0"/>
    <x v="2"/>
    <x v="208"/>
    <n v="5231.88"/>
    <n v="125"/>
    <n v="41.855040000000002"/>
    <x v="2"/>
    <s v="Q3"/>
    <s v="Large"/>
  </r>
  <r>
    <x v="22"/>
    <x v="0"/>
    <x v="2"/>
    <x v="321"/>
    <n v="7916.13"/>
    <n v="84"/>
    <n v="94.239642857142854"/>
    <x v="1"/>
    <s v="Q3"/>
    <s v="Large"/>
  </r>
  <r>
    <x v="22"/>
    <x v="4"/>
    <x v="18"/>
    <x v="244"/>
    <n v="6016.32"/>
    <n v="143"/>
    <n v="42.072167832167828"/>
    <x v="5"/>
    <s v="Q2"/>
    <s v="Large"/>
  </r>
  <r>
    <x v="11"/>
    <x v="5"/>
    <x v="2"/>
    <x v="289"/>
    <n v="7504.86"/>
    <n v="97"/>
    <n v="77.369690721649476"/>
    <x v="6"/>
    <s v="Q1"/>
    <s v="Large"/>
  </r>
  <r>
    <x v="24"/>
    <x v="2"/>
    <x v="18"/>
    <x v="238"/>
    <n v="1590.98"/>
    <n v="182"/>
    <n v="8.741648351648351"/>
    <x v="3"/>
    <s v="Q2"/>
    <s v="Large"/>
  </r>
  <r>
    <x v="14"/>
    <x v="5"/>
    <x v="8"/>
    <x v="309"/>
    <n v="740.07"/>
    <n v="205"/>
    <n v="3.6100975609756101"/>
    <x v="7"/>
    <s v="Q2"/>
    <s v="Large"/>
  </r>
  <r>
    <x v="13"/>
    <x v="1"/>
    <x v="9"/>
    <x v="274"/>
    <n v="4591.1099999999997"/>
    <n v="11"/>
    <n v="417.37363636363631"/>
    <x v="7"/>
    <s v="Q2"/>
    <s v="Large"/>
  </r>
  <r>
    <x v="1"/>
    <x v="2"/>
    <x v="0"/>
    <x v="178"/>
    <n v="2686.51"/>
    <n v="324"/>
    <n v="8.291697530864198"/>
    <x v="0"/>
    <s v="Q1"/>
    <s v="Large"/>
  </r>
  <r>
    <x v="17"/>
    <x v="4"/>
    <x v="21"/>
    <x v="279"/>
    <n v="735.48"/>
    <n v="77"/>
    <n v="9.5516883116883111"/>
    <x v="6"/>
    <s v="Q1"/>
    <s v="Large"/>
  </r>
  <r>
    <x v="19"/>
    <x v="5"/>
    <x v="2"/>
    <x v="185"/>
    <n v="1160.54"/>
    <n v="311"/>
    <n v="3.7316398713826366"/>
    <x v="4"/>
    <s v="Q1"/>
    <s v="Large"/>
  </r>
  <r>
    <x v="2"/>
    <x v="4"/>
    <x v="21"/>
    <x v="270"/>
    <n v="8078.15"/>
    <n v="189"/>
    <n v="42.741534391534387"/>
    <x v="0"/>
    <s v="Q1"/>
    <s v="Large"/>
  </r>
  <r>
    <x v="7"/>
    <x v="2"/>
    <x v="14"/>
    <x v="307"/>
    <n v="7467.74"/>
    <n v="111"/>
    <n v="67.276936936936934"/>
    <x v="6"/>
    <s v="Q1"/>
    <s v="Large"/>
  </r>
  <r>
    <x v="13"/>
    <x v="5"/>
    <x v="9"/>
    <x v="302"/>
    <n v="7588.41"/>
    <n v="342"/>
    <n v="22.188333333333333"/>
    <x v="7"/>
    <s v="Q2"/>
    <s v="Large"/>
  </r>
  <r>
    <x v="21"/>
    <x v="3"/>
    <x v="1"/>
    <x v="283"/>
    <n v="15372.54"/>
    <n v="57"/>
    <n v="269.69368421052633"/>
    <x v="1"/>
    <s v="Q3"/>
    <s v="Large"/>
  </r>
  <r>
    <x v="22"/>
    <x v="5"/>
    <x v="11"/>
    <x v="319"/>
    <n v="3907.5"/>
    <n v="86"/>
    <n v="45.436046511627907"/>
    <x v="3"/>
    <s v="Q2"/>
    <s v="Large"/>
  </r>
  <r>
    <x v="22"/>
    <x v="2"/>
    <x v="21"/>
    <x v="203"/>
    <n v="3740.76"/>
    <n v="255"/>
    <n v="14.66964705882353"/>
    <x v="3"/>
    <s v="Q2"/>
    <s v="Large"/>
  </r>
  <r>
    <x v="4"/>
    <x v="5"/>
    <x v="8"/>
    <x v="201"/>
    <n v="6211.75"/>
    <n v="561"/>
    <n v="11.072638146167558"/>
    <x v="7"/>
    <s v="Q2"/>
    <s v="Large"/>
  </r>
  <r>
    <x v="17"/>
    <x v="5"/>
    <x v="9"/>
    <x v="221"/>
    <n v="2924.46"/>
    <n v="25"/>
    <n v="116.97840000000001"/>
    <x v="0"/>
    <s v="Q1"/>
    <s v="Large"/>
  </r>
  <r>
    <x v="9"/>
    <x v="3"/>
    <x v="5"/>
    <x v="284"/>
    <n v="501.79"/>
    <n v="241"/>
    <n v="2.082116182572614"/>
    <x v="7"/>
    <s v="Q2"/>
    <s v="Large"/>
  </r>
  <r>
    <x v="13"/>
    <x v="5"/>
    <x v="14"/>
    <x v="184"/>
    <n v="6594.09"/>
    <n v="270"/>
    <n v="24.422555555555554"/>
    <x v="3"/>
    <s v="Q2"/>
    <s v="Large"/>
  </r>
  <r>
    <x v="19"/>
    <x v="1"/>
    <x v="5"/>
    <x v="322"/>
    <n v="960.68"/>
    <n v="71"/>
    <n v="13.530704225352112"/>
    <x v="0"/>
    <s v="Q1"/>
    <s v="Large"/>
  </r>
  <r>
    <x v="13"/>
    <x v="1"/>
    <x v="12"/>
    <x v="295"/>
    <n v="11370.32"/>
    <n v="170"/>
    <n v="66.884235294117644"/>
    <x v="6"/>
    <s v="Q1"/>
    <s v="Large"/>
  </r>
  <r>
    <x v="23"/>
    <x v="2"/>
    <x v="14"/>
    <x v="193"/>
    <n v="6067.94"/>
    <n v="94"/>
    <n v="64.552553191489352"/>
    <x v="2"/>
    <s v="Q3"/>
    <s v="Large"/>
  </r>
  <r>
    <x v="4"/>
    <x v="5"/>
    <x v="7"/>
    <x v="171"/>
    <n v="8909.75"/>
    <n v="355"/>
    <n v="25.097887323943663"/>
    <x v="3"/>
    <s v="Q2"/>
    <s v="Large"/>
  </r>
  <r>
    <x v="16"/>
    <x v="5"/>
    <x v="16"/>
    <x v="321"/>
    <n v="6865.35"/>
    <n v="75"/>
    <n v="91.538000000000011"/>
    <x v="1"/>
    <s v="Q3"/>
    <s v="Large"/>
  </r>
  <r>
    <x v="3"/>
    <x v="0"/>
    <x v="19"/>
    <x v="222"/>
    <n v="805.23"/>
    <n v="259"/>
    <n v="3.1089961389961389"/>
    <x v="6"/>
    <s v="Q1"/>
    <s v="Large"/>
  </r>
  <r>
    <x v="0"/>
    <x v="0"/>
    <x v="13"/>
    <x v="278"/>
    <n v="9851.6200000000008"/>
    <n v="221"/>
    <n v="44.577466063348417"/>
    <x v="7"/>
    <s v="Q2"/>
    <s v="Large"/>
  </r>
  <r>
    <x v="17"/>
    <x v="4"/>
    <x v="3"/>
    <x v="233"/>
    <n v="11823.35"/>
    <n v="90"/>
    <n v="131.37055555555557"/>
    <x v="7"/>
    <s v="Q2"/>
    <s v="Large"/>
  </r>
  <r>
    <x v="6"/>
    <x v="4"/>
    <x v="17"/>
    <x v="257"/>
    <n v="683.63"/>
    <n v="202"/>
    <n v="3.3843069306930693"/>
    <x v="0"/>
    <s v="Q1"/>
    <s v="Large"/>
  </r>
  <r>
    <x v="22"/>
    <x v="3"/>
    <x v="11"/>
    <x v="264"/>
    <n v="14002.42"/>
    <n v="388"/>
    <n v="36.088711340206189"/>
    <x v="6"/>
    <s v="Q1"/>
    <s v="Large"/>
  </r>
  <r>
    <x v="13"/>
    <x v="1"/>
    <x v="6"/>
    <x v="190"/>
    <n v="8744.9500000000007"/>
    <n v="12"/>
    <n v="728.74583333333339"/>
    <x v="6"/>
    <s v="Q1"/>
    <s v="Large"/>
  </r>
  <r>
    <x v="8"/>
    <x v="3"/>
    <x v="4"/>
    <x v="195"/>
    <n v="9294.14"/>
    <n v="201"/>
    <n v="46.239502487562184"/>
    <x v="7"/>
    <s v="Q2"/>
    <s v="Large"/>
  </r>
  <r>
    <x v="17"/>
    <x v="5"/>
    <x v="10"/>
    <x v="250"/>
    <n v="8831.89"/>
    <n v="79"/>
    <n v="111.79607594936708"/>
    <x v="0"/>
    <s v="Q1"/>
    <s v="Large"/>
  </r>
  <r>
    <x v="12"/>
    <x v="1"/>
    <x v="16"/>
    <x v="195"/>
    <n v="3474.98"/>
    <n v="104"/>
    <n v="33.413269230769231"/>
    <x v="7"/>
    <s v="Q2"/>
    <s v="Large"/>
  </r>
  <r>
    <x v="6"/>
    <x v="2"/>
    <x v="2"/>
    <x v="293"/>
    <n v="311.61"/>
    <n v="204"/>
    <n v="1.5275000000000001"/>
    <x v="1"/>
    <s v="Q3"/>
    <s v="Small"/>
  </r>
  <r>
    <x v="10"/>
    <x v="2"/>
    <x v="12"/>
    <x v="302"/>
    <n v="4791.2"/>
    <n v="335"/>
    <n v="14.302089552238806"/>
    <x v="7"/>
    <s v="Q2"/>
    <s v="Large"/>
  </r>
  <r>
    <x v="0"/>
    <x v="4"/>
    <x v="14"/>
    <x v="244"/>
    <n v="6646.33"/>
    <n v="117"/>
    <n v="56.806239316239314"/>
    <x v="5"/>
    <s v="Q2"/>
    <s v="Large"/>
  </r>
  <r>
    <x v="24"/>
    <x v="5"/>
    <x v="10"/>
    <x v="236"/>
    <n v="593.63"/>
    <n v="229"/>
    <n v="2.5922707423580786"/>
    <x v="2"/>
    <s v="Q3"/>
    <s v="Large"/>
  </r>
  <r>
    <x v="23"/>
    <x v="1"/>
    <x v="8"/>
    <x v="180"/>
    <n v="2345.9499999999998"/>
    <n v="406"/>
    <n v="5.7782019704433489"/>
    <x v="2"/>
    <s v="Q3"/>
    <s v="Large"/>
  </r>
  <r>
    <x v="10"/>
    <x v="1"/>
    <x v="21"/>
    <x v="291"/>
    <n v="5083.07"/>
    <n v="368"/>
    <n v="13.812690217391303"/>
    <x v="7"/>
    <s v="Q2"/>
    <s v="Large"/>
  </r>
  <r>
    <x v="0"/>
    <x v="0"/>
    <x v="0"/>
    <x v="336"/>
    <n v="6339.57"/>
    <n v="187"/>
    <n v="33.901443850267377"/>
    <x v="0"/>
    <s v="Q1"/>
    <s v="Large"/>
  </r>
  <r>
    <x v="1"/>
    <x v="1"/>
    <x v="1"/>
    <x v="337"/>
    <n v="9005.8700000000008"/>
    <n v="90"/>
    <n v="100.06522222222223"/>
    <x v="1"/>
    <s v="Q3"/>
    <s v="Large"/>
  </r>
  <r>
    <x v="2"/>
    <x v="1"/>
    <x v="2"/>
    <x v="338"/>
    <n v="5159.07"/>
    <n v="87"/>
    <n v="59.299655172413793"/>
    <x v="2"/>
    <s v="Q3"/>
    <s v="Large"/>
  </r>
  <r>
    <x v="3"/>
    <x v="2"/>
    <x v="2"/>
    <x v="339"/>
    <n v="13370.97"/>
    <n v="349"/>
    <n v="38.312234957020053"/>
    <x v="3"/>
    <s v="Q2"/>
    <s v="Large"/>
  </r>
  <r>
    <x v="0"/>
    <x v="0"/>
    <x v="2"/>
    <x v="340"/>
    <n v="14791.64"/>
    <n v="182"/>
    <n v="81.272747252747251"/>
    <x v="4"/>
    <s v="Q1"/>
    <s v="Large"/>
  </r>
  <r>
    <x v="1"/>
    <x v="1"/>
    <x v="3"/>
    <x v="341"/>
    <n v="6429.35"/>
    <n v="40"/>
    <n v="160.73375000000001"/>
    <x v="5"/>
    <s v="Q2"/>
    <s v="Large"/>
  </r>
  <r>
    <x v="4"/>
    <x v="0"/>
    <x v="4"/>
    <x v="342"/>
    <n v="15900.6"/>
    <n v="188"/>
    <n v="84.577659574468086"/>
    <x v="0"/>
    <s v="Q1"/>
    <s v="Large"/>
  </r>
  <r>
    <x v="5"/>
    <x v="2"/>
    <x v="5"/>
    <x v="343"/>
    <n v="3400.26"/>
    <n v="77"/>
    <n v="44.159220779220782"/>
    <x v="6"/>
    <s v="Q1"/>
    <s v="Large"/>
  </r>
  <r>
    <x v="0"/>
    <x v="3"/>
    <x v="6"/>
    <x v="344"/>
    <n v="4357.76"/>
    <n v="63"/>
    <n v="69.170793650793655"/>
    <x v="3"/>
    <s v="Q2"/>
    <s v="Large"/>
  </r>
  <r>
    <x v="6"/>
    <x v="2"/>
    <x v="4"/>
    <x v="345"/>
    <n v="3356.17"/>
    <n v="111"/>
    <n v="30.235765765765766"/>
    <x v="2"/>
    <s v="Q3"/>
    <s v="Large"/>
  </r>
  <r>
    <x v="7"/>
    <x v="0"/>
    <x v="3"/>
    <x v="346"/>
    <n v="5287.86"/>
    <n v="67"/>
    <n v="78.923283582089553"/>
    <x v="0"/>
    <s v="Q1"/>
    <s v="Large"/>
  </r>
  <r>
    <x v="8"/>
    <x v="4"/>
    <x v="7"/>
    <x v="347"/>
    <n v="4244.3599999999997"/>
    <n v="11"/>
    <n v="385.85090909090906"/>
    <x v="6"/>
    <s v="Q1"/>
    <s v="Large"/>
  </r>
  <r>
    <x v="9"/>
    <x v="5"/>
    <x v="8"/>
    <x v="346"/>
    <n v="1671.64"/>
    <n v="277"/>
    <n v="6.034801444043322"/>
    <x v="0"/>
    <s v="Q1"/>
    <s v="Large"/>
  </r>
  <r>
    <x v="10"/>
    <x v="3"/>
    <x v="9"/>
    <x v="348"/>
    <n v="181.84"/>
    <n v="167"/>
    <n v="1.0888622754491017"/>
    <x v="2"/>
    <s v="Q3"/>
    <s v="Small"/>
  </r>
  <r>
    <x v="11"/>
    <x v="3"/>
    <x v="2"/>
    <x v="349"/>
    <n v="8950.59"/>
    <n v="189"/>
    <n v="47.357619047619046"/>
    <x v="1"/>
    <s v="Q3"/>
    <s v="Large"/>
  </r>
  <r>
    <x v="12"/>
    <x v="2"/>
    <x v="10"/>
    <x v="350"/>
    <n v="7271.76"/>
    <n v="385"/>
    <n v="18.887688311688311"/>
    <x v="0"/>
    <s v="Q1"/>
    <s v="Large"/>
  </r>
  <r>
    <x v="1"/>
    <x v="5"/>
    <x v="10"/>
    <x v="351"/>
    <n v="4864.83"/>
    <n v="42"/>
    <n v="115.82928571428572"/>
    <x v="4"/>
    <s v="Q1"/>
    <s v="Large"/>
  </r>
  <r>
    <x v="13"/>
    <x v="4"/>
    <x v="3"/>
    <x v="352"/>
    <n v="3175.11"/>
    <n v="149"/>
    <n v="21.309463087248322"/>
    <x v="3"/>
    <s v="Q2"/>
    <s v="Large"/>
  </r>
  <r>
    <x v="12"/>
    <x v="5"/>
    <x v="11"/>
    <x v="353"/>
    <n v="10137.790000000001"/>
    <n v="250"/>
    <n v="40.551160000000003"/>
    <x v="4"/>
    <s v="Q1"/>
    <s v="Large"/>
  </r>
  <r>
    <x v="14"/>
    <x v="0"/>
    <x v="1"/>
    <x v="354"/>
    <n v="1206.95"/>
    <n v="174"/>
    <n v="6.9364942528735636"/>
    <x v="5"/>
    <s v="Q2"/>
    <s v="Large"/>
  </r>
  <r>
    <x v="6"/>
    <x v="2"/>
    <x v="8"/>
    <x v="355"/>
    <n v="8222.65"/>
    <n v="92"/>
    <n v="89.376630434782598"/>
    <x v="5"/>
    <s v="Q2"/>
    <s v="Large"/>
  </r>
  <r>
    <x v="5"/>
    <x v="4"/>
    <x v="12"/>
    <x v="356"/>
    <n v="1440.85"/>
    <n v="152"/>
    <n v="9.4792763157894733"/>
    <x v="4"/>
    <s v="Q1"/>
    <s v="Large"/>
  </r>
  <r>
    <x v="11"/>
    <x v="4"/>
    <x v="5"/>
    <x v="357"/>
    <n v="5611.65"/>
    <n v="159"/>
    <n v="35.293396226415091"/>
    <x v="7"/>
    <s v="Q2"/>
    <s v="Large"/>
  </r>
  <r>
    <x v="15"/>
    <x v="0"/>
    <x v="9"/>
    <x v="358"/>
    <n v="3562.44"/>
    <n v="111"/>
    <n v="32.094054054054055"/>
    <x v="6"/>
    <s v="Q1"/>
    <s v="Large"/>
  </r>
  <r>
    <x v="16"/>
    <x v="2"/>
    <x v="8"/>
    <x v="359"/>
    <n v="8385.26"/>
    <n v="122"/>
    <n v="68.731639344262291"/>
    <x v="4"/>
    <s v="Q1"/>
    <s v="Large"/>
  </r>
  <r>
    <x v="10"/>
    <x v="1"/>
    <x v="13"/>
    <x v="350"/>
    <n v="181.31"/>
    <n v="330"/>
    <n v="0.54942424242424248"/>
    <x v="0"/>
    <s v="Q1"/>
    <s v="Small"/>
  </r>
  <r>
    <x v="13"/>
    <x v="5"/>
    <x v="12"/>
    <x v="360"/>
    <n v="1800.27"/>
    <n v="191"/>
    <n v="9.4254973821989534"/>
    <x v="4"/>
    <s v="Q1"/>
    <s v="Large"/>
  </r>
  <r>
    <x v="15"/>
    <x v="4"/>
    <x v="8"/>
    <x v="338"/>
    <n v="4449.37"/>
    <n v="113"/>
    <n v="39.374955752212387"/>
    <x v="2"/>
    <s v="Q3"/>
    <s v="Large"/>
  </r>
  <r>
    <x v="17"/>
    <x v="3"/>
    <x v="14"/>
    <x v="361"/>
    <n v="10113.4"/>
    <n v="155"/>
    <n v="65.247741935483873"/>
    <x v="2"/>
    <s v="Q3"/>
    <s v="Large"/>
  </r>
  <r>
    <x v="17"/>
    <x v="3"/>
    <x v="15"/>
    <x v="362"/>
    <n v="5932.84"/>
    <n v="303"/>
    <n v="19.5803300330033"/>
    <x v="5"/>
    <s v="Q2"/>
    <s v="Large"/>
  </r>
  <r>
    <x v="1"/>
    <x v="3"/>
    <x v="1"/>
    <x v="363"/>
    <n v="2006.71"/>
    <n v="124"/>
    <n v="16.183145161290323"/>
    <x v="7"/>
    <s v="Q2"/>
    <s v="Large"/>
  </r>
  <r>
    <x v="7"/>
    <x v="0"/>
    <x v="4"/>
    <x v="364"/>
    <n v="14086.69"/>
    <n v="157"/>
    <n v="89.724140127388537"/>
    <x v="5"/>
    <s v="Q2"/>
    <s v="Large"/>
  </r>
  <r>
    <x v="18"/>
    <x v="2"/>
    <x v="15"/>
    <x v="365"/>
    <n v="4799.54"/>
    <n v="90"/>
    <n v="53.328222222222223"/>
    <x v="7"/>
    <s v="Q2"/>
    <s v="Large"/>
  </r>
  <r>
    <x v="10"/>
    <x v="0"/>
    <x v="16"/>
    <x v="366"/>
    <n v="8101.98"/>
    <n v="138"/>
    <n v="58.709999999999994"/>
    <x v="5"/>
    <s v="Q2"/>
    <s v="Large"/>
  </r>
  <r>
    <x v="19"/>
    <x v="5"/>
    <x v="5"/>
    <x v="365"/>
    <n v="2321.9699999999998"/>
    <n v="71"/>
    <n v="32.703802816901408"/>
    <x v="7"/>
    <s v="Q2"/>
    <s v="Large"/>
  </r>
  <r>
    <x v="13"/>
    <x v="4"/>
    <x v="15"/>
    <x v="367"/>
    <n v="10245"/>
    <n v="329"/>
    <n v="31.13981762917933"/>
    <x v="2"/>
    <s v="Q3"/>
    <s v="Large"/>
  </r>
  <r>
    <x v="19"/>
    <x v="0"/>
    <x v="6"/>
    <x v="368"/>
    <n v="2930.4"/>
    <n v="344"/>
    <n v="8.5186046511627911"/>
    <x v="1"/>
    <s v="Q3"/>
    <s v="Large"/>
  </r>
  <r>
    <x v="20"/>
    <x v="3"/>
    <x v="5"/>
    <x v="338"/>
    <n v="170.24"/>
    <n v="75"/>
    <n v="2.2698666666666667"/>
    <x v="2"/>
    <s v="Q3"/>
    <s v="Small"/>
  </r>
  <r>
    <x v="21"/>
    <x v="2"/>
    <x v="1"/>
    <x v="369"/>
    <n v="4247.49"/>
    <n v="14"/>
    <n v="303.39214285714286"/>
    <x v="7"/>
    <s v="Q2"/>
    <s v="Large"/>
  </r>
  <r>
    <x v="10"/>
    <x v="1"/>
    <x v="15"/>
    <x v="345"/>
    <n v="2696.1"/>
    <n v="605"/>
    <n v="4.4563636363636361"/>
    <x v="2"/>
    <s v="Q3"/>
    <s v="Large"/>
  </r>
  <r>
    <x v="20"/>
    <x v="4"/>
    <x v="5"/>
    <x v="370"/>
    <n v="1083.76"/>
    <n v="16"/>
    <n v="67.734999999999999"/>
    <x v="5"/>
    <s v="Q2"/>
    <s v="Large"/>
  </r>
  <r>
    <x v="10"/>
    <x v="4"/>
    <x v="17"/>
    <x v="371"/>
    <n v="17037.09"/>
    <n v="347"/>
    <n v="49.098242074927953"/>
    <x v="3"/>
    <s v="Q2"/>
    <s v="Large"/>
  </r>
  <r>
    <x v="9"/>
    <x v="5"/>
    <x v="18"/>
    <x v="372"/>
    <n v="5706.43"/>
    <n v="247"/>
    <n v="23.102955465587044"/>
    <x v="2"/>
    <s v="Q3"/>
    <s v="Large"/>
  </r>
  <r>
    <x v="19"/>
    <x v="1"/>
    <x v="12"/>
    <x v="373"/>
    <n v="6682.34"/>
    <n v="139"/>
    <n v="48.074388489208637"/>
    <x v="4"/>
    <s v="Q1"/>
    <s v="Large"/>
  </r>
  <r>
    <x v="22"/>
    <x v="5"/>
    <x v="16"/>
    <x v="374"/>
    <n v="8192.6"/>
    <n v="100"/>
    <n v="81.926000000000002"/>
    <x v="1"/>
    <s v="Q3"/>
    <s v="Large"/>
  </r>
  <r>
    <x v="16"/>
    <x v="4"/>
    <x v="2"/>
    <x v="353"/>
    <n v="7568.16"/>
    <n v="206"/>
    <n v="36.738640776699029"/>
    <x v="4"/>
    <s v="Q1"/>
    <s v="Large"/>
  </r>
  <r>
    <x v="1"/>
    <x v="4"/>
    <x v="6"/>
    <x v="346"/>
    <n v="10772.33"/>
    <n v="156"/>
    <n v="69.053397435897438"/>
    <x v="0"/>
    <s v="Q1"/>
    <s v="Large"/>
  </r>
  <r>
    <x v="14"/>
    <x v="2"/>
    <x v="11"/>
    <x v="351"/>
    <n v="7467.12"/>
    <n v="18"/>
    <n v="414.84"/>
    <x v="4"/>
    <s v="Q1"/>
    <s v="Large"/>
  </r>
  <r>
    <x v="13"/>
    <x v="1"/>
    <x v="8"/>
    <x v="375"/>
    <n v="4985.8999999999996"/>
    <n v="311"/>
    <n v="16.031832797427651"/>
    <x v="5"/>
    <s v="Q2"/>
    <s v="Large"/>
  </r>
  <r>
    <x v="14"/>
    <x v="1"/>
    <x v="13"/>
    <x v="338"/>
    <n v="5693.6"/>
    <n v="177"/>
    <n v="32.16723163841808"/>
    <x v="2"/>
    <s v="Q3"/>
    <s v="Large"/>
  </r>
  <r>
    <x v="14"/>
    <x v="5"/>
    <x v="16"/>
    <x v="343"/>
    <n v="5879.1"/>
    <n v="75"/>
    <n v="78.388000000000005"/>
    <x v="6"/>
    <s v="Q1"/>
    <s v="Large"/>
  </r>
  <r>
    <x v="6"/>
    <x v="2"/>
    <x v="13"/>
    <x v="341"/>
    <n v="9771.93"/>
    <n v="22"/>
    <n v="444.17863636363637"/>
    <x v="5"/>
    <s v="Q2"/>
    <s v="Large"/>
  </r>
  <r>
    <x v="23"/>
    <x v="2"/>
    <x v="9"/>
    <x v="376"/>
    <n v="105.06"/>
    <n v="140"/>
    <n v="0.75042857142857144"/>
    <x v="2"/>
    <s v="Q3"/>
    <s v="Small"/>
  </r>
  <r>
    <x v="12"/>
    <x v="4"/>
    <x v="17"/>
    <x v="377"/>
    <n v="16414.689999999999"/>
    <n v="80"/>
    <n v="205.18362499999998"/>
    <x v="3"/>
    <s v="Q2"/>
    <s v="Large"/>
  </r>
  <r>
    <x v="11"/>
    <x v="1"/>
    <x v="1"/>
    <x v="376"/>
    <n v="2553.41"/>
    <n v="183"/>
    <n v="13.953060109289616"/>
    <x v="2"/>
    <s v="Q3"/>
    <s v="Large"/>
  </r>
  <r>
    <x v="0"/>
    <x v="5"/>
    <x v="9"/>
    <x v="378"/>
    <n v="473.99"/>
    <n v="25"/>
    <n v="18.959600000000002"/>
    <x v="2"/>
    <s v="Q3"/>
    <s v="Small"/>
  </r>
  <r>
    <x v="24"/>
    <x v="3"/>
    <x v="12"/>
    <x v="351"/>
    <n v="3873.98"/>
    <n v="19"/>
    <n v="203.89368421052632"/>
    <x v="4"/>
    <s v="Q1"/>
    <s v="Large"/>
  </r>
  <r>
    <x v="6"/>
    <x v="5"/>
    <x v="4"/>
    <x v="379"/>
    <n v="17718.25"/>
    <n v="430"/>
    <n v="41.205232558139535"/>
    <x v="7"/>
    <s v="Q2"/>
    <s v="Large"/>
  </r>
  <r>
    <x v="8"/>
    <x v="2"/>
    <x v="13"/>
    <x v="366"/>
    <n v="16572.07"/>
    <n v="57"/>
    <n v="290.73807017543857"/>
    <x v="5"/>
    <s v="Q2"/>
    <s v="Large"/>
  </r>
  <r>
    <x v="19"/>
    <x v="2"/>
    <x v="6"/>
    <x v="370"/>
    <n v="5220.1899999999996"/>
    <n v="216"/>
    <n v="24.167546296296294"/>
    <x v="5"/>
    <s v="Q2"/>
    <s v="Large"/>
  </r>
  <r>
    <x v="19"/>
    <x v="2"/>
    <x v="9"/>
    <x v="380"/>
    <n v="1797.26"/>
    <n v="49"/>
    <n v="36.678775510204083"/>
    <x v="5"/>
    <s v="Q2"/>
    <s v="Large"/>
  </r>
  <r>
    <x v="11"/>
    <x v="2"/>
    <x v="10"/>
    <x v="381"/>
    <n v="295.62"/>
    <n v="182"/>
    <n v="1.6242857142857143"/>
    <x v="7"/>
    <s v="Q2"/>
    <s v="Small"/>
  </r>
  <r>
    <x v="20"/>
    <x v="5"/>
    <x v="19"/>
    <x v="382"/>
    <n v="3597.37"/>
    <n v="288"/>
    <n v="12.490868055555556"/>
    <x v="7"/>
    <s v="Q2"/>
    <s v="Large"/>
  </r>
  <r>
    <x v="10"/>
    <x v="1"/>
    <x v="16"/>
    <x v="383"/>
    <n v="6580.43"/>
    <n v="147"/>
    <n v="44.764829931972791"/>
    <x v="2"/>
    <s v="Q3"/>
    <s v="Large"/>
  </r>
  <r>
    <x v="4"/>
    <x v="1"/>
    <x v="4"/>
    <x v="384"/>
    <n v="12232.97"/>
    <n v="11"/>
    <n v="1112.0881818181817"/>
    <x v="7"/>
    <s v="Q2"/>
    <s v="Large"/>
  </r>
  <r>
    <x v="18"/>
    <x v="2"/>
    <x v="20"/>
    <x v="385"/>
    <n v="2243.44"/>
    <n v="11"/>
    <n v="203.94909090909093"/>
    <x v="3"/>
    <s v="Q2"/>
    <s v="Large"/>
  </r>
  <r>
    <x v="1"/>
    <x v="2"/>
    <x v="10"/>
    <x v="386"/>
    <n v="22943.37"/>
    <n v="14"/>
    <n v="1638.8121428571428"/>
    <x v="1"/>
    <s v="Q3"/>
    <s v="Large"/>
  </r>
  <r>
    <x v="21"/>
    <x v="1"/>
    <x v="6"/>
    <x v="345"/>
    <n v="10590.61"/>
    <n v="430"/>
    <n v="24.629325581395349"/>
    <x v="2"/>
    <s v="Q3"/>
    <s v="Large"/>
  </r>
  <r>
    <x v="4"/>
    <x v="1"/>
    <x v="10"/>
    <x v="387"/>
    <n v="6468.82"/>
    <n v="59"/>
    <n v="109.64101694915254"/>
    <x v="2"/>
    <s v="Q3"/>
    <s v="Large"/>
  </r>
  <r>
    <x v="3"/>
    <x v="4"/>
    <x v="2"/>
    <x v="367"/>
    <n v="10463.57"/>
    <n v="109"/>
    <n v="95.996055045871557"/>
    <x v="2"/>
    <s v="Q3"/>
    <s v="Large"/>
  </r>
  <r>
    <x v="2"/>
    <x v="4"/>
    <x v="18"/>
    <x v="388"/>
    <n v="14154.35"/>
    <n v="105"/>
    <n v="134.80333333333334"/>
    <x v="6"/>
    <s v="Q1"/>
    <s v="Large"/>
  </r>
  <r>
    <x v="2"/>
    <x v="0"/>
    <x v="16"/>
    <x v="389"/>
    <n v="6031.14"/>
    <n v="9"/>
    <n v="670.12666666666667"/>
    <x v="0"/>
    <s v="Q1"/>
    <s v="Large"/>
  </r>
  <r>
    <x v="0"/>
    <x v="3"/>
    <x v="14"/>
    <x v="390"/>
    <n v="3308.4"/>
    <n v="258"/>
    <n v="12.823255813953489"/>
    <x v="6"/>
    <s v="Q1"/>
    <s v="Large"/>
  </r>
  <r>
    <x v="19"/>
    <x v="3"/>
    <x v="2"/>
    <x v="391"/>
    <n v="1119.94"/>
    <n v="283"/>
    <n v="3.9573851590106011"/>
    <x v="5"/>
    <s v="Q2"/>
    <s v="Large"/>
  </r>
  <r>
    <x v="1"/>
    <x v="0"/>
    <x v="10"/>
    <x v="392"/>
    <n v="2303.39"/>
    <n v="222"/>
    <n v="10.37563063063063"/>
    <x v="1"/>
    <s v="Q3"/>
    <s v="Large"/>
  </r>
  <r>
    <x v="13"/>
    <x v="5"/>
    <x v="11"/>
    <x v="393"/>
    <n v="723.37"/>
    <n v="33"/>
    <n v="21.920303030303032"/>
    <x v="2"/>
    <s v="Q3"/>
    <s v="Large"/>
  </r>
  <r>
    <x v="21"/>
    <x v="4"/>
    <x v="12"/>
    <x v="394"/>
    <n v="1413.64"/>
    <n v="261"/>
    <n v="5.4162452107279702"/>
    <x v="4"/>
    <s v="Q1"/>
    <s v="Large"/>
  </r>
  <r>
    <x v="11"/>
    <x v="4"/>
    <x v="7"/>
    <x v="395"/>
    <n v="9001.89"/>
    <n v="193"/>
    <n v="46.641917098445596"/>
    <x v="0"/>
    <s v="Q1"/>
    <s v="Large"/>
  </r>
  <r>
    <x v="1"/>
    <x v="0"/>
    <x v="4"/>
    <x v="396"/>
    <n v="5283.91"/>
    <n v="136"/>
    <n v="38.852279411764705"/>
    <x v="0"/>
    <s v="Q1"/>
    <s v="Large"/>
  </r>
  <r>
    <x v="21"/>
    <x v="4"/>
    <x v="14"/>
    <x v="397"/>
    <n v="10958.51"/>
    <n v="23"/>
    <n v="476.45695652173913"/>
    <x v="1"/>
    <s v="Q3"/>
    <s v="Large"/>
  </r>
  <r>
    <x v="19"/>
    <x v="4"/>
    <x v="17"/>
    <x v="366"/>
    <n v="15531.78"/>
    <n v="22"/>
    <n v="705.99"/>
    <x v="5"/>
    <s v="Q2"/>
    <s v="Large"/>
  </r>
  <r>
    <x v="23"/>
    <x v="2"/>
    <x v="13"/>
    <x v="398"/>
    <n v="317.36"/>
    <n v="337"/>
    <n v="0.94172106824925816"/>
    <x v="1"/>
    <s v="Q3"/>
    <s v="Small"/>
  </r>
  <r>
    <x v="6"/>
    <x v="3"/>
    <x v="0"/>
    <x v="337"/>
    <n v="71.41"/>
    <n v="188"/>
    <n v="0.37984042553191488"/>
    <x v="1"/>
    <s v="Q3"/>
    <s v="Small"/>
  </r>
  <r>
    <x v="13"/>
    <x v="3"/>
    <x v="5"/>
    <x v="399"/>
    <n v="9317.33"/>
    <n v="11"/>
    <n v="847.03"/>
    <x v="7"/>
    <s v="Q2"/>
    <s v="Large"/>
  </r>
  <r>
    <x v="13"/>
    <x v="5"/>
    <x v="10"/>
    <x v="389"/>
    <n v="4790.71"/>
    <n v="86"/>
    <n v="55.705930232558138"/>
    <x v="0"/>
    <s v="Q1"/>
    <s v="Large"/>
  </r>
  <r>
    <x v="17"/>
    <x v="2"/>
    <x v="21"/>
    <x v="400"/>
    <n v="6166.8"/>
    <n v="114"/>
    <n v="54.094736842105263"/>
    <x v="4"/>
    <s v="Q1"/>
    <s v="Large"/>
  </r>
  <r>
    <x v="10"/>
    <x v="4"/>
    <x v="7"/>
    <x v="401"/>
    <n v="11741.46"/>
    <n v="433"/>
    <n v="27.11653579676674"/>
    <x v="7"/>
    <s v="Q2"/>
    <s v="Large"/>
  </r>
  <r>
    <x v="22"/>
    <x v="2"/>
    <x v="12"/>
    <x v="402"/>
    <n v="8519.77"/>
    <n v="443"/>
    <n v="19.231986455981943"/>
    <x v="6"/>
    <s v="Q1"/>
    <s v="Large"/>
  </r>
  <r>
    <x v="17"/>
    <x v="2"/>
    <x v="1"/>
    <x v="352"/>
    <n v="8278.86"/>
    <n v="453"/>
    <n v="18.275629139072848"/>
    <x v="3"/>
    <s v="Q2"/>
    <s v="Large"/>
  </r>
  <r>
    <x v="19"/>
    <x v="5"/>
    <x v="20"/>
    <x v="403"/>
    <n v="7560.62"/>
    <n v="336"/>
    <n v="22.501845238095239"/>
    <x v="0"/>
    <s v="Q1"/>
    <s v="Large"/>
  </r>
  <r>
    <x v="17"/>
    <x v="0"/>
    <x v="8"/>
    <x v="343"/>
    <n v="6702.11"/>
    <n v="285"/>
    <n v="23.516175438596491"/>
    <x v="6"/>
    <s v="Q1"/>
    <s v="Large"/>
  </r>
  <r>
    <x v="22"/>
    <x v="1"/>
    <x v="17"/>
    <x v="338"/>
    <n v="4758.6899999999996"/>
    <n v="10"/>
    <n v="475.86899999999997"/>
    <x v="2"/>
    <s v="Q3"/>
    <s v="Large"/>
  </r>
  <r>
    <x v="1"/>
    <x v="4"/>
    <x v="5"/>
    <x v="404"/>
    <n v="709.25"/>
    <n v="263"/>
    <n v="2.6967680608365021"/>
    <x v="2"/>
    <s v="Q3"/>
    <s v="Large"/>
  </r>
  <r>
    <x v="18"/>
    <x v="2"/>
    <x v="10"/>
    <x v="338"/>
    <n v="2003.05"/>
    <n v="110"/>
    <n v="18.209545454545456"/>
    <x v="2"/>
    <s v="Q3"/>
    <s v="Large"/>
  </r>
  <r>
    <x v="10"/>
    <x v="5"/>
    <x v="6"/>
    <x v="378"/>
    <n v="3248"/>
    <n v="64"/>
    <n v="50.75"/>
    <x v="2"/>
    <s v="Q3"/>
    <s v="Large"/>
  </r>
  <r>
    <x v="13"/>
    <x v="3"/>
    <x v="7"/>
    <x v="405"/>
    <n v="51.98"/>
    <n v="95"/>
    <n v="0.54715789473684207"/>
    <x v="3"/>
    <s v="Q2"/>
    <s v="Small"/>
  </r>
  <r>
    <x v="12"/>
    <x v="2"/>
    <x v="8"/>
    <x v="391"/>
    <n v="2134.65"/>
    <n v="6"/>
    <n v="355.77500000000003"/>
    <x v="5"/>
    <s v="Q2"/>
    <s v="Large"/>
  </r>
  <r>
    <x v="20"/>
    <x v="0"/>
    <x v="13"/>
    <x v="364"/>
    <n v="15540.41"/>
    <n v="520"/>
    <n v="29.885403846153846"/>
    <x v="5"/>
    <s v="Q2"/>
    <s v="Large"/>
  </r>
  <r>
    <x v="11"/>
    <x v="4"/>
    <x v="6"/>
    <x v="362"/>
    <n v="1117.77"/>
    <n v="114"/>
    <n v="9.8049999999999997"/>
    <x v="5"/>
    <s v="Q2"/>
    <s v="Large"/>
  </r>
  <r>
    <x v="15"/>
    <x v="4"/>
    <x v="5"/>
    <x v="406"/>
    <n v="13999.05"/>
    <n v="179"/>
    <n v="78.206983240223465"/>
    <x v="3"/>
    <s v="Q2"/>
    <s v="Large"/>
  </r>
  <r>
    <x v="17"/>
    <x v="2"/>
    <x v="17"/>
    <x v="358"/>
    <n v="6265.59"/>
    <n v="31"/>
    <n v="202.11580645161291"/>
    <x v="6"/>
    <s v="Q1"/>
    <s v="Large"/>
  </r>
  <r>
    <x v="19"/>
    <x v="4"/>
    <x v="13"/>
    <x v="378"/>
    <n v="1536.82"/>
    <n v="386"/>
    <n v="3.9813989637305696"/>
    <x v="2"/>
    <s v="Q3"/>
    <s v="Large"/>
  </r>
  <r>
    <x v="20"/>
    <x v="1"/>
    <x v="8"/>
    <x v="377"/>
    <n v="6069.93"/>
    <n v="80"/>
    <n v="75.874125000000006"/>
    <x v="3"/>
    <s v="Q2"/>
    <s v="Large"/>
  </r>
  <r>
    <x v="11"/>
    <x v="4"/>
    <x v="4"/>
    <x v="407"/>
    <n v="4861.33"/>
    <n v="286"/>
    <n v="16.997657342657341"/>
    <x v="6"/>
    <s v="Q1"/>
    <s v="Large"/>
  </r>
  <r>
    <x v="6"/>
    <x v="5"/>
    <x v="12"/>
    <x v="408"/>
    <n v="8993.24"/>
    <n v="97"/>
    <n v="92.713814432989693"/>
    <x v="6"/>
    <s v="Q1"/>
    <s v="Large"/>
  </r>
  <r>
    <x v="10"/>
    <x v="3"/>
    <x v="21"/>
    <x v="409"/>
    <n v="150.41999999999999"/>
    <n v="40"/>
    <n v="3.7604999999999995"/>
    <x v="1"/>
    <s v="Q3"/>
    <s v="Small"/>
  </r>
  <r>
    <x v="15"/>
    <x v="0"/>
    <x v="12"/>
    <x v="410"/>
    <n v="5593.68"/>
    <n v="41"/>
    <n v="136.43121951219513"/>
    <x v="1"/>
    <s v="Q3"/>
    <s v="Large"/>
  </r>
  <r>
    <x v="11"/>
    <x v="4"/>
    <x v="16"/>
    <x v="411"/>
    <n v="9376.61"/>
    <n v="167"/>
    <n v="56.147365269461083"/>
    <x v="4"/>
    <s v="Q1"/>
    <s v="Large"/>
  </r>
  <r>
    <x v="20"/>
    <x v="1"/>
    <x v="7"/>
    <x v="412"/>
    <n v="11315.16"/>
    <n v="134"/>
    <n v="84.441492537313437"/>
    <x v="5"/>
    <s v="Q2"/>
    <s v="Large"/>
  </r>
  <r>
    <x v="3"/>
    <x v="1"/>
    <x v="12"/>
    <x v="413"/>
    <n v="2048.34"/>
    <n v="506"/>
    <n v="4.0481027667984195"/>
    <x v="3"/>
    <s v="Q2"/>
    <s v="Large"/>
  </r>
  <r>
    <x v="24"/>
    <x v="1"/>
    <x v="12"/>
    <x v="383"/>
    <n v="12562.81"/>
    <n v="101"/>
    <n v="124.38425742574258"/>
    <x v="2"/>
    <s v="Q3"/>
    <s v="Large"/>
  </r>
  <r>
    <x v="20"/>
    <x v="0"/>
    <x v="3"/>
    <x v="414"/>
    <n v="6883.75"/>
    <n v="182"/>
    <n v="37.822802197802197"/>
    <x v="0"/>
    <s v="Q1"/>
    <s v="Large"/>
  </r>
  <r>
    <x v="22"/>
    <x v="2"/>
    <x v="13"/>
    <x v="415"/>
    <n v="6105.6"/>
    <n v="90"/>
    <n v="67.84"/>
    <x v="0"/>
    <s v="Q1"/>
    <s v="Large"/>
  </r>
  <r>
    <x v="22"/>
    <x v="5"/>
    <x v="21"/>
    <x v="416"/>
    <n v="12634.72"/>
    <n v="145"/>
    <n v="87.135999999999996"/>
    <x v="0"/>
    <s v="Q1"/>
    <s v="Large"/>
  </r>
  <r>
    <x v="18"/>
    <x v="2"/>
    <x v="9"/>
    <x v="417"/>
    <n v="663.74"/>
    <n v="285"/>
    <n v="2.3289122807017546"/>
    <x v="3"/>
    <s v="Q2"/>
    <s v="Large"/>
  </r>
  <r>
    <x v="5"/>
    <x v="2"/>
    <x v="13"/>
    <x v="362"/>
    <n v="7044.68"/>
    <n v="21"/>
    <n v="335.46095238095239"/>
    <x v="5"/>
    <s v="Q2"/>
    <s v="Large"/>
  </r>
  <r>
    <x v="2"/>
    <x v="5"/>
    <x v="19"/>
    <x v="418"/>
    <n v="1804.9"/>
    <n v="47"/>
    <n v="38.402127659574468"/>
    <x v="0"/>
    <s v="Q1"/>
    <s v="Large"/>
  </r>
  <r>
    <x v="20"/>
    <x v="1"/>
    <x v="20"/>
    <x v="419"/>
    <n v="513.42999999999995"/>
    <n v="131"/>
    <n v="3.9193129770992363"/>
    <x v="6"/>
    <s v="Q1"/>
    <s v="Large"/>
  </r>
  <r>
    <x v="7"/>
    <x v="2"/>
    <x v="9"/>
    <x v="420"/>
    <n v="13699.76"/>
    <n v="389"/>
    <n v="35.217892030848333"/>
    <x v="4"/>
    <s v="Q1"/>
    <s v="Large"/>
  </r>
  <r>
    <x v="20"/>
    <x v="4"/>
    <x v="15"/>
    <x v="353"/>
    <n v="19995.68"/>
    <n v="94"/>
    <n v="212.72"/>
    <x v="4"/>
    <s v="Q1"/>
    <s v="Large"/>
  </r>
  <r>
    <x v="0"/>
    <x v="5"/>
    <x v="12"/>
    <x v="346"/>
    <n v="2189.6999999999998"/>
    <n v="29"/>
    <n v="75.506896551724125"/>
    <x v="0"/>
    <s v="Q1"/>
    <s v="Large"/>
  </r>
  <r>
    <x v="20"/>
    <x v="2"/>
    <x v="8"/>
    <x v="421"/>
    <n v="8727.09"/>
    <n v="523"/>
    <n v="16.686596558317401"/>
    <x v="6"/>
    <s v="Q1"/>
    <s v="Large"/>
  </r>
  <r>
    <x v="14"/>
    <x v="5"/>
    <x v="12"/>
    <x v="422"/>
    <n v="911.46"/>
    <n v="126"/>
    <n v="7.2338095238095237"/>
    <x v="5"/>
    <s v="Q2"/>
    <s v="Large"/>
  </r>
  <r>
    <x v="4"/>
    <x v="1"/>
    <x v="17"/>
    <x v="385"/>
    <n v="7620.86"/>
    <n v="46"/>
    <n v="165.67086956521737"/>
    <x v="3"/>
    <s v="Q2"/>
    <s v="Large"/>
  </r>
  <r>
    <x v="20"/>
    <x v="0"/>
    <x v="8"/>
    <x v="342"/>
    <n v="5054.5600000000004"/>
    <n v="60"/>
    <n v="84.242666666666679"/>
    <x v="0"/>
    <s v="Q1"/>
    <s v="Large"/>
  </r>
  <r>
    <x v="3"/>
    <x v="1"/>
    <x v="16"/>
    <x v="390"/>
    <n v="5230.5"/>
    <n v="23"/>
    <n v="227.41304347826087"/>
    <x v="6"/>
    <s v="Q1"/>
    <s v="Large"/>
  </r>
  <r>
    <x v="23"/>
    <x v="0"/>
    <x v="16"/>
    <x v="348"/>
    <n v="17104.04"/>
    <n v="103"/>
    <n v="166.05864077669904"/>
    <x v="2"/>
    <s v="Q3"/>
    <s v="Large"/>
  </r>
  <r>
    <x v="11"/>
    <x v="3"/>
    <x v="5"/>
    <x v="423"/>
    <n v="1642.32"/>
    <n v="43"/>
    <n v="38.193488372093022"/>
    <x v="6"/>
    <s v="Q1"/>
    <s v="Large"/>
  </r>
  <r>
    <x v="15"/>
    <x v="2"/>
    <x v="7"/>
    <x v="380"/>
    <n v="10322.19"/>
    <n v="182"/>
    <n v="56.715329670329673"/>
    <x v="5"/>
    <s v="Q2"/>
    <s v="Large"/>
  </r>
  <r>
    <x v="11"/>
    <x v="2"/>
    <x v="11"/>
    <x v="348"/>
    <n v="2715.92"/>
    <n v="423"/>
    <n v="6.4206146572104021"/>
    <x v="2"/>
    <s v="Q3"/>
    <s v="Large"/>
  </r>
  <r>
    <x v="20"/>
    <x v="5"/>
    <x v="4"/>
    <x v="424"/>
    <n v="5598.05"/>
    <n v="51"/>
    <n v="109.7656862745098"/>
    <x v="1"/>
    <s v="Q3"/>
    <s v="Large"/>
  </r>
  <r>
    <x v="16"/>
    <x v="2"/>
    <x v="15"/>
    <x v="425"/>
    <n v="2996.99"/>
    <n v="280"/>
    <n v="10.703535714285714"/>
    <x v="0"/>
    <s v="Q1"/>
    <s v="Large"/>
  </r>
  <r>
    <x v="12"/>
    <x v="3"/>
    <x v="14"/>
    <x v="343"/>
    <n v="7946.49"/>
    <n v="7"/>
    <n v="1135.212857142857"/>
    <x v="6"/>
    <s v="Q1"/>
    <s v="Large"/>
  </r>
  <r>
    <x v="1"/>
    <x v="0"/>
    <x v="11"/>
    <x v="426"/>
    <n v="4991.22"/>
    <n v="92"/>
    <n v="54.252391304347832"/>
    <x v="2"/>
    <s v="Q3"/>
    <s v="Large"/>
  </r>
  <r>
    <x v="4"/>
    <x v="5"/>
    <x v="4"/>
    <x v="337"/>
    <n v="4151.7"/>
    <n v="424"/>
    <n v="9.7917452830188676"/>
    <x v="1"/>
    <s v="Q3"/>
    <s v="Large"/>
  </r>
  <r>
    <x v="1"/>
    <x v="1"/>
    <x v="10"/>
    <x v="381"/>
    <n v="22701.85"/>
    <n v="168"/>
    <n v="135.13005952380951"/>
    <x v="7"/>
    <s v="Q2"/>
    <s v="Large"/>
  </r>
  <r>
    <x v="13"/>
    <x v="1"/>
    <x v="3"/>
    <x v="386"/>
    <n v="6014.3"/>
    <n v="141"/>
    <n v="42.654609929078013"/>
    <x v="1"/>
    <s v="Q3"/>
    <s v="Large"/>
  </r>
  <r>
    <x v="3"/>
    <x v="1"/>
    <x v="8"/>
    <x v="415"/>
    <n v="2788.6"/>
    <n v="27"/>
    <n v="103.28148148148148"/>
    <x v="0"/>
    <s v="Q1"/>
    <s v="Large"/>
  </r>
  <r>
    <x v="24"/>
    <x v="0"/>
    <x v="3"/>
    <x v="372"/>
    <n v="6503.75"/>
    <n v="116"/>
    <n v="56.066810344827587"/>
    <x v="2"/>
    <s v="Q3"/>
    <s v="Large"/>
  </r>
  <r>
    <x v="18"/>
    <x v="4"/>
    <x v="5"/>
    <x v="427"/>
    <n v="433.92"/>
    <n v="31"/>
    <n v="13.99741935483871"/>
    <x v="3"/>
    <s v="Q2"/>
    <s v="Small"/>
  </r>
  <r>
    <x v="2"/>
    <x v="3"/>
    <x v="13"/>
    <x v="428"/>
    <n v="12314.13"/>
    <n v="129"/>
    <n v="95.458372093023243"/>
    <x v="3"/>
    <s v="Q2"/>
    <s v="Large"/>
  </r>
  <r>
    <x v="8"/>
    <x v="4"/>
    <x v="17"/>
    <x v="413"/>
    <n v="9876.86"/>
    <n v="106"/>
    <n v="93.177924528301887"/>
    <x v="3"/>
    <s v="Q2"/>
    <s v="Large"/>
  </r>
  <r>
    <x v="18"/>
    <x v="3"/>
    <x v="1"/>
    <x v="409"/>
    <n v="2043.06"/>
    <n v="121"/>
    <n v="16.884793388429753"/>
    <x v="1"/>
    <s v="Q3"/>
    <s v="Large"/>
  </r>
  <r>
    <x v="2"/>
    <x v="3"/>
    <x v="15"/>
    <x v="380"/>
    <n v="8728.7999999999993"/>
    <n v="272"/>
    <n v="32.091176470588231"/>
    <x v="5"/>
    <s v="Q2"/>
    <s v="Large"/>
  </r>
  <r>
    <x v="24"/>
    <x v="2"/>
    <x v="8"/>
    <x v="361"/>
    <n v="4906.57"/>
    <n v="128"/>
    <n v="38.332578124999998"/>
    <x v="2"/>
    <s v="Q3"/>
    <s v="Large"/>
  </r>
  <r>
    <x v="7"/>
    <x v="3"/>
    <x v="18"/>
    <x v="412"/>
    <n v="2278.06"/>
    <n v="49"/>
    <n v="46.491020408163266"/>
    <x v="5"/>
    <s v="Q2"/>
    <s v="Large"/>
  </r>
  <r>
    <x v="6"/>
    <x v="3"/>
    <x v="3"/>
    <x v="429"/>
    <n v="1108.18"/>
    <n v="27"/>
    <n v="41.043703703703706"/>
    <x v="0"/>
    <s v="Q1"/>
    <s v="Large"/>
  </r>
  <r>
    <x v="6"/>
    <x v="2"/>
    <x v="19"/>
    <x v="336"/>
    <n v="14957.65"/>
    <n v="206"/>
    <n v="72.609951456310682"/>
    <x v="0"/>
    <s v="Q1"/>
    <s v="Large"/>
  </r>
  <r>
    <x v="17"/>
    <x v="2"/>
    <x v="4"/>
    <x v="396"/>
    <n v="3020.67"/>
    <n v="19"/>
    <n v="158.98263157894738"/>
    <x v="0"/>
    <s v="Q1"/>
    <s v="Large"/>
  </r>
  <r>
    <x v="20"/>
    <x v="1"/>
    <x v="16"/>
    <x v="358"/>
    <n v="3677.47"/>
    <n v="152"/>
    <n v="24.193881578947366"/>
    <x v="6"/>
    <s v="Q1"/>
    <s v="Large"/>
  </r>
  <r>
    <x v="21"/>
    <x v="2"/>
    <x v="21"/>
    <x v="430"/>
    <n v="6999.62"/>
    <n v="500"/>
    <n v="13.99924"/>
    <x v="3"/>
    <s v="Q2"/>
    <s v="Large"/>
  </r>
  <r>
    <x v="4"/>
    <x v="1"/>
    <x v="3"/>
    <x v="400"/>
    <n v="10901.65"/>
    <n v="116"/>
    <n v="93.97974137931034"/>
    <x v="4"/>
    <s v="Q1"/>
    <s v="Large"/>
  </r>
  <r>
    <x v="16"/>
    <x v="0"/>
    <x v="10"/>
    <x v="431"/>
    <n v="2586.62"/>
    <n v="172"/>
    <n v="15.038488372093022"/>
    <x v="6"/>
    <s v="Q1"/>
    <s v="Large"/>
  </r>
  <r>
    <x v="11"/>
    <x v="1"/>
    <x v="20"/>
    <x v="419"/>
    <n v="5077.5"/>
    <n v="81"/>
    <n v="62.685185185185183"/>
    <x v="6"/>
    <s v="Q1"/>
    <s v="Large"/>
  </r>
  <r>
    <x v="10"/>
    <x v="0"/>
    <x v="8"/>
    <x v="342"/>
    <n v="8360.11"/>
    <n v="203"/>
    <n v="41.1828078817734"/>
    <x v="0"/>
    <s v="Q1"/>
    <s v="Large"/>
  </r>
  <r>
    <x v="1"/>
    <x v="1"/>
    <x v="19"/>
    <x v="391"/>
    <n v="3566.77"/>
    <n v="426"/>
    <n v="8.3726995305164316"/>
    <x v="5"/>
    <s v="Q2"/>
    <s v="Large"/>
  </r>
  <r>
    <x v="2"/>
    <x v="0"/>
    <x v="5"/>
    <x v="432"/>
    <n v="9186.69"/>
    <n v="173"/>
    <n v="53.10225433526012"/>
    <x v="6"/>
    <s v="Q1"/>
    <s v="Large"/>
  </r>
  <r>
    <x v="14"/>
    <x v="2"/>
    <x v="7"/>
    <x v="433"/>
    <n v="917.35"/>
    <n v="140"/>
    <n v="6.5525000000000002"/>
    <x v="2"/>
    <s v="Q3"/>
    <s v="Large"/>
  </r>
  <r>
    <x v="0"/>
    <x v="5"/>
    <x v="3"/>
    <x v="372"/>
    <n v="6199.12"/>
    <n v="132"/>
    <n v="46.963030303030301"/>
    <x v="2"/>
    <s v="Q3"/>
    <s v="Large"/>
  </r>
  <r>
    <x v="10"/>
    <x v="5"/>
    <x v="3"/>
    <x v="414"/>
    <n v="3368.63"/>
    <n v="180"/>
    <n v="18.714611111111111"/>
    <x v="0"/>
    <s v="Q1"/>
    <s v="Large"/>
  </r>
  <r>
    <x v="19"/>
    <x v="4"/>
    <x v="1"/>
    <x v="352"/>
    <n v="10527.23"/>
    <n v="82"/>
    <n v="128.38085365853658"/>
    <x v="3"/>
    <s v="Q2"/>
    <s v="Large"/>
  </r>
  <r>
    <x v="0"/>
    <x v="5"/>
    <x v="11"/>
    <x v="420"/>
    <n v="7927.57"/>
    <n v="12"/>
    <n v="660.63083333333327"/>
    <x v="4"/>
    <s v="Q1"/>
    <s v="Large"/>
  </r>
  <r>
    <x v="7"/>
    <x v="3"/>
    <x v="20"/>
    <x v="434"/>
    <n v="14493.5"/>
    <n v="15"/>
    <n v="966.23333333333335"/>
    <x v="7"/>
    <s v="Q2"/>
    <s v="Large"/>
  </r>
  <r>
    <x v="9"/>
    <x v="2"/>
    <x v="11"/>
    <x v="435"/>
    <n v="3112.2"/>
    <n v="107"/>
    <n v="29.085981308411213"/>
    <x v="2"/>
    <s v="Q3"/>
    <s v="Large"/>
  </r>
  <r>
    <x v="8"/>
    <x v="4"/>
    <x v="13"/>
    <x v="418"/>
    <n v="9617.64"/>
    <n v="44"/>
    <n v="218.58272727272725"/>
    <x v="0"/>
    <s v="Q1"/>
    <s v="Large"/>
  </r>
  <r>
    <x v="11"/>
    <x v="0"/>
    <x v="20"/>
    <x v="376"/>
    <n v="4198.08"/>
    <n v="107"/>
    <n v="39.234392523364484"/>
    <x v="2"/>
    <s v="Q3"/>
    <s v="Large"/>
  </r>
  <r>
    <x v="9"/>
    <x v="3"/>
    <x v="15"/>
    <x v="436"/>
    <n v="10927.22"/>
    <n v="11"/>
    <n v="993.38363636363636"/>
    <x v="3"/>
    <s v="Q2"/>
    <s v="Large"/>
  </r>
  <r>
    <x v="13"/>
    <x v="1"/>
    <x v="2"/>
    <x v="394"/>
    <n v="10759.18"/>
    <n v="20"/>
    <n v="537.95900000000006"/>
    <x v="4"/>
    <s v="Q1"/>
    <s v="Large"/>
  </r>
  <r>
    <x v="13"/>
    <x v="3"/>
    <x v="11"/>
    <x v="388"/>
    <n v="6250.42"/>
    <n v="111"/>
    <n v="56.310090090090092"/>
    <x v="6"/>
    <s v="Q1"/>
    <s v="Large"/>
  </r>
  <r>
    <x v="24"/>
    <x v="2"/>
    <x v="14"/>
    <x v="388"/>
    <n v="1103.54"/>
    <n v="195"/>
    <n v="5.6591794871794869"/>
    <x v="6"/>
    <s v="Q1"/>
    <s v="Large"/>
  </r>
  <r>
    <x v="1"/>
    <x v="4"/>
    <x v="4"/>
    <x v="348"/>
    <n v="13435.98"/>
    <n v="6"/>
    <n v="2239.33"/>
    <x v="2"/>
    <s v="Q3"/>
    <s v="Large"/>
  </r>
  <r>
    <x v="20"/>
    <x v="1"/>
    <x v="5"/>
    <x v="437"/>
    <n v="1855.03"/>
    <n v="563"/>
    <n v="3.2949023090586147"/>
    <x v="0"/>
    <s v="Q1"/>
    <s v="Large"/>
  </r>
  <r>
    <x v="6"/>
    <x v="0"/>
    <x v="14"/>
    <x v="413"/>
    <n v="5799.09"/>
    <n v="169"/>
    <n v="34.314142011834321"/>
    <x v="3"/>
    <s v="Q2"/>
    <s v="Large"/>
  </r>
  <r>
    <x v="1"/>
    <x v="5"/>
    <x v="16"/>
    <x v="355"/>
    <n v="3631.78"/>
    <n v="71"/>
    <n v="51.151830985915495"/>
    <x v="5"/>
    <s v="Q2"/>
    <s v="Large"/>
  </r>
  <r>
    <x v="0"/>
    <x v="2"/>
    <x v="6"/>
    <x v="438"/>
    <n v="5461.43"/>
    <n v="456"/>
    <n v="11.976820175438597"/>
    <x v="0"/>
    <s v="Q1"/>
    <s v="Large"/>
  </r>
  <r>
    <x v="10"/>
    <x v="0"/>
    <x v="19"/>
    <x v="400"/>
    <n v="5315.95"/>
    <n v="389"/>
    <n v="13.665681233933162"/>
    <x v="4"/>
    <s v="Q1"/>
    <s v="Large"/>
  </r>
  <r>
    <x v="0"/>
    <x v="2"/>
    <x v="7"/>
    <x v="421"/>
    <n v="16059.94"/>
    <n v="28"/>
    <n v="573.56928571428568"/>
    <x v="6"/>
    <s v="Q1"/>
    <s v="Large"/>
  </r>
  <r>
    <x v="11"/>
    <x v="1"/>
    <x v="2"/>
    <x v="389"/>
    <n v="7803.84"/>
    <n v="157"/>
    <n v="49.705987261146497"/>
    <x v="0"/>
    <s v="Q1"/>
    <s v="Large"/>
  </r>
  <r>
    <x v="4"/>
    <x v="0"/>
    <x v="18"/>
    <x v="439"/>
    <n v="10751.19"/>
    <n v="44"/>
    <n v="244.34522727272727"/>
    <x v="6"/>
    <s v="Q1"/>
    <s v="Large"/>
  </r>
  <r>
    <x v="2"/>
    <x v="4"/>
    <x v="12"/>
    <x v="440"/>
    <n v="12156.54"/>
    <n v="54"/>
    <n v="225.12111111111113"/>
    <x v="0"/>
    <s v="Q1"/>
    <s v="Large"/>
  </r>
  <r>
    <x v="8"/>
    <x v="2"/>
    <x v="14"/>
    <x v="345"/>
    <n v="9402.26"/>
    <n v="401"/>
    <n v="23.44703241895262"/>
    <x v="2"/>
    <s v="Q3"/>
    <s v="Large"/>
  </r>
  <r>
    <x v="16"/>
    <x v="5"/>
    <x v="2"/>
    <x v="345"/>
    <n v="3653.39"/>
    <n v="185"/>
    <n v="19.748054054054052"/>
    <x v="2"/>
    <s v="Q3"/>
    <s v="Large"/>
  </r>
  <r>
    <x v="23"/>
    <x v="4"/>
    <x v="15"/>
    <x v="386"/>
    <n v="320.11"/>
    <n v="201"/>
    <n v="1.5925870646766169"/>
    <x v="1"/>
    <s v="Q3"/>
    <s v="Small"/>
  </r>
  <r>
    <x v="17"/>
    <x v="2"/>
    <x v="6"/>
    <x v="405"/>
    <n v="7618.91"/>
    <n v="12"/>
    <n v="634.90916666666669"/>
    <x v="3"/>
    <s v="Q2"/>
    <s v="Large"/>
  </r>
  <r>
    <x v="2"/>
    <x v="1"/>
    <x v="17"/>
    <x v="441"/>
    <n v="2843.9"/>
    <n v="158"/>
    <n v="17.999367088607595"/>
    <x v="4"/>
    <s v="Q1"/>
    <s v="Large"/>
  </r>
  <r>
    <x v="21"/>
    <x v="0"/>
    <x v="14"/>
    <x v="403"/>
    <n v="11946.4"/>
    <n v="192"/>
    <n v="62.220833333333331"/>
    <x v="0"/>
    <s v="Q1"/>
    <s v="Large"/>
  </r>
  <r>
    <x v="10"/>
    <x v="1"/>
    <x v="9"/>
    <x v="442"/>
    <n v="5055.05"/>
    <n v="241"/>
    <n v="20.975311203319503"/>
    <x v="7"/>
    <s v="Q2"/>
    <s v="Large"/>
  </r>
  <r>
    <x v="23"/>
    <x v="0"/>
    <x v="4"/>
    <x v="403"/>
    <n v="10378.36"/>
    <n v="301"/>
    <n v="34.479601328903655"/>
    <x v="0"/>
    <s v="Q1"/>
    <s v="Large"/>
  </r>
  <r>
    <x v="15"/>
    <x v="3"/>
    <x v="20"/>
    <x v="395"/>
    <n v="595.16"/>
    <n v="461"/>
    <n v="1.2910195227765726"/>
    <x v="0"/>
    <s v="Q1"/>
    <s v="Large"/>
  </r>
  <r>
    <x v="8"/>
    <x v="0"/>
    <x v="6"/>
    <x v="418"/>
    <n v="639.95000000000005"/>
    <n v="71"/>
    <n v="9.0133802816901412"/>
    <x v="0"/>
    <s v="Q1"/>
    <s v="Large"/>
  </r>
  <r>
    <x v="14"/>
    <x v="2"/>
    <x v="10"/>
    <x v="380"/>
    <n v="3717.35"/>
    <n v="322"/>
    <n v="11.544565217391304"/>
    <x v="5"/>
    <s v="Q2"/>
    <s v="Large"/>
  </r>
  <r>
    <x v="15"/>
    <x v="0"/>
    <x v="18"/>
    <x v="388"/>
    <n v="5057.1000000000004"/>
    <n v="41"/>
    <n v="123.3439024390244"/>
    <x v="6"/>
    <s v="Q1"/>
    <s v="Large"/>
  </r>
  <r>
    <x v="18"/>
    <x v="2"/>
    <x v="5"/>
    <x v="384"/>
    <n v="3729.83"/>
    <n v="27"/>
    <n v="138.14185185185184"/>
    <x v="7"/>
    <s v="Q2"/>
    <s v="Large"/>
  </r>
  <r>
    <x v="17"/>
    <x v="4"/>
    <x v="16"/>
    <x v="366"/>
    <n v="13786.87"/>
    <n v="85"/>
    <n v="162.1984705882353"/>
    <x v="5"/>
    <s v="Q2"/>
    <s v="Large"/>
  </r>
  <r>
    <x v="8"/>
    <x v="5"/>
    <x v="2"/>
    <x v="412"/>
    <n v="2206.2800000000002"/>
    <n v="79"/>
    <n v="27.927594936708864"/>
    <x v="5"/>
    <s v="Q2"/>
    <s v="Large"/>
  </r>
  <r>
    <x v="16"/>
    <x v="4"/>
    <x v="21"/>
    <x v="401"/>
    <n v="4672.25"/>
    <n v="103"/>
    <n v="45.36165048543689"/>
    <x v="7"/>
    <s v="Q2"/>
    <s v="Large"/>
  </r>
  <r>
    <x v="8"/>
    <x v="3"/>
    <x v="17"/>
    <x v="435"/>
    <n v="7667.99"/>
    <n v="69"/>
    <n v="111.13028985507246"/>
    <x v="2"/>
    <s v="Q3"/>
    <s v="Large"/>
  </r>
  <r>
    <x v="17"/>
    <x v="0"/>
    <x v="14"/>
    <x v="349"/>
    <n v="8338.51"/>
    <n v="270"/>
    <n v="30.883370370370372"/>
    <x v="1"/>
    <s v="Q3"/>
    <s v="Large"/>
  </r>
  <r>
    <x v="8"/>
    <x v="1"/>
    <x v="19"/>
    <x v="397"/>
    <n v="7548.62"/>
    <n v="153"/>
    <n v="49.337385620915029"/>
    <x v="1"/>
    <s v="Q3"/>
    <s v="Large"/>
  </r>
  <r>
    <x v="1"/>
    <x v="3"/>
    <x v="3"/>
    <x v="443"/>
    <n v="3608.83"/>
    <n v="46"/>
    <n v="78.45282608695652"/>
    <x v="5"/>
    <s v="Q2"/>
    <s v="Large"/>
  </r>
  <r>
    <x v="12"/>
    <x v="0"/>
    <x v="14"/>
    <x v="366"/>
    <n v="7108.96"/>
    <n v="80"/>
    <n v="88.861999999999995"/>
    <x v="5"/>
    <s v="Q2"/>
    <s v="Large"/>
  </r>
  <r>
    <x v="21"/>
    <x v="3"/>
    <x v="0"/>
    <x v="444"/>
    <n v="1293.02"/>
    <n v="201"/>
    <n v="6.4329353233830844"/>
    <x v="5"/>
    <s v="Q2"/>
    <s v="Large"/>
  </r>
  <r>
    <x v="24"/>
    <x v="0"/>
    <x v="7"/>
    <x v="339"/>
    <n v="15365.78"/>
    <n v="57"/>
    <n v="269.57508771929827"/>
    <x v="3"/>
    <s v="Q2"/>
    <s v="Large"/>
  </r>
  <r>
    <x v="3"/>
    <x v="2"/>
    <x v="14"/>
    <x v="445"/>
    <n v="3766.49"/>
    <n v="33"/>
    <n v="114.1360606060606"/>
    <x v="2"/>
    <s v="Q3"/>
    <s v="Large"/>
  </r>
  <r>
    <x v="9"/>
    <x v="5"/>
    <x v="1"/>
    <x v="344"/>
    <n v="1664.68"/>
    <n v="465"/>
    <n v="3.5799569892473118"/>
    <x v="3"/>
    <s v="Q2"/>
    <s v="Large"/>
  </r>
  <r>
    <x v="7"/>
    <x v="1"/>
    <x v="12"/>
    <x v="336"/>
    <n v="8972.7900000000009"/>
    <n v="134"/>
    <n v="66.961119402985076"/>
    <x v="0"/>
    <s v="Q1"/>
    <s v="Large"/>
  </r>
  <r>
    <x v="24"/>
    <x v="2"/>
    <x v="0"/>
    <x v="420"/>
    <n v="10576.55"/>
    <n v="96"/>
    <n v="110.17239583333333"/>
    <x v="4"/>
    <s v="Q1"/>
    <s v="Large"/>
  </r>
  <r>
    <x v="10"/>
    <x v="2"/>
    <x v="14"/>
    <x v="415"/>
    <n v="8857.15"/>
    <n v="50"/>
    <n v="177.143"/>
    <x v="0"/>
    <s v="Q1"/>
    <s v="Large"/>
  </r>
  <r>
    <x v="12"/>
    <x v="1"/>
    <x v="9"/>
    <x v="378"/>
    <n v="6756.17"/>
    <n v="45"/>
    <n v="150.13711111111112"/>
    <x v="2"/>
    <s v="Q3"/>
    <s v="Large"/>
  </r>
  <r>
    <x v="6"/>
    <x v="2"/>
    <x v="18"/>
    <x v="399"/>
    <n v="5532.85"/>
    <n v="63"/>
    <n v="87.823015873015876"/>
    <x v="7"/>
    <s v="Q2"/>
    <s v="Large"/>
  </r>
  <r>
    <x v="10"/>
    <x v="5"/>
    <x v="8"/>
    <x v="344"/>
    <n v="3713.66"/>
    <n v="352"/>
    <n v="10.550170454545453"/>
    <x v="3"/>
    <s v="Q2"/>
    <s v="Large"/>
  </r>
  <r>
    <x v="2"/>
    <x v="4"/>
    <x v="4"/>
    <x v="370"/>
    <n v="906.85"/>
    <n v="246"/>
    <n v="3.6863821138211383"/>
    <x v="5"/>
    <s v="Q2"/>
    <s v="Large"/>
  </r>
  <r>
    <x v="11"/>
    <x v="0"/>
    <x v="3"/>
    <x v="446"/>
    <n v="22558.880000000001"/>
    <n v="84"/>
    <n v="268.55809523809523"/>
    <x v="7"/>
    <s v="Q2"/>
    <s v="Large"/>
  </r>
  <r>
    <x v="12"/>
    <x v="3"/>
    <x v="19"/>
    <x v="349"/>
    <n v="1517.05"/>
    <n v="147"/>
    <n v="10.320068027210883"/>
    <x v="1"/>
    <s v="Q3"/>
    <s v="Large"/>
  </r>
  <r>
    <x v="12"/>
    <x v="2"/>
    <x v="11"/>
    <x v="399"/>
    <n v="770.45"/>
    <n v="389"/>
    <n v="1.980591259640103"/>
    <x v="7"/>
    <s v="Q2"/>
    <s v="Large"/>
  </r>
  <r>
    <x v="1"/>
    <x v="0"/>
    <x v="17"/>
    <x v="419"/>
    <n v="7623.35"/>
    <n v="80"/>
    <n v="95.291875000000005"/>
    <x v="6"/>
    <s v="Q1"/>
    <s v="Large"/>
  </r>
  <r>
    <x v="3"/>
    <x v="2"/>
    <x v="7"/>
    <x v="345"/>
    <n v="3418.05"/>
    <n v="117"/>
    <n v="29.214102564102564"/>
    <x v="2"/>
    <s v="Q3"/>
    <s v="Large"/>
  </r>
  <r>
    <x v="0"/>
    <x v="1"/>
    <x v="6"/>
    <x v="361"/>
    <n v="4055.71"/>
    <n v="137"/>
    <n v="29.603722627737227"/>
    <x v="2"/>
    <s v="Q3"/>
    <s v="Large"/>
  </r>
  <r>
    <x v="22"/>
    <x v="4"/>
    <x v="5"/>
    <x v="447"/>
    <n v="5432.84"/>
    <n v="450"/>
    <n v="12.072977777777778"/>
    <x v="6"/>
    <s v="Q1"/>
    <s v="Large"/>
  </r>
  <r>
    <x v="8"/>
    <x v="0"/>
    <x v="17"/>
    <x v="374"/>
    <n v="6016.8"/>
    <n v="71"/>
    <n v="84.743661971830988"/>
    <x v="1"/>
    <s v="Q3"/>
    <s v="Large"/>
  </r>
  <r>
    <x v="24"/>
    <x v="2"/>
    <x v="21"/>
    <x v="425"/>
    <n v="3609.76"/>
    <n v="122"/>
    <n v="29.588196721311476"/>
    <x v="0"/>
    <s v="Q1"/>
    <s v="Large"/>
  </r>
  <r>
    <x v="11"/>
    <x v="0"/>
    <x v="19"/>
    <x v="375"/>
    <n v="302.25"/>
    <n v="154"/>
    <n v="1.9626623376623376"/>
    <x v="5"/>
    <s v="Q2"/>
    <s v="Small"/>
  </r>
  <r>
    <x v="16"/>
    <x v="2"/>
    <x v="2"/>
    <x v="448"/>
    <n v="6062.87"/>
    <n v="290"/>
    <n v="20.906448275862068"/>
    <x v="6"/>
    <s v="Q1"/>
    <s v="Large"/>
  </r>
  <r>
    <x v="7"/>
    <x v="1"/>
    <x v="16"/>
    <x v="445"/>
    <n v="3589.91"/>
    <n v="106"/>
    <n v="33.867075471698115"/>
    <x v="2"/>
    <s v="Q3"/>
    <s v="Large"/>
  </r>
  <r>
    <x v="15"/>
    <x v="0"/>
    <x v="20"/>
    <x v="371"/>
    <n v="16457.28"/>
    <n v="442"/>
    <n v="37.233665158371039"/>
    <x v="3"/>
    <s v="Q2"/>
    <s v="Large"/>
  </r>
  <r>
    <x v="13"/>
    <x v="1"/>
    <x v="7"/>
    <x v="355"/>
    <n v="4813.53"/>
    <n v="19"/>
    <n v="253.34368421052631"/>
    <x v="5"/>
    <s v="Q2"/>
    <s v="Large"/>
  </r>
  <r>
    <x v="0"/>
    <x v="0"/>
    <x v="21"/>
    <x v="385"/>
    <n v="5819.17"/>
    <n v="270"/>
    <n v="21.552481481481482"/>
    <x v="3"/>
    <s v="Q2"/>
    <s v="Large"/>
  </r>
  <r>
    <x v="15"/>
    <x v="2"/>
    <x v="15"/>
    <x v="447"/>
    <n v="7824.91"/>
    <n v="100"/>
    <n v="78.249099999999999"/>
    <x v="6"/>
    <s v="Q1"/>
    <s v="Large"/>
  </r>
  <r>
    <x v="22"/>
    <x v="4"/>
    <x v="8"/>
    <x v="449"/>
    <n v="9446.67"/>
    <n v="193"/>
    <n v="48.946476683937824"/>
    <x v="6"/>
    <s v="Q1"/>
    <s v="Large"/>
  </r>
  <r>
    <x v="6"/>
    <x v="1"/>
    <x v="8"/>
    <x v="430"/>
    <n v="1447.58"/>
    <n v="67"/>
    <n v="21.605671641791044"/>
    <x v="3"/>
    <s v="Q2"/>
    <s v="Large"/>
  </r>
  <r>
    <x v="9"/>
    <x v="3"/>
    <x v="14"/>
    <x v="411"/>
    <n v="3356.27"/>
    <n v="238"/>
    <n v="14.101974789915966"/>
    <x v="4"/>
    <s v="Q1"/>
    <s v="Large"/>
  </r>
  <r>
    <x v="15"/>
    <x v="4"/>
    <x v="11"/>
    <x v="388"/>
    <n v="1031.25"/>
    <n v="55"/>
    <n v="18.75"/>
    <x v="6"/>
    <s v="Q1"/>
    <s v="Large"/>
  </r>
  <r>
    <x v="1"/>
    <x v="2"/>
    <x v="11"/>
    <x v="391"/>
    <n v="9471.51"/>
    <n v="95"/>
    <n v="99.700105263157894"/>
    <x v="5"/>
    <s v="Q2"/>
    <s v="Large"/>
  </r>
  <r>
    <x v="12"/>
    <x v="5"/>
    <x v="14"/>
    <x v="378"/>
    <n v="10573.29"/>
    <n v="179"/>
    <n v="59.068659217877098"/>
    <x v="2"/>
    <s v="Q3"/>
    <s v="Large"/>
  </r>
  <r>
    <x v="23"/>
    <x v="2"/>
    <x v="6"/>
    <x v="401"/>
    <n v="3321.9"/>
    <n v="247"/>
    <n v="13.448987854251012"/>
    <x v="7"/>
    <s v="Q2"/>
    <s v="Large"/>
  </r>
  <r>
    <x v="9"/>
    <x v="3"/>
    <x v="10"/>
    <x v="450"/>
    <n v="5318"/>
    <n v="281"/>
    <n v="18.92526690391459"/>
    <x v="2"/>
    <s v="Q3"/>
    <s v="Large"/>
  </r>
  <r>
    <x v="15"/>
    <x v="4"/>
    <x v="1"/>
    <x v="451"/>
    <n v="415.67"/>
    <n v="59"/>
    <n v="7.0452542372881357"/>
    <x v="1"/>
    <s v="Q3"/>
    <s v="Small"/>
  </r>
  <r>
    <x v="22"/>
    <x v="2"/>
    <x v="6"/>
    <x v="426"/>
    <n v="8295.8799999999992"/>
    <n v="6"/>
    <n v="1382.6466666666665"/>
    <x v="2"/>
    <s v="Q3"/>
    <s v="Large"/>
  </r>
  <r>
    <x v="18"/>
    <x v="0"/>
    <x v="9"/>
    <x v="379"/>
    <n v="3857.25"/>
    <n v="54"/>
    <n v="71.430555555555557"/>
    <x v="7"/>
    <s v="Q2"/>
    <s v="Large"/>
  </r>
  <r>
    <x v="21"/>
    <x v="1"/>
    <x v="2"/>
    <x v="378"/>
    <n v="14102.83"/>
    <n v="291"/>
    <n v="48.463333333333331"/>
    <x v="2"/>
    <s v="Q3"/>
    <s v="Large"/>
  </r>
  <r>
    <x v="14"/>
    <x v="1"/>
    <x v="21"/>
    <x v="361"/>
    <n v="2453.44"/>
    <n v="43"/>
    <n v="57.056744186046515"/>
    <x v="2"/>
    <s v="Q3"/>
    <s v="Large"/>
  </r>
  <r>
    <x v="9"/>
    <x v="4"/>
    <x v="15"/>
    <x v="345"/>
    <n v="5910.67"/>
    <n v="100"/>
    <n v="59.106700000000004"/>
    <x v="2"/>
    <s v="Q3"/>
    <s v="Large"/>
  </r>
  <r>
    <x v="23"/>
    <x v="0"/>
    <x v="21"/>
    <x v="391"/>
    <n v="1515.42"/>
    <n v="230"/>
    <n v="6.5887826086956522"/>
    <x v="5"/>
    <s v="Q2"/>
    <s v="Large"/>
  </r>
  <r>
    <x v="5"/>
    <x v="2"/>
    <x v="16"/>
    <x v="342"/>
    <n v="4498.05"/>
    <n v="464"/>
    <n v="9.6940732758620687"/>
    <x v="0"/>
    <s v="Q1"/>
    <s v="Large"/>
  </r>
  <r>
    <x v="16"/>
    <x v="3"/>
    <x v="12"/>
    <x v="450"/>
    <n v="8755.31"/>
    <n v="38"/>
    <n v="230.40289473684209"/>
    <x v="2"/>
    <s v="Q3"/>
    <s v="Large"/>
  </r>
  <r>
    <x v="2"/>
    <x v="4"/>
    <x v="6"/>
    <x v="436"/>
    <n v="2651.48"/>
    <n v="60"/>
    <n v="44.191333333333333"/>
    <x v="3"/>
    <s v="Q2"/>
    <s v="Large"/>
  </r>
  <r>
    <x v="12"/>
    <x v="0"/>
    <x v="3"/>
    <x v="452"/>
    <n v="5119.3500000000004"/>
    <n v="77"/>
    <n v="66.485064935064941"/>
    <x v="7"/>
    <s v="Q2"/>
    <s v="Large"/>
  </r>
  <r>
    <x v="12"/>
    <x v="2"/>
    <x v="19"/>
    <x v="453"/>
    <n v="3360.74"/>
    <n v="119"/>
    <n v="28.241512605042015"/>
    <x v="1"/>
    <s v="Q3"/>
    <s v="Large"/>
  </r>
  <r>
    <x v="12"/>
    <x v="1"/>
    <x v="21"/>
    <x v="454"/>
    <n v="495.65"/>
    <n v="146"/>
    <n v="3.3948630136986302"/>
    <x v="5"/>
    <s v="Q2"/>
    <s v="Small"/>
  </r>
  <r>
    <x v="0"/>
    <x v="0"/>
    <x v="18"/>
    <x v="455"/>
    <n v="5108.8500000000004"/>
    <n v="187"/>
    <n v="27.320053475935829"/>
    <x v="3"/>
    <s v="Q2"/>
    <s v="Large"/>
  </r>
  <r>
    <x v="16"/>
    <x v="4"/>
    <x v="6"/>
    <x v="349"/>
    <n v="77.099999999999994"/>
    <n v="26"/>
    <n v="2.9653846153846151"/>
    <x v="1"/>
    <s v="Q3"/>
    <s v="Small"/>
  </r>
  <r>
    <x v="24"/>
    <x v="4"/>
    <x v="7"/>
    <x v="375"/>
    <n v="1860.29"/>
    <n v="71"/>
    <n v="26.201267605633802"/>
    <x v="5"/>
    <s v="Q2"/>
    <s v="Large"/>
  </r>
  <r>
    <x v="5"/>
    <x v="0"/>
    <x v="15"/>
    <x v="355"/>
    <n v="7917.76"/>
    <n v="50"/>
    <n v="158.3552"/>
    <x v="5"/>
    <s v="Q2"/>
    <s v="Large"/>
  </r>
  <r>
    <x v="11"/>
    <x v="2"/>
    <x v="3"/>
    <x v="403"/>
    <n v="4059.92"/>
    <n v="179"/>
    <n v="22.681117318435753"/>
    <x v="0"/>
    <s v="Q1"/>
    <s v="Large"/>
  </r>
  <r>
    <x v="11"/>
    <x v="1"/>
    <x v="5"/>
    <x v="372"/>
    <n v="2816.85"/>
    <n v="188"/>
    <n v="14.983244680851064"/>
    <x v="2"/>
    <s v="Q3"/>
    <s v="Large"/>
  </r>
  <r>
    <x v="24"/>
    <x v="3"/>
    <x v="11"/>
    <x v="456"/>
    <n v="5306.48"/>
    <n v="128"/>
    <n v="41.456874999999997"/>
    <x v="1"/>
    <s v="Q3"/>
    <s v="Large"/>
  </r>
  <r>
    <x v="7"/>
    <x v="4"/>
    <x v="13"/>
    <x v="429"/>
    <n v="2756.63"/>
    <n v="66"/>
    <n v="41.767121212121211"/>
    <x v="0"/>
    <s v="Q1"/>
    <s v="Large"/>
  </r>
  <r>
    <x v="24"/>
    <x v="1"/>
    <x v="10"/>
    <x v="457"/>
    <n v="17903.7"/>
    <n v="107"/>
    <n v="167.32429906542058"/>
    <x v="6"/>
    <s v="Q1"/>
    <s v="Large"/>
  </r>
  <r>
    <x v="9"/>
    <x v="2"/>
    <x v="7"/>
    <x v="402"/>
    <n v="15825.08"/>
    <n v="284"/>
    <n v="55.722112676056341"/>
    <x v="6"/>
    <s v="Q1"/>
    <s v="Large"/>
  </r>
  <r>
    <x v="15"/>
    <x v="1"/>
    <x v="21"/>
    <x v="458"/>
    <n v="7745.33"/>
    <n v="164"/>
    <n v="47.227621951219511"/>
    <x v="7"/>
    <s v="Q2"/>
    <s v="Large"/>
  </r>
  <r>
    <x v="8"/>
    <x v="3"/>
    <x v="1"/>
    <x v="459"/>
    <n v="2214.91"/>
    <n v="161"/>
    <n v="13.757204968944098"/>
    <x v="7"/>
    <s v="Q2"/>
    <s v="Large"/>
  </r>
  <r>
    <x v="22"/>
    <x v="0"/>
    <x v="20"/>
    <x v="371"/>
    <n v="190.24"/>
    <n v="156"/>
    <n v="1.2194871794871796"/>
    <x v="3"/>
    <s v="Q2"/>
    <s v="Small"/>
  </r>
  <r>
    <x v="2"/>
    <x v="2"/>
    <x v="9"/>
    <x v="445"/>
    <n v="2960"/>
    <n v="141"/>
    <n v="20.99290780141844"/>
    <x v="2"/>
    <s v="Q3"/>
    <s v="Large"/>
  </r>
  <r>
    <x v="11"/>
    <x v="5"/>
    <x v="18"/>
    <x v="374"/>
    <n v="2937.62"/>
    <n v="389"/>
    <n v="7.5517223650385601"/>
    <x v="1"/>
    <s v="Q3"/>
    <s v="Large"/>
  </r>
  <r>
    <x v="24"/>
    <x v="4"/>
    <x v="21"/>
    <x v="365"/>
    <n v="4778.3599999999997"/>
    <n v="124"/>
    <n v="38.535161290322577"/>
    <x v="7"/>
    <s v="Q2"/>
    <s v="Large"/>
  </r>
  <r>
    <x v="22"/>
    <x v="1"/>
    <x v="10"/>
    <x v="350"/>
    <n v="5401.01"/>
    <n v="41"/>
    <n v="131.73195121951221"/>
    <x v="0"/>
    <s v="Q1"/>
    <s v="Large"/>
  </r>
  <r>
    <x v="8"/>
    <x v="4"/>
    <x v="6"/>
    <x v="385"/>
    <n v="15372.94"/>
    <n v="124"/>
    <n v="123.97532258064517"/>
    <x v="3"/>
    <s v="Q2"/>
    <s v="Large"/>
  </r>
  <r>
    <x v="17"/>
    <x v="3"/>
    <x v="0"/>
    <x v="352"/>
    <n v="7121.02"/>
    <n v="433"/>
    <n v="16.445773672055427"/>
    <x v="3"/>
    <s v="Q2"/>
    <s v="Large"/>
  </r>
  <r>
    <x v="11"/>
    <x v="3"/>
    <x v="3"/>
    <x v="443"/>
    <n v="9057.64"/>
    <n v="56"/>
    <n v="161.74357142857141"/>
    <x v="5"/>
    <s v="Q2"/>
    <s v="Large"/>
  </r>
  <r>
    <x v="6"/>
    <x v="5"/>
    <x v="16"/>
    <x v="436"/>
    <n v="5439.43"/>
    <n v="125"/>
    <n v="43.515440000000005"/>
    <x v="3"/>
    <s v="Q2"/>
    <s v="Large"/>
  </r>
  <r>
    <x v="12"/>
    <x v="2"/>
    <x v="14"/>
    <x v="355"/>
    <n v="2659.78"/>
    <n v="178"/>
    <n v="14.942584269662923"/>
    <x v="5"/>
    <s v="Q2"/>
    <s v="Large"/>
  </r>
  <r>
    <x v="23"/>
    <x v="2"/>
    <x v="8"/>
    <x v="350"/>
    <n v="7897.59"/>
    <n v="3"/>
    <n v="2632.53"/>
    <x v="0"/>
    <s v="Q1"/>
    <s v="Large"/>
  </r>
  <r>
    <x v="8"/>
    <x v="0"/>
    <x v="14"/>
    <x v="361"/>
    <n v="1959.22"/>
    <n v="70"/>
    <n v="27.988857142857142"/>
    <x v="2"/>
    <s v="Q3"/>
    <s v="Large"/>
  </r>
  <r>
    <x v="12"/>
    <x v="5"/>
    <x v="19"/>
    <x v="460"/>
    <n v="15305.32"/>
    <n v="91"/>
    <n v="168.19032967032967"/>
    <x v="0"/>
    <s v="Q1"/>
    <s v="Large"/>
  </r>
  <r>
    <x v="20"/>
    <x v="4"/>
    <x v="14"/>
    <x v="402"/>
    <n v="11257.11"/>
    <n v="21"/>
    <n v="536.05285714285719"/>
    <x v="6"/>
    <s v="Q1"/>
    <s v="Large"/>
  </r>
  <r>
    <x v="16"/>
    <x v="5"/>
    <x v="6"/>
    <x v="408"/>
    <n v="9207.09"/>
    <n v="109"/>
    <n v="84.46871559633027"/>
    <x v="6"/>
    <s v="Q1"/>
    <s v="Large"/>
  </r>
  <r>
    <x v="10"/>
    <x v="5"/>
    <x v="10"/>
    <x v="378"/>
    <n v="2769.94"/>
    <n v="302"/>
    <n v="9.1719867549668876"/>
    <x v="2"/>
    <s v="Q3"/>
    <s v="Large"/>
  </r>
  <r>
    <x v="16"/>
    <x v="0"/>
    <x v="2"/>
    <x v="365"/>
    <n v="7477.56"/>
    <n v="85"/>
    <n v="87.971294117647062"/>
    <x v="7"/>
    <s v="Q2"/>
    <s v="Large"/>
  </r>
  <r>
    <x v="10"/>
    <x v="4"/>
    <x v="11"/>
    <x v="395"/>
    <n v="5231.54"/>
    <n v="8"/>
    <n v="653.9425"/>
    <x v="0"/>
    <s v="Q1"/>
    <s v="Large"/>
  </r>
  <r>
    <x v="10"/>
    <x v="1"/>
    <x v="7"/>
    <x v="355"/>
    <n v="3745.21"/>
    <n v="161"/>
    <n v="23.26217391304348"/>
    <x v="5"/>
    <s v="Q2"/>
    <s v="Large"/>
  </r>
  <r>
    <x v="24"/>
    <x v="1"/>
    <x v="3"/>
    <x v="349"/>
    <n v="8503.93"/>
    <n v="19"/>
    <n v="447.57526315789477"/>
    <x v="1"/>
    <s v="Q3"/>
    <s v="Large"/>
  </r>
  <r>
    <x v="18"/>
    <x v="3"/>
    <x v="0"/>
    <x v="461"/>
    <n v="12524.3"/>
    <n v="251"/>
    <n v="49.897609561752986"/>
    <x v="1"/>
    <s v="Q3"/>
    <s v="Large"/>
  </r>
  <r>
    <x v="18"/>
    <x v="2"/>
    <x v="13"/>
    <x v="362"/>
    <n v="472.27"/>
    <n v="101"/>
    <n v="4.6759405940594059"/>
    <x v="5"/>
    <s v="Q2"/>
    <s v="Small"/>
  </r>
  <r>
    <x v="17"/>
    <x v="0"/>
    <x v="2"/>
    <x v="400"/>
    <n v="9771.8700000000008"/>
    <n v="158"/>
    <n v="61.847278481012665"/>
    <x v="4"/>
    <s v="Q1"/>
    <s v="Large"/>
  </r>
  <r>
    <x v="10"/>
    <x v="2"/>
    <x v="16"/>
    <x v="387"/>
    <n v="8130.06"/>
    <n v="140"/>
    <n v="58.071857142857148"/>
    <x v="2"/>
    <s v="Q3"/>
    <s v="Large"/>
  </r>
  <r>
    <x v="17"/>
    <x v="1"/>
    <x v="11"/>
    <x v="462"/>
    <n v="1624.06"/>
    <n v="96"/>
    <n v="16.917291666666667"/>
    <x v="3"/>
    <s v="Q2"/>
    <s v="Large"/>
  </r>
  <r>
    <x v="24"/>
    <x v="0"/>
    <x v="0"/>
    <x v="406"/>
    <n v="2984.4"/>
    <n v="214"/>
    <n v="13.945794392523364"/>
    <x v="3"/>
    <s v="Q2"/>
    <s v="Large"/>
  </r>
  <r>
    <x v="15"/>
    <x v="2"/>
    <x v="6"/>
    <x v="461"/>
    <n v="15593.5"/>
    <n v="56"/>
    <n v="278.45535714285717"/>
    <x v="1"/>
    <s v="Q3"/>
    <s v="Large"/>
  </r>
  <r>
    <x v="3"/>
    <x v="1"/>
    <x v="13"/>
    <x v="452"/>
    <n v="3387.76"/>
    <n v="60"/>
    <n v="56.462666666666671"/>
    <x v="7"/>
    <s v="Q2"/>
    <s v="Large"/>
  </r>
  <r>
    <x v="9"/>
    <x v="4"/>
    <x v="1"/>
    <x v="365"/>
    <n v="2847.18"/>
    <n v="115"/>
    <n v="24.758086956521737"/>
    <x v="7"/>
    <s v="Q2"/>
    <s v="Large"/>
  </r>
  <r>
    <x v="9"/>
    <x v="4"/>
    <x v="8"/>
    <x v="463"/>
    <n v="7511.77"/>
    <n v="49"/>
    <n v="153.30142857142857"/>
    <x v="6"/>
    <s v="Q1"/>
    <s v="Large"/>
  </r>
  <r>
    <x v="17"/>
    <x v="5"/>
    <x v="12"/>
    <x v="386"/>
    <n v="2711.58"/>
    <n v="216"/>
    <n v="12.553611111111111"/>
    <x v="1"/>
    <s v="Q3"/>
    <s v="Large"/>
  </r>
  <r>
    <x v="17"/>
    <x v="4"/>
    <x v="13"/>
    <x v="452"/>
    <n v="1673.44"/>
    <n v="314"/>
    <n v="5.329426751592357"/>
    <x v="7"/>
    <s v="Q2"/>
    <s v="Large"/>
  </r>
  <r>
    <x v="20"/>
    <x v="4"/>
    <x v="4"/>
    <x v="397"/>
    <n v="8853.16"/>
    <n v="261"/>
    <n v="33.920153256704978"/>
    <x v="1"/>
    <s v="Q3"/>
    <s v="Large"/>
  </r>
  <r>
    <x v="23"/>
    <x v="5"/>
    <x v="17"/>
    <x v="349"/>
    <n v="4722.3900000000003"/>
    <n v="258"/>
    <n v="18.303837209302326"/>
    <x v="1"/>
    <s v="Q3"/>
    <s v="Large"/>
  </r>
  <r>
    <x v="11"/>
    <x v="3"/>
    <x v="11"/>
    <x v="438"/>
    <n v="8408.1200000000008"/>
    <n v="318"/>
    <n v="26.440628930817613"/>
    <x v="0"/>
    <s v="Q1"/>
    <s v="Large"/>
  </r>
  <r>
    <x v="22"/>
    <x v="2"/>
    <x v="18"/>
    <x v="406"/>
    <n v="2442.36"/>
    <n v="78"/>
    <n v="31.312307692307694"/>
    <x v="3"/>
    <s v="Q2"/>
    <s v="Large"/>
  </r>
  <r>
    <x v="20"/>
    <x v="0"/>
    <x v="7"/>
    <x v="337"/>
    <n v="4010.08"/>
    <n v="3"/>
    <n v="1336.6933333333334"/>
    <x v="1"/>
    <s v="Q3"/>
    <s v="Large"/>
  </r>
  <r>
    <x v="17"/>
    <x v="5"/>
    <x v="8"/>
    <x v="447"/>
    <n v="492.21"/>
    <n v="45"/>
    <n v="10.937999999999999"/>
    <x v="6"/>
    <s v="Q1"/>
    <s v="Small"/>
  </r>
  <r>
    <x v="10"/>
    <x v="1"/>
    <x v="0"/>
    <x v="378"/>
    <n v="11650.88"/>
    <n v="192"/>
    <n v="60.681666666666665"/>
    <x v="2"/>
    <s v="Q3"/>
    <s v="Large"/>
  </r>
  <r>
    <x v="8"/>
    <x v="3"/>
    <x v="16"/>
    <x v="346"/>
    <n v="6426.04"/>
    <n v="132"/>
    <n v="48.68212121212121"/>
    <x v="0"/>
    <s v="Q1"/>
    <s v="Large"/>
  </r>
  <r>
    <x v="9"/>
    <x v="2"/>
    <x v="1"/>
    <x v="392"/>
    <n v="2665.28"/>
    <n v="54"/>
    <n v="49.357037037037038"/>
    <x v="1"/>
    <s v="Q3"/>
    <s v="Large"/>
  </r>
  <r>
    <x v="24"/>
    <x v="5"/>
    <x v="8"/>
    <x v="389"/>
    <n v="2048.58"/>
    <n v="170"/>
    <n v="12.050470588235294"/>
    <x v="0"/>
    <s v="Q1"/>
    <s v="Large"/>
  </r>
  <r>
    <x v="2"/>
    <x v="2"/>
    <x v="14"/>
    <x v="365"/>
    <n v="6267.19"/>
    <n v="83"/>
    <n v="75.508313253012048"/>
    <x v="7"/>
    <s v="Q2"/>
    <s v="Large"/>
  </r>
  <r>
    <x v="12"/>
    <x v="3"/>
    <x v="1"/>
    <x v="464"/>
    <n v="12886.26"/>
    <n v="21"/>
    <n v="613.63142857142861"/>
    <x v="1"/>
    <s v="Q3"/>
    <s v="Large"/>
  </r>
  <r>
    <x v="16"/>
    <x v="4"/>
    <x v="20"/>
    <x v="465"/>
    <n v="6143.64"/>
    <n v="117"/>
    <n v="52.509743589743593"/>
    <x v="2"/>
    <s v="Q3"/>
    <s v="Large"/>
  </r>
  <r>
    <x v="9"/>
    <x v="2"/>
    <x v="16"/>
    <x v="337"/>
    <n v="8273.83"/>
    <n v="130"/>
    <n v="63.644846153846153"/>
    <x v="1"/>
    <s v="Q3"/>
    <s v="Large"/>
  </r>
  <r>
    <x v="6"/>
    <x v="5"/>
    <x v="1"/>
    <x v="356"/>
    <n v="12163.59"/>
    <n v="264"/>
    <n v="46.074204545454549"/>
    <x v="4"/>
    <s v="Q1"/>
    <s v="Large"/>
  </r>
  <r>
    <x v="6"/>
    <x v="2"/>
    <x v="9"/>
    <x v="445"/>
    <n v="7192.41"/>
    <n v="159"/>
    <n v="45.235283018867925"/>
    <x v="2"/>
    <s v="Q3"/>
    <s v="Large"/>
  </r>
  <r>
    <x v="23"/>
    <x v="4"/>
    <x v="7"/>
    <x v="373"/>
    <n v="1452.94"/>
    <n v="112"/>
    <n v="12.972678571428572"/>
    <x v="4"/>
    <s v="Q1"/>
    <s v="Large"/>
  </r>
  <r>
    <x v="7"/>
    <x v="2"/>
    <x v="6"/>
    <x v="463"/>
    <n v="3375.83"/>
    <n v="41"/>
    <n v="82.337317073170723"/>
    <x v="6"/>
    <s v="Q1"/>
    <s v="Large"/>
  </r>
  <r>
    <x v="17"/>
    <x v="1"/>
    <x v="4"/>
    <x v="466"/>
    <n v="8328.7999999999993"/>
    <n v="327"/>
    <n v="25.470336391437307"/>
    <x v="5"/>
    <s v="Q2"/>
    <s v="Large"/>
  </r>
  <r>
    <x v="14"/>
    <x v="0"/>
    <x v="14"/>
    <x v="467"/>
    <n v="1634.54"/>
    <n v="70"/>
    <n v="23.350571428571428"/>
    <x v="4"/>
    <s v="Q1"/>
    <s v="Large"/>
  </r>
  <r>
    <x v="20"/>
    <x v="2"/>
    <x v="5"/>
    <x v="388"/>
    <n v="8265.41"/>
    <n v="298"/>
    <n v="27.736275167785234"/>
    <x v="6"/>
    <s v="Q1"/>
    <s v="Large"/>
  </r>
  <r>
    <x v="2"/>
    <x v="0"/>
    <x v="13"/>
    <x v="417"/>
    <n v="1448.1"/>
    <n v="92"/>
    <n v="15.740217391304347"/>
    <x v="3"/>
    <s v="Q2"/>
    <s v="Large"/>
  </r>
  <r>
    <x v="5"/>
    <x v="2"/>
    <x v="17"/>
    <x v="439"/>
    <n v="709.53"/>
    <n v="77"/>
    <n v="9.2146753246753246"/>
    <x v="6"/>
    <s v="Q1"/>
    <s v="Large"/>
  </r>
  <r>
    <x v="14"/>
    <x v="0"/>
    <x v="13"/>
    <x v="468"/>
    <n v="12197.19"/>
    <n v="135"/>
    <n v="90.349555555555554"/>
    <x v="5"/>
    <s v="Q2"/>
    <s v="Large"/>
  </r>
  <r>
    <x v="8"/>
    <x v="5"/>
    <x v="6"/>
    <x v="376"/>
    <n v="10917.59"/>
    <n v="302"/>
    <n v="36.150960264900661"/>
    <x v="2"/>
    <s v="Q3"/>
    <s v="Large"/>
  </r>
  <r>
    <x v="14"/>
    <x v="4"/>
    <x v="12"/>
    <x v="372"/>
    <n v="1679.89"/>
    <n v="287"/>
    <n v="5.8532752613240424"/>
    <x v="2"/>
    <s v="Q3"/>
    <s v="Large"/>
  </r>
  <r>
    <x v="6"/>
    <x v="1"/>
    <x v="16"/>
    <x v="346"/>
    <n v="2303.17"/>
    <n v="225"/>
    <n v="10.236311111111112"/>
    <x v="0"/>
    <s v="Q1"/>
    <s v="Large"/>
  </r>
  <r>
    <x v="4"/>
    <x v="3"/>
    <x v="3"/>
    <x v="338"/>
    <n v="9261.26"/>
    <n v="65"/>
    <n v="142.48092307692309"/>
    <x v="2"/>
    <s v="Q3"/>
    <s v="Large"/>
  </r>
  <r>
    <x v="3"/>
    <x v="1"/>
    <x v="1"/>
    <x v="399"/>
    <n v="5252.8"/>
    <n v="415"/>
    <n v="12.657349397590362"/>
    <x v="7"/>
    <s v="Q2"/>
    <s v="Large"/>
  </r>
  <r>
    <x v="11"/>
    <x v="1"/>
    <x v="13"/>
    <x v="436"/>
    <n v="5385.55"/>
    <n v="161"/>
    <n v="33.450621118012421"/>
    <x v="3"/>
    <s v="Q2"/>
    <s v="Large"/>
  </r>
  <r>
    <x v="19"/>
    <x v="3"/>
    <x v="6"/>
    <x v="388"/>
    <n v="3741.19"/>
    <n v="222"/>
    <n v="16.852207207207208"/>
    <x v="6"/>
    <s v="Q1"/>
    <s v="Large"/>
  </r>
  <r>
    <x v="5"/>
    <x v="5"/>
    <x v="17"/>
    <x v="466"/>
    <n v="2223.4899999999998"/>
    <n v="127"/>
    <n v="17.507795275590549"/>
    <x v="5"/>
    <s v="Q2"/>
    <s v="Large"/>
  </r>
  <r>
    <x v="20"/>
    <x v="4"/>
    <x v="9"/>
    <x v="404"/>
    <n v="7720.37"/>
    <n v="156"/>
    <n v="49.489551282051281"/>
    <x v="2"/>
    <s v="Q3"/>
    <s v="Large"/>
  </r>
  <r>
    <x v="1"/>
    <x v="5"/>
    <x v="14"/>
    <x v="463"/>
    <n v="468.09"/>
    <n v="3"/>
    <n v="156.03"/>
    <x v="6"/>
    <s v="Q1"/>
    <s v="Small"/>
  </r>
  <r>
    <x v="7"/>
    <x v="4"/>
    <x v="19"/>
    <x v="469"/>
    <n v="3083.39"/>
    <n v="55"/>
    <n v="56.06163636363636"/>
    <x v="5"/>
    <s v="Q2"/>
    <s v="Large"/>
  </r>
  <r>
    <x v="1"/>
    <x v="2"/>
    <x v="20"/>
    <x v="470"/>
    <n v="6898.94"/>
    <n v="58"/>
    <n v="118.94724137931034"/>
    <x v="7"/>
    <s v="Q2"/>
    <s v="Large"/>
  </r>
  <r>
    <x v="24"/>
    <x v="3"/>
    <x v="2"/>
    <x v="408"/>
    <n v="1036.05"/>
    <n v="291"/>
    <n v="3.5603092783505152"/>
    <x v="6"/>
    <s v="Q1"/>
    <s v="Large"/>
  </r>
  <r>
    <x v="20"/>
    <x v="5"/>
    <x v="11"/>
    <x v="338"/>
    <n v="17518.04"/>
    <n v="28"/>
    <n v="625.64428571428573"/>
    <x v="2"/>
    <s v="Q3"/>
    <s v="Large"/>
  </r>
  <r>
    <x v="17"/>
    <x v="5"/>
    <x v="18"/>
    <x v="346"/>
    <n v="11691.86"/>
    <n v="128"/>
    <n v="91.342656250000005"/>
    <x v="0"/>
    <s v="Q1"/>
    <s v="Large"/>
  </r>
  <r>
    <x v="14"/>
    <x v="2"/>
    <x v="16"/>
    <x v="393"/>
    <n v="3136.53"/>
    <n v="74"/>
    <n v="42.385540540540546"/>
    <x v="2"/>
    <s v="Q3"/>
    <s v="Large"/>
  </r>
  <r>
    <x v="22"/>
    <x v="2"/>
    <x v="1"/>
    <x v="422"/>
    <n v="1677.71"/>
    <n v="325"/>
    <n v="5.1621846153846151"/>
    <x v="5"/>
    <s v="Q2"/>
    <s v="Large"/>
  </r>
  <r>
    <x v="2"/>
    <x v="0"/>
    <x v="6"/>
    <x v="471"/>
    <n v="8937.3700000000008"/>
    <n v="66"/>
    <n v="135.41469696969699"/>
    <x v="2"/>
    <s v="Q3"/>
    <s v="Large"/>
  </r>
  <r>
    <x v="24"/>
    <x v="0"/>
    <x v="15"/>
    <x v="357"/>
    <n v="4761.38"/>
    <n v="406"/>
    <n v="11.727536945812808"/>
    <x v="7"/>
    <s v="Q2"/>
    <s v="Large"/>
  </r>
  <r>
    <x v="2"/>
    <x v="0"/>
    <x v="21"/>
    <x v="472"/>
    <n v="942.02"/>
    <n v="84"/>
    <n v="11.21452380952381"/>
    <x v="5"/>
    <s v="Q2"/>
    <s v="Large"/>
  </r>
  <r>
    <x v="0"/>
    <x v="2"/>
    <x v="2"/>
    <x v="468"/>
    <n v="6623.03"/>
    <n v="39"/>
    <n v="169.82128205128205"/>
    <x v="5"/>
    <s v="Q2"/>
    <s v="Large"/>
  </r>
  <r>
    <x v="11"/>
    <x v="1"/>
    <x v="8"/>
    <x v="346"/>
    <n v="4067.36"/>
    <n v="94"/>
    <n v="43.269787234042553"/>
    <x v="0"/>
    <s v="Q1"/>
    <s v="Large"/>
  </r>
  <r>
    <x v="14"/>
    <x v="5"/>
    <x v="13"/>
    <x v="428"/>
    <n v="4712.55"/>
    <n v="211"/>
    <n v="22.334360189573459"/>
    <x v="3"/>
    <s v="Q2"/>
    <s v="Large"/>
  </r>
  <r>
    <x v="16"/>
    <x v="0"/>
    <x v="3"/>
    <x v="354"/>
    <n v="9571.2999999999993"/>
    <n v="594"/>
    <n v="16.113299663299664"/>
    <x v="5"/>
    <s v="Q2"/>
    <s v="Large"/>
  </r>
  <r>
    <x v="10"/>
    <x v="5"/>
    <x v="12"/>
    <x v="409"/>
    <n v="6779.99"/>
    <n v="46"/>
    <n v="147.39108695652175"/>
    <x v="1"/>
    <s v="Q3"/>
    <s v="Large"/>
  </r>
  <r>
    <x v="20"/>
    <x v="4"/>
    <x v="10"/>
    <x v="465"/>
    <n v="10772.46"/>
    <n v="150"/>
    <n v="71.816399999999987"/>
    <x v="2"/>
    <s v="Q3"/>
    <s v="Large"/>
  </r>
  <r>
    <x v="14"/>
    <x v="1"/>
    <x v="12"/>
    <x v="391"/>
    <n v="189.34"/>
    <n v="140"/>
    <n v="1.3524285714285715"/>
    <x v="5"/>
    <s v="Q2"/>
    <s v="Small"/>
  </r>
  <r>
    <x v="13"/>
    <x v="1"/>
    <x v="5"/>
    <x v="473"/>
    <n v="3015.47"/>
    <n v="115"/>
    <n v="26.221478260869564"/>
    <x v="5"/>
    <s v="Q2"/>
    <s v="Large"/>
  </r>
  <r>
    <x v="21"/>
    <x v="2"/>
    <x v="20"/>
    <x v="474"/>
    <n v="3538.27"/>
    <n v="16"/>
    <n v="221.141875"/>
    <x v="7"/>
    <s v="Q2"/>
    <s v="Large"/>
  </r>
  <r>
    <x v="14"/>
    <x v="2"/>
    <x v="4"/>
    <x v="437"/>
    <n v="5196.97"/>
    <n v="87"/>
    <n v="59.735287356321841"/>
    <x v="0"/>
    <s v="Q1"/>
    <s v="Large"/>
  </r>
  <r>
    <x v="9"/>
    <x v="0"/>
    <x v="6"/>
    <x v="420"/>
    <n v="6654.14"/>
    <n v="102"/>
    <n v="65.236666666666665"/>
    <x v="4"/>
    <s v="Q1"/>
    <s v="Large"/>
  </r>
  <r>
    <x v="24"/>
    <x v="5"/>
    <x v="19"/>
    <x v="475"/>
    <n v="8639.19"/>
    <n v="402"/>
    <n v="21.490522388059702"/>
    <x v="6"/>
    <s v="Q1"/>
    <s v="Large"/>
  </r>
  <r>
    <x v="1"/>
    <x v="0"/>
    <x v="9"/>
    <x v="428"/>
    <n v="6397.05"/>
    <n v="136"/>
    <n v="47.037132352941178"/>
    <x v="3"/>
    <s v="Q2"/>
    <s v="Large"/>
  </r>
  <r>
    <x v="5"/>
    <x v="5"/>
    <x v="13"/>
    <x v="343"/>
    <n v="14596.37"/>
    <n v="196"/>
    <n v="74.47127551020408"/>
    <x v="6"/>
    <s v="Q1"/>
    <s v="Large"/>
  </r>
  <r>
    <x v="5"/>
    <x v="3"/>
    <x v="12"/>
    <x v="380"/>
    <n v="7712.91"/>
    <n v="192"/>
    <n v="40.171406249999997"/>
    <x v="5"/>
    <s v="Q2"/>
    <s v="Large"/>
  </r>
  <r>
    <x v="5"/>
    <x v="2"/>
    <x v="9"/>
    <x v="438"/>
    <n v="2456.77"/>
    <n v="188"/>
    <n v="13.067925531914893"/>
    <x v="0"/>
    <s v="Q1"/>
    <s v="Large"/>
  </r>
  <r>
    <x v="10"/>
    <x v="3"/>
    <x v="13"/>
    <x v="400"/>
    <n v="1435.27"/>
    <n v="138"/>
    <n v="10.400507246376812"/>
    <x v="4"/>
    <s v="Q1"/>
    <s v="Large"/>
  </r>
  <r>
    <x v="17"/>
    <x v="3"/>
    <x v="9"/>
    <x v="460"/>
    <n v="4324.4799999999996"/>
    <n v="202"/>
    <n v="21.408316831683166"/>
    <x v="0"/>
    <s v="Q1"/>
    <s v="Large"/>
  </r>
  <r>
    <x v="0"/>
    <x v="1"/>
    <x v="4"/>
    <x v="411"/>
    <n v="2207.7600000000002"/>
    <n v="247"/>
    <n v="8.9382995951417019"/>
    <x v="4"/>
    <s v="Q1"/>
    <s v="Large"/>
  </r>
  <r>
    <x v="23"/>
    <x v="2"/>
    <x v="0"/>
    <x v="337"/>
    <n v="7571.51"/>
    <n v="26"/>
    <n v="291.21192307692309"/>
    <x v="1"/>
    <s v="Q3"/>
    <s v="Large"/>
  </r>
  <r>
    <x v="13"/>
    <x v="2"/>
    <x v="0"/>
    <x v="476"/>
    <n v="7189.76"/>
    <n v="262"/>
    <n v="27.441832061068702"/>
    <x v="7"/>
    <s v="Q2"/>
    <s v="Large"/>
  </r>
  <r>
    <x v="22"/>
    <x v="3"/>
    <x v="17"/>
    <x v="379"/>
    <n v="10858.21"/>
    <n v="451"/>
    <n v="24.075853658536584"/>
    <x v="7"/>
    <s v="Q2"/>
    <s v="Large"/>
  </r>
  <r>
    <x v="23"/>
    <x v="3"/>
    <x v="18"/>
    <x v="336"/>
    <n v="6524.65"/>
    <n v="369"/>
    <n v="17.681978319783198"/>
    <x v="0"/>
    <s v="Q1"/>
    <s v="Large"/>
  </r>
  <r>
    <x v="13"/>
    <x v="3"/>
    <x v="6"/>
    <x v="458"/>
    <n v="4624.45"/>
    <n v="212"/>
    <n v="21.813443396226415"/>
    <x v="7"/>
    <s v="Q2"/>
    <s v="Large"/>
  </r>
  <r>
    <x v="7"/>
    <x v="1"/>
    <x v="3"/>
    <x v="477"/>
    <n v="1961.82"/>
    <n v="80"/>
    <n v="24.522749999999998"/>
    <x v="7"/>
    <s v="Q2"/>
    <s v="Large"/>
  </r>
  <r>
    <x v="15"/>
    <x v="0"/>
    <x v="14"/>
    <x v="346"/>
    <n v="12782.63"/>
    <n v="158"/>
    <n v="80.902721518987335"/>
    <x v="0"/>
    <s v="Q1"/>
    <s v="Large"/>
  </r>
  <r>
    <x v="13"/>
    <x v="2"/>
    <x v="16"/>
    <x v="468"/>
    <n v="4928.3"/>
    <n v="71"/>
    <n v="69.412676056338029"/>
    <x v="5"/>
    <s v="Q2"/>
    <s v="Large"/>
  </r>
  <r>
    <x v="1"/>
    <x v="4"/>
    <x v="20"/>
    <x v="351"/>
    <n v="1115.8399999999999"/>
    <n v="22"/>
    <n v="50.72"/>
    <x v="4"/>
    <s v="Q1"/>
    <s v="Large"/>
  </r>
  <r>
    <x v="21"/>
    <x v="2"/>
    <x v="4"/>
    <x v="429"/>
    <n v="5346.62"/>
    <n v="109"/>
    <n v="49.051559633027523"/>
    <x v="0"/>
    <s v="Q1"/>
    <s v="Large"/>
  </r>
  <r>
    <x v="16"/>
    <x v="1"/>
    <x v="11"/>
    <x v="474"/>
    <n v="3168.11"/>
    <n v="93"/>
    <n v="34.065698924731187"/>
    <x v="7"/>
    <s v="Q2"/>
    <s v="Large"/>
  </r>
  <r>
    <x v="24"/>
    <x v="2"/>
    <x v="3"/>
    <x v="381"/>
    <n v="9007.92"/>
    <n v="52"/>
    <n v="173.22923076923078"/>
    <x v="7"/>
    <s v="Q2"/>
    <s v="Large"/>
  </r>
  <r>
    <x v="9"/>
    <x v="4"/>
    <x v="16"/>
    <x v="418"/>
    <n v="7400.07"/>
    <n v="383"/>
    <n v="19.321331592689294"/>
    <x v="0"/>
    <s v="Q1"/>
    <s v="Large"/>
  </r>
  <r>
    <x v="16"/>
    <x v="5"/>
    <x v="4"/>
    <x v="468"/>
    <n v="1420.22"/>
    <n v="422"/>
    <n v="3.3654502369668249"/>
    <x v="5"/>
    <s v="Q2"/>
    <s v="Large"/>
  </r>
  <r>
    <x v="4"/>
    <x v="0"/>
    <x v="5"/>
    <x v="471"/>
    <n v="2555.9499999999998"/>
    <n v="109"/>
    <n v="23.449082568807338"/>
    <x v="2"/>
    <s v="Q3"/>
    <s v="Large"/>
  </r>
  <r>
    <x v="5"/>
    <x v="0"/>
    <x v="8"/>
    <x v="436"/>
    <n v="4059.65"/>
    <n v="175"/>
    <n v="23.198"/>
    <x v="3"/>
    <s v="Q2"/>
    <s v="Large"/>
  </r>
  <r>
    <x v="23"/>
    <x v="4"/>
    <x v="20"/>
    <x v="371"/>
    <n v="18581.37"/>
    <n v="83"/>
    <n v="223.87192771084335"/>
    <x v="3"/>
    <s v="Q2"/>
    <s v="Large"/>
  </r>
  <r>
    <x v="3"/>
    <x v="1"/>
    <x v="2"/>
    <x v="336"/>
    <n v="8813.58"/>
    <n v="182"/>
    <n v="48.426263736263735"/>
    <x v="0"/>
    <s v="Q1"/>
    <s v="Large"/>
  </r>
  <r>
    <x v="15"/>
    <x v="2"/>
    <x v="8"/>
    <x v="345"/>
    <n v="7914.74"/>
    <n v="31"/>
    <n v="255.3141935483871"/>
    <x v="2"/>
    <s v="Q3"/>
    <s v="Large"/>
  </r>
  <r>
    <x v="12"/>
    <x v="4"/>
    <x v="3"/>
    <x v="343"/>
    <n v="2787.72"/>
    <n v="342"/>
    <n v="8.1512280701754385"/>
    <x v="6"/>
    <s v="Q1"/>
    <s v="Large"/>
  </r>
  <r>
    <x v="21"/>
    <x v="2"/>
    <x v="15"/>
    <x v="439"/>
    <n v="681.71"/>
    <n v="170"/>
    <n v="4.0100588235294117"/>
    <x v="6"/>
    <s v="Q1"/>
    <s v="Large"/>
  </r>
  <r>
    <x v="4"/>
    <x v="2"/>
    <x v="16"/>
    <x v="478"/>
    <n v="6827.53"/>
    <n v="241"/>
    <n v="28.33"/>
    <x v="4"/>
    <s v="Q1"/>
    <s v="Large"/>
  </r>
  <r>
    <x v="3"/>
    <x v="4"/>
    <x v="7"/>
    <x v="364"/>
    <n v="1082"/>
    <n v="158"/>
    <n v="6.8481012658227849"/>
    <x v="5"/>
    <s v="Q2"/>
    <s v="Large"/>
  </r>
  <r>
    <x v="2"/>
    <x v="4"/>
    <x v="13"/>
    <x v="363"/>
    <n v="2966.98"/>
    <n v="121"/>
    <n v="24.520495867768595"/>
    <x v="7"/>
    <s v="Q2"/>
    <s v="Large"/>
  </r>
  <r>
    <x v="9"/>
    <x v="0"/>
    <x v="11"/>
    <x v="389"/>
    <n v="3951.74"/>
    <n v="287"/>
    <n v="13.769128919860627"/>
    <x v="0"/>
    <s v="Q1"/>
    <s v="Large"/>
  </r>
  <r>
    <x v="14"/>
    <x v="4"/>
    <x v="17"/>
    <x v="447"/>
    <n v="3151.23"/>
    <n v="144"/>
    <n v="21.883541666666666"/>
    <x v="6"/>
    <s v="Q1"/>
    <s v="Large"/>
  </r>
  <r>
    <x v="11"/>
    <x v="5"/>
    <x v="11"/>
    <x v="479"/>
    <n v="2672.67"/>
    <n v="317"/>
    <n v="8.4311356466876965"/>
    <x v="4"/>
    <s v="Q1"/>
    <s v="Large"/>
  </r>
  <r>
    <x v="6"/>
    <x v="1"/>
    <x v="20"/>
    <x v="411"/>
    <n v="1742.37"/>
    <n v="106"/>
    <n v="16.437452830188679"/>
    <x v="4"/>
    <s v="Q1"/>
    <s v="Large"/>
  </r>
  <r>
    <x v="5"/>
    <x v="4"/>
    <x v="8"/>
    <x v="480"/>
    <n v="7301.31"/>
    <n v="42"/>
    <n v="173.84071428571428"/>
    <x v="7"/>
    <s v="Q2"/>
    <s v="Large"/>
  </r>
  <r>
    <x v="13"/>
    <x v="4"/>
    <x v="13"/>
    <x v="443"/>
    <n v="6322.14"/>
    <n v="26"/>
    <n v="243.15923076923079"/>
    <x v="5"/>
    <s v="Q2"/>
    <s v="Large"/>
  </r>
  <r>
    <x v="5"/>
    <x v="1"/>
    <x v="6"/>
    <x v="481"/>
    <n v="13731.44"/>
    <n v="82"/>
    <n v="167.45658536585367"/>
    <x v="1"/>
    <s v="Q3"/>
    <s v="Large"/>
  </r>
  <r>
    <x v="18"/>
    <x v="3"/>
    <x v="15"/>
    <x v="372"/>
    <n v="4051.88"/>
    <n v="253"/>
    <n v="16.015335968379446"/>
    <x v="2"/>
    <s v="Q3"/>
    <s v="Large"/>
  </r>
  <r>
    <x v="16"/>
    <x v="0"/>
    <x v="15"/>
    <x v="438"/>
    <n v="8474.69"/>
    <n v="115"/>
    <n v="73.692956521739134"/>
    <x v="0"/>
    <s v="Q1"/>
    <s v="Large"/>
  </r>
  <r>
    <x v="1"/>
    <x v="5"/>
    <x v="15"/>
    <x v="340"/>
    <n v="9426.56"/>
    <n v="49"/>
    <n v="192.37877551020406"/>
    <x v="4"/>
    <s v="Q1"/>
    <s v="Large"/>
  </r>
  <r>
    <x v="18"/>
    <x v="3"/>
    <x v="16"/>
    <x v="447"/>
    <n v="9770.2800000000007"/>
    <n v="154"/>
    <n v="63.443376623376629"/>
    <x v="6"/>
    <s v="Q1"/>
    <s v="Large"/>
  </r>
  <r>
    <x v="4"/>
    <x v="3"/>
    <x v="19"/>
    <x v="427"/>
    <n v="14234.61"/>
    <n v="45"/>
    <n v="316.3246666666667"/>
    <x v="3"/>
    <s v="Q2"/>
    <s v="Large"/>
  </r>
  <r>
    <x v="17"/>
    <x v="2"/>
    <x v="10"/>
    <x v="482"/>
    <n v="6885.01"/>
    <n v="40"/>
    <n v="172.12524999999999"/>
    <x v="7"/>
    <s v="Q2"/>
    <s v="Large"/>
  </r>
  <r>
    <x v="11"/>
    <x v="2"/>
    <x v="12"/>
    <x v="466"/>
    <n v="14687.62"/>
    <n v="293"/>
    <n v="50.128395904436864"/>
    <x v="5"/>
    <s v="Q2"/>
    <s v="Large"/>
  </r>
  <r>
    <x v="12"/>
    <x v="5"/>
    <x v="3"/>
    <x v="359"/>
    <n v="16585.43"/>
    <n v="388"/>
    <n v="42.745953608247426"/>
    <x v="4"/>
    <s v="Q1"/>
    <s v="Large"/>
  </r>
  <r>
    <x v="6"/>
    <x v="4"/>
    <x v="10"/>
    <x v="399"/>
    <n v="17415.669999999998"/>
    <n v="148"/>
    <n v="117.67344594594593"/>
    <x v="7"/>
    <s v="Q2"/>
    <s v="Large"/>
  </r>
  <r>
    <x v="13"/>
    <x v="3"/>
    <x v="19"/>
    <x v="441"/>
    <n v="5954.47"/>
    <n v="236"/>
    <n v="25.230805084745764"/>
    <x v="4"/>
    <s v="Q1"/>
    <s v="Large"/>
  </r>
  <r>
    <x v="1"/>
    <x v="0"/>
    <x v="1"/>
    <x v="372"/>
    <n v="4179.91"/>
    <n v="140"/>
    <n v="29.8565"/>
    <x v="2"/>
    <s v="Q3"/>
    <s v="Large"/>
  </r>
  <r>
    <x v="11"/>
    <x v="5"/>
    <x v="12"/>
    <x v="403"/>
    <n v="3939.95"/>
    <n v="365"/>
    <n v="10.794383561643835"/>
    <x v="0"/>
    <s v="Q1"/>
    <s v="Large"/>
  </r>
  <r>
    <x v="7"/>
    <x v="3"/>
    <x v="21"/>
    <x v="368"/>
    <n v="791.19"/>
    <n v="280"/>
    <n v="2.8256785714285715"/>
    <x v="1"/>
    <s v="Q3"/>
    <s v="Large"/>
  </r>
  <r>
    <x v="12"/>
    <x v="4"/>
    <x v="6"/>
    <x v="348"/>
    <n v="2941.65"/>
    <n v="360"/>
    <n v="8.1712500000000006"/>
    <x v="2"/>
    <s v="Q3"/>
    <s v="Large"/>
  </r>
  <r>
    <x v="6"/>
    <x v="4"/>
    <x v="0"/>
    <x v="399"/>
    <n v="12476.68"/>
    <n v="162"/>
    <n v="77.016543209876545"/>
    <x v="7"/>
    <s v="Q2"/>
    <s v="Large"/>
  </r>
  <r>
    <x v="10"/>
    <x v="3"/>
    <x v="8"/>
    <x v="477"/>
    <n v="2817.14"/>
    <n v="191"/>
    <n v="14.749424083769632"/>
    <x v="7"/>
    <s v="Q2"/>
    <s v="Large"/>
  </r>
  <r>
    <x v="8"/>
    <x v="1"/>
    <x v="9"/>
    <x v="418"/>
    <n v="2411.52"/>
    <n v="144"/>
    <n v="16.746666666666666"/>
    <x v="0"/>
    <s v="Q1"/>
    <s v="Large"/>
  </r>
  <r>
    <x v="11"/>
    <x v="0"/>
    <x v="7"/>
    <x v="341"/>
    <n v="13072.74"/>
    <n v="11"/>
    <n v="1188.4309090909092"/>
    <x v="5"/>
    <s v="Q2"/>
    <s v="Large"/>
  </r>
  <r>
    <x v="6"/>
    <x v="3"/>
    <x v="19"/>
    <x v="433"/>
    <n v="6790.41"/>
    <n v="26"/>
    <n v="261.16961538461538"/>
    <x v="2"/>
    <s v="Q3"/>
    <s v="Large"/>
  </r>
  <r>
    <x v="24"/>
    <x v="5"/>
    <x v="12"/>
    <x v="483"/>
    <n v="6092.47"/>
    <n v="201"/>
    <n v="30.310796019900497"/>
    <x v="1"/>
    <s v="Q3"/>
    <s v="Large"/>
  </r>
  <r>
    <x v="6"/>
    <x v="4"/>
    <x v="7"/>
    <x v="418"/>
    <n v="7185.5"/>
    <n v="152"/>
    <n v="47.273026315789473"/>
    <x v="0"/>
    <s v="Q1"/>
    <s v="Large"/>
  </r>
  <r>
    <x v="16"/>
    <x v="1"/>
    <x v="12"/>
    <x v="484"/>
    <n v="6170.8"/>
    <n v="138"/>
    <n v="44.715942028985509"/>
    <x v="1"/>
    <s v="Q3"/>
    <s v="Large"/>
  </r>
  <r>
    <x v="9"/>
    <x v="4"/>
    <x v="6"/>
    <x v="377"/>
    <n v="1945.05"/>
    <n v="14"/>
    <n v="138.93214285714285"/>
    <x v="3"/>
    <s v="Q2"/>
    <s v="Large"/>
  </r>
  <r>
    <x v="9"/>
    <x v="0"/>
    <x v="0"/>
    <x v="364"/>
    <n v="6767.42"/>
    <n v="2"/>
    <n v="3383.71"/>
    <x v="5"/>
    <s v="Q2"/>
    <s v="Large"/>
  </r>
  <r>
    <x v="12"/>
    <x v="1"/>
    <x v="18"/>
    <x v="340"/>
    <n v="3911.69"/>
    <n v="254"/>
    <n v="15.400354330708662"/>
    <x v="4"/>
    <s v="Q1"/>
    <s v="Large"/>
  </r>
  <r>
    <x v="22"/>
    <x v="0"/>
    <x v="3"/>
    <x v="408"/>
    <n v="16733.759999999998"/>
    <n v="88"/>
    <n v="190.15636363636361"/>
    <x v="6"/>
    <s v="Q1"/>
    <s v="Large"/>
  </r>
  <r>
    <x v="2"/>
    <x v="1"/>
    <x v="8"/>
    <x v="472"/>
    <n v="3916.92"/>
    <n v="74"/>
    <n v="52.931351351351353"/>
    <x v="5"/>
    <s v="Q2"/>
    <s v="Large"/>
  </r>
  <r>
    <x v="7"/>
    <x v="2"/>
    <x v="10"/>
    <x v="350"/>
    <n v="1082.69"/>
    <n v="106"/>
    <n v="10.214056603773585"/>
    <x v="0"/>
    <s v="Q1"/>
    <s v="Large"/>
  </r>
  <r>
    <x v="4"/>
    <x v="3"/>
    <x v="14"/>
    <x v="375"/>
    <n v="4822.33"/>
    <n v="42"/>
    <n v="114.81738095238094"/>
    <x v="5"/>
    <s v="Q2"/>
    <s v="Large"/>
  </r>
  <r>
    <x v="19"/>
    <x v="0"/>
    <x v="9"/>
    <x v="459"/>
    <n v="1827.45"/>
    <n v="66"/>
    <n v="27.688636363636363"/>
    <x v="7"/>
    <s v="Q2"/>
    <s v="Large"/>
  </r>
  <r>
    <x v="20"/>
    <x v="1"/>
    <x v="11"/>
    <x v="371"/>
    <n v="1142.4100000000001"/>
    <n v="111"/>
    <n v="10.291981981981984"/>
    <x v="3"/>
    <s v="Q2"/>
    <s v="Large"/>
  </r>
  <r>
    <x v="10"/>
    <x v="3"/>
    <x v="20"/>
    <x v="396"/>
    <n v="6290.89"/>
    <n v="232"/>
    <n v="27.115905172413793"/>
    <x v="0"/>
    <s v="Q1"/>
    <s v="Large"/>
  </r>
  <r>
    <x v="19"/>
    <x v="3"/>
    <x v="10"/>
    <x v="408"/>
    <n v="5616.01"/>
    <n v="43"/>
    <n v="130.60488372093025"/>
    <x v="6"/>
    <s v="Q1"/>
    <s v="Large"/>
  </r>
  <r>
    <x v="8"/>
    <x v="3"/>
    <x v="5"/>
    <x v="377"/>
    <n v="11250.69"/>
    <n v="91"/>
    <n v="123.63395604395605"/>
    <x v="3"/>
    <s v="Q2"/>
    <s v="Large"/>
  </r>
  <r>
    <x v="12"/>
    <x v="0"/>
    <x v="16"/>
    <x v="381"/>
    <n v="2799.42"/>
    <n v="104"/>
    <n v="26.9175"/>
    <x v="7"/>
    <s v="Q2"/>
    <s v="Large"/>
  </r>
  <r>
    <x v="4"/>
    <x v="2"/>
    <x v="17"/>
    <x v="356"/>
    <n v="1157.8800000000001"/>
    <n v="114"/>
    <n v="10.156842105263159"/>
    <x v="4"/>
    <s v="Q1"/>
    <s v="Large"/>
  </r>
  <r>
    <x v="17"/>
    <x v="4"/>
    <x v="17"/>
    <x v="429"/>
    <n v="7049.32"/>
    <n v="273"/>
    <n v="25.821684981684982"/>
    <x v="0"/>
    <s v="Q1"/>
    <s v="Large"/>
  </r>
  <r>
    <x v="13"/>
    <x v="5"/>
    <x v="7"/>
    <x v="360"/>
    <n v="9460.5"/>
    <n v="84"/>
    <n v="112.625"/>
    <x v="4"/>
    <s v="Q1"/>
    <s v="Large"/>
  </r>
  <r>
    <x v="9"/>
    <x v="5"/>
    <x v="7"/>
    <x v="421"/>
    <n v="4173.7299999999996"/>
    <n v="175"/>
    <n v="23.849885714285712"/>
    <x v="6"/>
    <s v="Q1"/>
    <s v="Large"/>
  </r>
  <r>
    <x v="22"/>
    <x v="3"/>
    <x v="20"/>
    <x v="467"/>
    <n v="4005.08"/>
    <n v="150"/>
    <n v="26.700533333333333"/>
    <x v="4"/>
    <s v="Q1"/>
    <s v="Large"/>
  </r>
  <r>
    <x v="9"/>
    <x v="1"/>
    <x v="9"/>
    <x v="402"/>
    <n v="4650.58"/>
    <n v="143"/>
    <n v="32.521538461538462"/>
    <x v="6"/>
    <s v="Q1"/>
    <s v="Large"/>
  </r>
  <r>
    <x v="24"/>
    <x v="0"/>
    <x v="14"/>
    <x v="403"/>
    <n v="3814.56"/>
    <n v="220"/>
    <n v="17.338909090909091"/>
    <x v="0"/>
    <s v="Q1"/>
    <s v="Large"/>
  </r>
  <r>
    <x v="24"/>
    <x v="4"/>
    <x v="14"/>
    <x v="394"/>
    <n v="6321.35"/>
    <n v="325"/>
    <n v="19.450307692307693"/>
    <x v="4"/>
    <s v="Q1"/>
    <s v="Large"/>
  </r>
  <r>
    <x v="17"/>
    <x v="3"/>
    <x v="7"/>
    <x v="419"/>
    <n v="5245.53"/>
    <n v="144"/>
    <n v="36.427291666666662"/>
    <x v="6"/>
    <s v="Q1"/>
    <s v="Large"/>
  </r>
  <r>
    <x v="23"/>
    <x v="1"/>
    <x v="14"/>
    <x v="424"/>
    <n v="12998.67"/>
    <n v="317"/>
    <n v="41.005268138801263"/>
    <x v="1"/>
    <s v="Q3"/>
    <s v="Large"/>
  </r>
  <r>
    <x v="2"/>
    <x v="1"/>
    <x v="15"/>
    <x v="401"/>
    <n v="5932.12"/>
    <n v="79"/>
    <n v="75.090126582278486"/>
    <x v="7"/>
    <s v="Q2"/>
    <s v="Large"/>
  </r>
  <r>
    <x v="1"/>
    <x v="1"/>
    <x v="12"/>
    <x v="485"/>
    <n v="6811.55"/>
    <n v="4"/>
    <n v="1702.8875"/>
    <x v="3"/>
    <s v="Q2"/>
    <s v="Large"/>
  </r>
  <r>
    <x v="3"/>
    <x v="3"/>
    <x v="0"/>
    <x v="366"/>
    <n v="21381.14"/>
    <n v="311"/>
    <n v="68.749646302250795"/>
    <x v="5"/>
    <s v="Q2"/>
    <s v="Large"/>
  </r>
  <r>
    <x v="23"/>
    <x v="3"/>
    <x v="14"/>
    <x v="362"/>
    <n v="8423.36"/>
    <n v="63"/>
    <n v="133.70412698412699"/>
    <x v="5"/>
    <s v="Q2"/>
    <s v="Large"/>
  </r>
  <r>
    <x v="7"/>
    <x v="5"/>
    <x v="20"/>
    <x v="337"/>
    <n v="7951.43"/>
    <n v="109"/>
    <n v="72.948899082568815"/>
    <x v="1"/>
    <s v="Q3"/>
    <s v="Large"/>
  </r>
  <r>
    <x v="16"/>
    <x v="4"/>
    <x v="11"/>
    <x v="362"/>
    <n v="18389.099999999999"/>
    <n v="62"/>
    <n v="296.59838709677416"/>
    <x v="5"/>
    <s v="Q2"/>
    <s v="Large"/>
  </r>
  <r>
    <x v="6"/>
    <x v="1"/>
    <x v="5"/>
    <x v="422"/>
    <n v="6555.46"/>
    <n v="45"/>
    <n v="145.6768888888889"/>
    <x v="5"/>
    <s v="Q2"/>
    <s v="Large"/>
  </r>
  <r>
    <x v="4"/>
    <x v="3"/>
    <x v="17"/>
    <x v="446"/>
    <n v="5129.71"/>
    <n v="270"/>
    <n v="18.998925925925928"/>
    <x v="7"/>
    <s v="Q2"/>
    <s v="Large"/>
  </r>
  <r>
    <x v="17"/>
    <x v="4"/>
    <x v="9"/>
    <x v="482"/>
    <n v="2399.02"/>
    <n v="149"/>
    <n v="16.100805369127517"/>
    <x v="7"/>
    <s v="Q2"/>
    <s v="Large"/>
  </r>
  <r>
    <x v="4"/>
    <x v="1"/>
    <x v="8"/>
    <x v="410"/>
    <n v="6096.53"/>
    <n v="344"/>
    <n v="17.722470930232557"/>
    <x v="1"/>
    <s v="Q3"/>
    <s v="Large"/>
  </r>
  <r>
    <x v="24"/>
    <x v="3"/>
    <x v="10"/>
    <x v="378"/>
    <n v="8134.67"/>
    <n v="83"/>
    <n v="98.00807228915663"/>
    <x v="2"/>
    <s v="Q3"/>
    <s v="Large"/>
  </r>
  <r>
    <x v="2"/>
    <x v="0"/>
    <x v="19"/>
    <x v="381"/>
    <n v="9969.65"/>
    <n v="449"/>
    <n v="22.204120267260578"/>
    <x v="7"/>
    <s v="Q2"/>
    <s v="Large"/>
  </r>
  <r>
    <x v="3"/>
    <x v="2"/>
    <x v="6"/>
    <x v="443"/>
    <n v="3894.16"/>
    <n v="173"/>
    <n v="22.509595375722544"/>
    <x v="5"/>
    <s v="Q2"/>
    <s v="Large"/>
  </r>
  <r>
    <x v="12"/>
    <x v="2"/>
    <x v="3"/>
    <x v="342"/>
    <n v="11533.35"/>
    <n v="491"/>
    <n v="23.48951120162933"/>
    <x v="0"/>
    <s v="Q1"/>
    <s v="Large"/>
  </r>
  <r>
    <x v="24"/>
    <x v="4"/>
    <x v="10"/>
    <x v="348"/>
    <n v="8754.31"/>
    <n v="14"/>
    <n v="625.30785714285707"/>
    <x v="2"/>
    <s v="Q3"/>
    <s v="Large"/>
  </r>
  <r>
    <x v="6"/>
    <x v="5"/>
    <x v="0"/>
    <x v="418"/>
    <n v="5475.65"/>
    <n v="194"/>
    <n v="28.224999999999998"/>
    <x v="0"/>
    <s v="Q1"/>
    <s v="Large"/>
  </r>
  <r>
    <x v="16"/>
    <x v="0"/>
    <x v="7"/>
    <x v="364"/>
    <n v="2252.94"/>
    <n v="196"/>
    <n v="11.494591836734694"/>
    <x v="5"/>
    <s v="Q2"/>
    <s v="Large"/>
  </r>
  <r>
    <x v="10"/>
    <x v="2"/>
    <x v="21"/>
    <x v="468"/>
    <n v="278.77999999999997"/>
    <n v="332"/>
    <n v="0.83969879518072277"/>
    <x v="5"/>
    <s v="Q2"/>
    <s v="Small"/>
  </r>
  <r>
    <x v="5"/>
    <x v="5"/>
    <x v="0"/>
    <x v="450"/>
    <n v="8936.91"/>
    <n v="442"/>
    <n v="20.219253393665159"/>
    <x v="2"/>
    <s v="Q3"/>
    <s v="Large"/>
  </r>
  <r>
    <x v="13"/>
    <x v="4"/>
    <x v="2"/>
    <x v="411"/>
    <n v="2010.22"/>
    <n v="144"/>
    <n v="13.959861111111111"/>
    <x v="4"/>
    <s v="Q1"/>
    <s v="Large"/>
  </r>
  <r>
    <x v="14"/>
    <x v="5"/>
    <x v="3"/>
    <x v="337"/>
    <n v="2901.91"/>
    <n v="12"/>
    <n v="241.82583333333332"/>
    <x v="1"/>
    <s v="Q3"/>
    <s v="Large"/>
  </r>
  <r>
    <x v="4"/>
    <x v="2"/>
    <x v="11"/>
    <x v="472"/>
    <n v="9231.31"/>
    <n v="278"/>
    <n v="33.206151079136689"/>
    <x v="5"/>
    <s v="Q2"/>
    <s v="Large"/>
  </r>
  <r>
    <x v="21"/>
    <x v="3"/>
    <x v="12"/>
    <x v="342"/>
    <n v="12744.67"/>
    <n v="26"/>
    <n v="490.17961538461537"/>
    <x v="0"/>
    <s v="Q1"/>
    <s v="Large"/>
  </r>
  <r>
    <x v="2"/>
    <x v="0"/>
    <x v="11"/>
    <x v="470"/>
    <n v="1436.97"/>
    <n v="248"/>
    <n v="5.7942338709677417"/>
    <x v="7"/>
    <s v="Q2"/>
    <s v="Large"/>
  </r>
  <r>
    <x v="19"/>
    <x v="2"/>
    <x v="1"/>
    <x v="398"/>
    <n v="4900.32"/>
    <n v="254"/>
    <n v="19.29259842519685"/>
    <x v="1"/>
    <s v="Q3"/>
    <s v="Large"/>
  </r>
  <r>
    <x v="21"/>
    <x v="2"/>
    <x v="3"/>
    <x v="486"/>
    <n v="8263.11"/>
    <n v="129"/>
    <n v="64.055116279069779"/>
    <x v="6"/>
    <s v="Q1"/>
    <s v="Large"/>
  </r>
  <r>
    <x v="13"/>
    <x v="1"/>
    <x v="20"/>
    <x v="357"/>
    <n v="10139.68"/>
    <n v="552"/>
    <n v="18.368985507246379"/>
    <x v="7"/>
    <s v="Q2"/>
    <s v="Large"/>
  </r>
  <r>
    <x v="10"/>
    <x v="4"/>
    <x v="9"/>
    <x v="364"/>
    <n v="132.68"/>
    <n v="243"/>
    <n v="0.54600823045267488"/>
    <x v="5"/>
    <s v="Q2"/>
    <s v="Small"/>
  </r>
  <r>
    <x v="19"/>
    <x v="5"/>
    <x v="10"/>
    <x v="336"/>
    <n v="9479.6299999999992"/>
    <n v="217"/>
    <n v="43.684930875576036"/>
    <x v="0"/>
    <s v="Q1"/>
    <s v="Large"/>
  </r>
  <r>
    <x v="0"/>
    <x v="2"/>
    <x v="9"/>
    <x v="438"/>
    <n v="3114.84"/>
    <n v="65"/>
    <n v="47.920615384615388"/>
    <x v="0"/>
    <s v="Q1"/>
    <s v="Large"/>
  </r>
  <r>
    <x v="10"/>
    <x v="4"/>
    <x v="0"/>
    <x v="478"/>
    <n v="17866.48"/>
    <n v="58"/>
    <n v="308.04275862068965"/>
    <x v="4"/>
    <s v="Q1"/>
    <s v="Large"/>
  </r>
  <r>
    <x v="14"/>
    <x v="3"/>
    <x v="12"/>
    <x v="389"/>
    <n v="4651.03"/>
    <n v="494"/>
    <n v="9.4150404858299588"/>
    <x v="0"/>
    <s v="Q1"/>
    <s v="Large"/>
  </r>
  <r>
    <x v="22"/>
    <x v="4"/>
    <x v="14"/>
    <x v="452"/>
    <n v="14360.42"/>
    <n v="218"/>
    <n v="65.873486238532109"/>
    <x v="7"/>
    <s v="Q2"/>
    <s v="Large"/>
  </r>
  <r>
    <x v="19"/>
    <x v="4"/>
    <x v="12"/>
    <x v="459"/>
    <n v="2595.52"/>
    <n v="5"/>
    <n v="519.10400000000004"/>
    <x v="7"/>
    <s v="Q2"/>
    <s v="Large"/>
  </r>
  <r>
    <x v="8"/>
    <x v="3"/>
    <x v="13"/>
    <x v="487"/>
    <n v="1853.03"/>
    <n v="153"/>
    <n v="12.111307189542483"/>
    <x v="3"/>
    <s v="Q2"/>
    <s v="Large"/>
  </r>
  <r>
    <x v="4"/>
    <x v="5"/>
    <x v="10"/>
    <x v="361"/>
    <n v="1392.99"/>
    <n v="70"/>
    <n v="19.899857142857144"/>
    <x v="2"/>
    <s v="Q3"/>
    <s v="Large"/>
  </r>
  <r>
    <x v="22"/>
    <x v="0"/>
    <x v="10"/>
    <x v="465"/>
    <n v="7943.17"/>
    <n v="174"/>
    <n v="45.650402298850572"/>
    <x v="2"/>
    <s v="Q3"/>
    <s v="Large"/>
  </r>
  <r>
    <x v="23"/>
    <x v="4"/>
    <x v="0"/>
    <x v="420"/>
    <n v="5552.79"/>
    <n v="272"/>
    <n v="20.414669117647058"/>
    <x v="4"/>
    <s v="Q1"/>
    <s v="Large"/>
  </r>
  <r>
    <x v="20"/>
    <x v="4"/>
    <x v="7"/>
    <x v="488"/>
    <n v="1539.14"/>
    <n v="143"/>
    <n v="10.763216783216784"/>
    <x v="4"/>
    <s v="Q1"/>
    <s v="Large"/>
  </r>
  <r>
    <x v="2"/>
    <x v="2"/>
    <x v="20"/>
    <x v="387"/>
    <n v="9117.77"/>
    <n v="154"/>
    <n v="59.206298701298707"/>
    <x v="2"/>
    <s v="Q3"/>
    <s v="Large"/>
  </r>
  <r>
    <x v="9"/>
    <x v="1"/>
    <x v="6"/>
    <x v="442"/>
    <n v="631.02"/>
    <n v="140"/>
    <n v="4.5072857142857146"/>
    <x v="7"/>
    <s v="Q2"/>
    <s v="Large"/>
  </r>
  <r>
    <x v="1"/>
    <x v="3"/>
    <x v="0"/>
    <x v="355"/>
    <n v="4486.37"/>
    <n v="104"/>
    <n v="43.138173076923074"/>
    <x v="5"/>
    <s v="Q2"/>
    <s v="Large"/>
  </r>
  <r>
    <x v="1"/>
    <x v="1"/>
    <x v="6"/>
    <x v="446"/>
    <n v="5591.29"/>
    <n v="132"/>
    <n v="42.358257575757577"/>
    <x v="7"/>
    <s v="Q2"/>
    <s v="Large"/>
  </r>
  <r>
    <x v="1"/>
    <x v="4"/>
    <x v="15"/>
    <x v="442"/>
    <n v="2662.54"/>
    <n v="102"/>
    <n v="26.103333333333332"/>
    <x v="7"/>
    <s v="Q2"/>
    <s v="Large"/>
  </r>
  <r>
    <x v="18"/>
    <x v="4"/>
    <x v="7"/>
    <x v="359"/>
    <n v="7481.93"/>
    <n v="38"/>
    <n v="196.89289473684212"/>
    <x v="4"/>
    <s v="Q1"/>
    <s v="Large"/>
  </r>
  <r>
    <x v="8"/>
    <x v="3"/>
    <x v="8"/>
    <x v="407"/>
    <n v="7418.41"/>
    <n v="31"/>
    <n v="239.30354838709678"/>
    <x v="6"/>
    <s v="Q1"/>
    <s v="Large"/>
  </r>
  <r>
    <x v="2"/>
    <x v="4"/>
    <x v="5"/>
    <x v="438"/>
    <n v="1969.06"/>
    <n v="235"/>
    <n v="8.3789787234042556"/>
    <x v="0"/>
    <s v="Q1"/>
    <s v="Large"/>
  </r>
  <r>
    <x v="8"/>
    <x v="3"/>
    <x v="0"/>
    <x v="420"/>
    <n v="7197.75"/>
    <n v="159"/>
    <n v="45.268867924528301"/>
    <x v="4"/>
    <s v="Q1"/>
    <s v="Large"/>
  </r>
  <r>
    <x v="17"/>
    <x v="5"/>
    <x v="1"/>
    <x v="337"/>
    <n v="11719.06"/>
    <n v="87"/>
    <n v="134.70183908045976"/>
    <x v="1"/>
    <s v="Q3"/>
    <s v="Large"/>
  </r>
  <r>
    <x v="12"/>
    <x v="3"/>
    <x v="3"/>
    <x v="369"/>
    <n v="2755.14"/>
    <n v="63"/>
    <n v="43.73238095238095"/>
    <x v="7"/>
    <s v="Q2"/>
    <s v="Large"/>
  </r>
  <r>
    <x v="15"/>
    <x v="4"/>
    <x v="14"/>
    <x v="393"/>
    <n v="2438.56"/>
    <n v="61"/>
    <n v="39.97639344262295"/>
    <x v="2"/>
    <s v="Q3"/>
    <s v="Large"/>
  </r>
  <r>
    <x v="19"/>
    <x v="2"/>
    <x v="2"/>
    <x v="344"/>
    <n v="7661.86"/>
    <n v="144"/>
    <n v="53.207361111111112"/>
    <x v="3"/>
    <s v="Q2"/>
    <s v="Large"/>
  </r>
  <r>
    <x v="17"/>
    <x v="1"/>
    <x v="1"/>
    <x v="366"/>
    <n v="4886.1499999999996"/>
    <n v="23"/>
    <n v="212.44130434782608"/>
    <x v="5"/>
    <s v="Q2"/>
    <s v="Large"/>
  </r>
  <r>
    <x v="14"/>
    <x v="0"/>
    <x v="6"/>
    <x v="457"/>
    <n v="3572.26"/>
    <n v="156"/>
    <n v="22.899102564102567"/>
    <x v="6"/>
    <s v="Q1"/>
    <s v="Large"/>
  </r>
  <r>
    <x v="5"/>
    <x v="4"/>
    <x v="13"/>
    <x v="423"/>
    <n v="6937.75"/>
    <n v="94"/>
    <n v="73.805851063829792"/>
    <x v="6"/>
    <s v="Q1"/>
    <s v="Large"/>
  </r>
  <r>
    <x v="4"/>
    <x v="5"/>
    <x v="17"/>
    <x v="422"/>
    <n v="1941.25"/>
    <n v="221"/>
    <n v="8.7839366515837103"/>
    <x v="5"/>
    <s v="Q2"/>
    <s v="Large"/>
  </r>
  <r>
    <x v="2"/>
    <x v="0"/>
    <x v="9"/>
    <x v="366"/>
    <n v="6173.15"/>
    <n v="46"/>
    <n v="134.19891304347826"/>
    <x v="5"/>
    <s v="Q2"/>
    <s v="Large"/>
  </r>
  <r>
    <x v="20"/>
    <x v="1"/>
    <x v="0"/>
    <x v="348"/>
    <n v="3105.45"/>
    <n v="116"/>
    <n v="26.77112068965517"/>
    <x v="2"/>
    <s v="Q3"/>
    <s v="Large"/>
  </r>
  <r>
    <x v="10"/>
    <x v="5"/>
    <x v="2"/>
    <x v="489"/>
    <n v="3691.6"/>
    <n v="154"/>
    <n v="23.971428571428572"/>
    <x v="1"/>
    <s v="Q3"/>
    <s v="Large"/>
  </r>
  <r>
    <x v="8"/>
    <x v="0"/>
    <x v="0"/>
    <x v="338"/>
    <n v="3950.65"/>
    <n v="324"/>
    <n v="12.193364197530865"/>
    <x v="2"/>
    <s v="Q3"/>
    <s v="Large"/>
  </r>
  <r>
    <x v="8"/>
    <x v="4"/>
    <x v="1"/>
    <x v="410"/>
    <n v="13497.17"/>
    <n v="49"/>
    <n v="275.45244897959185"/>
    <x v="1"/>
    <s v="Q3"/>
    <s v="Large"/>
  </r>
  <r>
    <x v="15"/>
    <x v="5"/>
    <x v="8"/>
    <x v="490"/>
    <n v="4389.2299999999996"/>
    <n v="241"/>
    <n v="18.212572614107881"/>
    <x v="0"/>
    <s v="Q1"/>
    <s v="Large"/>
  </r>
  <r>
    <x v="3"/>
    <x v="2"/>
    <x v="21"/>
    <x v="408"/>
    <n v="6310.98"/>
    <n v="366"/>
    <n v="17.243114754098361"/>
    <x v="6"/>
    <s v="Q1"/>
    <s v="Large"/>
  </r>
  <r>
    <x v="11"/>
    <x v="3"/>
    <x v="13"/>
    <x v="410"/>
    <n v="9693.3700000000008"/>
    <n v="4"/>
    <n v="2423.3425000000002"/>
    <x v="1"/>
    <s v="Q3"/>
    <s v="Large"/>
  </r>
  <r>
    <x v="24"/>
    <x v="0"/>
    <x v="2"/>
    <x v="371"/>
    <n v="2348.1999999999998"/>
    <n v="266"/>
    <n v="8.8278195488721796"/>
    <x v="3"/>
    <s v="Q2"/>
    <s v="Large"/>
  </r>
  <r>
    <x v="16"/>
    <x v="4"/>
    <x v="10"/>
    <x v="390"/>
    <n v="2518.5"/>
    <n v="24"/>
    <n v="104.9375"/>
    <x v="6"/>
    <s v="Q1"/>
    <s v="Large"/>
  </r>
  <r>
    <x v="21"/>
    <x v="4"/>
    <x v="17"/>
    <x v="434"/>
    <n v="3516.72"/>
    <n v="17"/>
    <n v="206.86588235294116"/>
    <x v="7"/>
    <s v="Q2"/>
    <s v="Large"/>
  </r>
  <r>
    <x v="6"/>
    <x v="3"/>
    <x v="15"/>
    <x v="443"/>
    <n v="16807.37"/>
    <n v="44"/>
    <n v="381.98568181818177"/>
    <x v="5"/>
    <s v="Q2"/>
    <s v="Large"/>
  </r>
  <r>
    <x v="0"/>
    <x v="3"/>
    <x v="5"/>
    <x v="385"/>
    <n v="1736.59"/>
    <n v="70"/>
    <n v="24.808428571428571"/>
    <x v="3"/>
    <s v="Q2"/>
    <s v="Large"/>
  </r>
  <r>
    <x v="0"/>
    <x v="4"/>
    <x v="3"/>
    <x v="338"/>
    <n v="7900.11"/>
    <n v="168"/>
    <n v="47.024464285714281"/>
    <x v="2"/>
    <s v="Q3"/>
    <s v="Large"/>
  </r>
  <r>
    <x v="22"/>
    <x v="1"/>
    <x v="0"/>
    <x v="368"/>
    <n v="4016.89"/>
    <n v="71"/>
    <n v="56.575915492957748"/>
    <x v="1"/>
    <s v="Q3"/>
    <s v="Large"/>
  </r>
  <r>
    <x v="0"/>
    <x v="1"/>
    <x v="8"/>
    <x v="340"/>
    <n v="9642.6200000000008"/>
    <n v="140"/>
    <n v="68.875857142857143"/>
    <x v="4"/>
    <s v="Q1"/>
    <s v="Large"/>
  </r>
  <r>
    <x v="10"/>
    <x v="5"/>
    <x v="17"/>
    <x v="458"/>
    <n v="773.7"/>
    <n v="217"/>
    <n v="3.5654377880184334"/>
    <x v="7"/>
    <s v="Q2"/>
    <s v="Large"/>
  </r>
  <r>
    <x v="16"/>
    <x v="2"/>
    <x v="21"/>
    <x v="479"/>
    <n v="7852.03"/>
    <n v="240"/>
    <n v="32.716791666666666"/>
    <x v="4"/>
    <s v="Q1"/>
    <s v="Large"/>
  </r>
  <r>
    <x v="13"/>
    <x v="0"/>
    <x v="21"/>
    <x v="343"/>
    <n v="1649.57"/>
    <n v="293"/>
    <n v="5.6299317406143343"/>
    <x v="6"/>
    <s v="Q1"/>
    <s v="Large"/>
  </r>
  <r>
    <x v="7"/>
    <x v="4"/>
    <x v="9"/>
    <x v="391"/>
    <n v="9333.4500000000007"/>
    <n v="78"/>
    <n v="119.65961538461539"/>
    <x v="5"/>
    <s v="Q2"/>
    <s v="Large"/>
  </r>
  <r>
    <x v="9"/>
    <x v="5"/>
    <x v="15"/>
    <x v="402"/>
    <n v="1540.11"/>
    <n v="117"/>
    <n v="13.163333333333332"/>
    <x v="6"/>
    <s v="Q1"/>
    <s v="Large"/>
  </r>
  <r>
    <x v="16"/>
    <x v="2"/>
    <x v="13"/>
    <x v="391"/>
    <n v="7840.94"/>
    <n v="82"/>
    <n v="95.621219512195111"/>
    <x v="5"/>
    <s v="Q2"/>
    <s v="Large"/>
  </r>
  <r>
    <x v="4"/>
    <x v="3"/>
    <x v="10"/>
    <x v="356"/>
    <n v="17102.97"/>
    <n v="267"/>
    <n v="64.05606741573034"/>
    <x v="4"/>
    <s v="Q1"/>
    <s v="Large"/>
  </r>
  <r>
    <x v="22"/>
    <x v="0"/>
    <x v="4"/>
    <x v="350"/>
    <n v="11496.42"/>
    <n v="49"/>
    <n v="234.62081632653062"/>
    <x v="0"/>
    <s v="Q1"/>
    <s v="Large"/>
  </r>
  <r>
    <x v="22"/>
    <x v="2"/>
    <x v="0"/>
    <x v="474"/>
    <n v="3072.89"/>
    <n v="166"/>
    <n v="18.511385542168675"/>
    <x v="7"/>
    <s v="Q2"/>
    <s v="Large"/>
  </r>
  <r>
    <x v="14"/>
    <x v="5"/>
    <x v="4"/>
    <x v="338"/>
    <n v="14990.79"/>
    <n v="7"/>
    <n v="2141.5414285714287"/>
    <x v="2"/>
    <s v="Q3"/>
    <s v="Large"/>
  </r>
  <r>
    <x v="7"/>
    <x v="2"/>
    <x v="19"/>
    <x v="374"/>
    <n v="3170.18"/>
    <n v="49"/>
    <n v="64.697551020408156"/>
    <x v="1"/>
    <s v="Q3"/>
    <s v="Large"/>
  </r>
  <r>
    <x v="10"/>
    <x v="2"/>
    <x v="5"/>
    <x v="491"/>
    <n v="2528.14"/>
    <n v="67"/>
    <n v="37.733432835820892"/>
    <x v="1"/>
    <s v="Q3"/>
    <s v="Large"/>
  </r>
  <r>
    <x v="11"/>
    <x v="0"/>
    <x v="4"/>
    <x v="346"/>
    <n v="8551.6"/>
    <n v="208"/>
    <n v="41.113461538461543"/>
    <x v="0"/>
    <s v="Q1"/>
    <s v="Large"/>
  </r>
  <r>
    <x v="5"/>
    <x v="2"/>
    <x v="6"/>
    <x v="388"/>
    <n v="13072.95"/>
    <n v="119"/>
    <n v="109.85672268907564"/>
    <x v="6"/>
    <s v="Q1"/>
    <s v="Large"/>
  </r>
  <r>
    <x v="11"/>
    <x v="2"/>
    <x v="18"/>
    <x v="445"/>
    <n v="11987.26"/>
    <n v="41"/>
    <n v="292.37219512195122"/>
    <x v="2"/>
    <s v="Q3"/>
    <s v="Large"/>
  </r>
  <r>
    <x v="20"/>
    <x v="3"/>
    <x v="9"/>
    <x v="347"/>
    <n v="18385.439999999999"/>
    <n v="116"/>
    <n v="158.49517241379309"/>
    <x v="6"/>
    <s v="Q1"/>
    <s v="Large"/>
  </r>
  <r>
    <x v="12"/>
    <x v="4"/>
    <x v="1"/>
    <x v="398"/>
    <n v="14028.4"/>
    <n v="344"/>
    <n v="40.780232558139531"/>
    <x v="1"/>
    <s v="Q3"/>
    <s v="Large"/>
  </r>
  <r>
    <x v="13"/>
    <x v="4"/>
    <x v="8"/>
    <x v="427"/>
    <n v="4812.71"/>
    <n v="169"/>
    <n v="28.47757396449704"/>
    <x v="3"/>
    <s v="Q2"/>
    <s v="Large"/>
  </r>
  <r>
    <x v="17"/>
    <x v="0"/>
    <x v="11"/>
    <x v="402"/>
    <n v="11963.91"/>
    <n v="446"/>
    <n v="26.824910313901345"/>
    <x v="6"/>
    <s v="Q1"/>
    <s v="Large"/>
  </r>
  <r>
    <x v="18"/>
    <x v="0"/>
    <x v="10"/>
    <x v="433"/>
    <n v="5574.83"/>
    <n v="52"/>
    <n v="107.20826923076923"/>
    <x v="2"/>
    <s v="Q3"/>
    <s v="Large"/>
  </r>
  <r>
    <x v="22"/>
    <x v="4"/>
    <x v="7"/>
    <x v="381"/>
    <n v="9205.15"/>
    <n v="144"/>
    <n v="63.924652777777773"/>
    <x v="7"/>
    <s v="Q2"/>
    <s v="Large"/>
  </r>
  <r>
    <x v="5"/>
    <x v="1"/>
    <x v="3"/>
    <x v="388"/>
    <n v="4133.74"/>
    <n v="69"/>
    <n v="59.909275362318837"/>
    <x v="6"/>
    <s v="Q1"/>
    <s v="Large"/>
  </r>
  <r>
    <x v="11"/>
    <x v="3"/>
    <x v="1"/>
    <x v="357"/>
    <n v="1312.23"/>
    <n v="164"/>
    <n v="8.0014024390243907"/>
    <x v="7"/>
    <s v="Q2"/>
    <s v="Large"/>
  </r>
  <r>
    <x v="11"/>
    <x v="0"/>
    <x v="15"/>
    <x v="375"/>
    <n v="11735.75"/>
    <n v="185"/>
    <n v="63.436486486486487"/>
    <x v="5"/>
    <s v="Q2"/>
    <s v="Large"/>
  </r>
  <r>
    <x v="6"/>
    <x v="4"/>
    <x v="4"/>
    <x v="426"/>
    <n v="7650.76"/>
    <n v="358"/>
    <n v="21.370837988826818"/>
    <x v="2"/>
    <s v="Q3"/>
    <s v="Large"/>
  </r>
  <r>
    <x v="12"/>
    <x v="3"/>
    <x v="0"/>
    <x v="469"/>
    <n v="4994.93"/>
    <n v="98"/>
    <n v="50.96867346938776"/>
    <x v="5"/>
    <s v="Q2"/>
    <s v="Large"/>
  </r>
  <r>
    <x v="17"/>
    <x v="4"/>
    <x v="11"/>
    <x v="401"/>
    <n v="890.78"/>
    <n v="62"/>
    <n v="14.367419354838709"/>
    <x v="7"/>
    <s v="Q2"/>
    <s v="Large"/>
  </r>
  <r>
    <x v="5"/>
    <x v="4"/>
    <x v="9"/>
    <x v="458"/>
    <n v="4142.16"/>
    <n v="5"/>
    <n v="828.43200000000002"/>
    <x v="7"/>
    <s v="Q2"/>
    <s v="Large"/>
  </r>
  <r>
    <x v="6"/>
    <x v="5"/>
    <x v="15"/>
    <x v="481"/>
    <n v="7308.24"/>
    <n v="178"/>
    <n v="41.05752808988764"/>
    <x v="1"/>
    <s v="Q3"/>
    <s v="Large"/>
  </r>
  <r>
    <x v="1"/>
    <x v="1"/>
    <x v="18"/>
    <x v="436"/>
    <n v="6833.86"/>
    <n v="115"/>
    <n v="59.424869565217385"/>
    <x v="3"/>
    <s v="Q2"/>
    <s v="Large"/>
  </r>
  <r>
    <x v="19"/>
    <x v="4"/>
    <x v="20"/>
    <x v="474"/>
    <n v="8878.27"/>
    <n v="47"/>
    <n v="188.89936170212766"/>
    <x v="7"/>
    <s v="Q2"/>
    <s v="Large"/>
  </r>
  <r>
    <x v="23"/>
    <x v="4"/>
    <x v="4"/>
    <x v="481"/>
    <n v="4134.93"/>
    <n v="307"/>
    <n v="13.46882736156352"/>
    <x v="1"/>
    <s v="Q3"/>
    <s v="Large"/>
  </r>
  <r>
    <x v="21"/>
    <x v="2"/>
    <x v="17"/>
    <x v="398"/>
    <n v="6641.89"/>
    <n v="188"/>
    <n v="35.329202127659578"/>
    <x v="1"/>
    <s v="Q3"/>
    <s v="Large"/>
  </r>
  <r>
    <x v="5"/>
    <x v="1"/>
    <x v="12"/>
    <x v="446"/>
    <n v="7117.3"/>
    <n v="174"/>
    <n v="40.904022988505751"/>
    <x v="7"/>
    <s v="Q2"/>
    <s v="Large"/>
  </r>
  <r>
    <x v="10"/>
    <x v="4"/>
    <x v="15"/>
    <x v="467"/>
    <n v="11815.59"/>
    <n v="68"/>
    <n v="173.75867647058823"/>
    <x v="4"/>
    <s v="Q1"/>
    <s v="Large"/>
  </r>
  <r>
    <x v="21"/>
    <x v="4"/>
    <x v="6"/>
    <x v="466"/>
    <n v="6962.79"/>
    <n v="303"/>
    <n v="22.979504950495048"/>
    <x v="5"/>
    <s v="Q2"/>
    <s v="Large"/>
  </r>
  <r>
    <x v="22"/>
    <x v="0"/>
    <x v="18"/>
    <x v="363"/>
    <n v="11786.42"/>
    <n v="147"/>
    <n v="80.17972789115646"/>
    <x v="7"/>
    <s v="Q2"/>
    <s v="Large"/>
  </r>
  <r>
    <x v="3"/>
    <x v="5"/>
    <x v="0"/>
    <x v="405"/>
    <n v="1200.19"/>
    <n v="224"/>
    <n v="5.3579910714285717"/>
    <x v="3"/>
    <s v="Q2"/>
    <s v="Large"/>
  </r>
  <r>
    <x v="21"/>
    <x v="5"/>
    <x v="21"/>
    <x v="445"/>
    <n v="10791.08"/>
    <n v="166"/>
    <n v="65.006506024096382"/>
    <x v="2"/>
    <s v="Q3"/>
    <s v="Large"/>
  </r>
  <r>
    <x v="24"/>
    <x v="1"/>
    <x v="2"/>
    <x v="395"/>
    <n v="26170.95"/>
    <n v="224"/>
    <n v="116.83459821428572"/>
    <x v="0"/>
    <s v="Q1"/>
    <s v="Large"/>
  </r>
  <r>
    <x v="3"/>
    <x v="1"/>
    <x v="18"/>
    <x v="489"/>
    <n v="2987.81"/>
    <n v="136"/>
    <n v="21.969191176470588"/>
    <x v="1"/>
    <s v="Q3"/>
    <s v="Large"/>
  </r>
  <r>
    <x v="2"/>
    <x v="5"/>
    <x v="16"/>
    <x v="467"/>
    <n v="11705.99"/>
    <n v="47"/>
    <n v="249.0636170212766"/>
    <x v="4"/>
    <s v="Q1"/>
    <s v="Large"/>
  </r>
  <r>
    <x v="7"/>
    <x v="1"/>
    <x v="5"/>
    <x v="388"/>
    <n v="5256.03"/>
    <n v="201"/>
    <n v="26.149402985074627"/>
    <x v="6"/>
    <s v="Q1"/>
    <s v="Large"/>
  </r>
  <r>
    <x v="20"/>
    <x v="2"/>
    <x v="4"/>
    <x v="366"/>
    <n v="3794.1"/>
    <n v="36"/>
    <n v="105.39166666666667"/>
    <x v="5"/>
    <s v="Q2"/>
    <s v="Large"/>
  </r>
  <r>
    <x v="23"/>
    <x v="2"/>
    <x v="12"/>
    <x v="490"/>
    <n v="9655.2999999999993"/>
    <n v="97"/>
    <n v="99.539175257731955"/>
    <x v="0"/>
    <s v="Q1"/>
    <s v="Large"/>
  </r>
  <r>
    <x v="6"/>
    <x v="4"/>
    <x v="11"/>
    <x v="338"/>
    <n v="16001.54"/>
    <n v="133"/>
    <n v="120.31233082706767"/>
    <x v="2"/>
    <s v="Q3"/>
    <s v="Large"/>
  </r>
  <r>
    <x v="9"/>
    <x v="3"/>
    <x v="0"/>
    <x v="396"/>
    <n v="1386.1"/>
    <n v="104"/>
    <n v="13.327884615384615"/>
    <x v="0"/>
    <s v="Q1"/>
    <s v="Large"/>
  </r>
  <r>
    <x v="12"/>
    <x v="0"/>
    <x v="4"/>
    <x v="386"/>
    <n v="3821.76"/>
    <n v="122"/>
    <n v="31.325901639344263"/>
    <x v="1"/>
    <s v="Q3"/>
    <s v="Large"/>
  </r>
  <r>
    <x v="12"/>
    <x v="4"/>
    <x v="2"/>
    <x v="397"/>
    <n v="15722.43"/>
    <n v="351"/>
    <n v="44.793247863247863"/>
    <x v="1"/>
    <s v="Q3"/>
    <s v="Large"/>
  </r>
  <r>
    <x v="6"/>
    <x v="3"/>
    <x v="14"/>
    <x v="362"/>
    <n v="6287.25"/>
    <n v="340"/>
    <n v="18.491911764705883"/>
    <x v="5"/>
    <s v="Q2"/>
    <s v="Large"/>
  </r>
  <r>
    <x v="11"/>
    <x v="4"/>
    <x v="19"/>
    <x v="350"/>
    <n v="9831.9699999999993"/>
    <n v="9"/>
    <n v="1092.441111111111"/>
    <x v="0"/>
    <s v="Q1"/>
    <s v="Large"/>
  </r>
  <r>
    <x v="20"/>
    <x v="4"/>
    <x v="12"/>
    <x v="430"/>
    <n v="90.36"/>
    <n v="73"/>
    <n v="1.2378082191780821"/>
    <x v="3"/>
    <s v="Q2"/>
    <s v="Small"/>
  </r>
  <r>
    <x v="9"/>
    <x v="5"/>
    <x v="14"/>
    <x v="486"/>
    <n v="3799.5"/>
    <n v="71"/>
    <n v="53.514084507042256"/>
    <x v="6"/>
    <s v="Q1"/>
    <s v="Large"/>
  </r>
  <r>
    <x v="16"/>
    <x v="2"/>
    <x v="16"/>
    <x v="441"/>
    <n v="4674.2"/>
    <n v="422"/>
    <n v="11.076303317535544"/>
    <x v="4"/>
    <s v="Q1"/>
    <s v="Large"/>
  </r>
  <r>
    <x v="4"/>
    <x v="4"/>
    <x v="3"/>
    <x v="408"/>
    <n v="4011.83"/>
    <n v="169"/>
    <n v="23.738639053254438"/>
    <x v="6"/>
    <s v="Q1"/>
    <s v="Large"/>
  </r>
  <r>
    <x v="17"/>
    <x v="1"/>
    <x v="3"/>
    <x v="338"/>
    <n v="3429.85"/>
    <n v="9"/>
    <n v="381.09444444444443"/>
    <x v="2"/>
    <s v="Q3"/>
    <s v="Large"/>
  </r>
  <r>
    <x v="21"/>
    <x v="3"/>
    <x v="20"/>
    <x v="492"/>
    <n v="4920.68"/>
    <n v="380"/>
    <n v="12.949157894736842"/>
    <x v="5"/>
    <s v="Q2"/>
    <s v="Large"/>
  </r>
  <r>
    <x v="3"/>
    <x v="5"/>
    <x v="20"/>
    <x v="409"/>
    <n v="10049.719999999999"/>
    <n v="118"/>
    <n v="85.167118644067784"/>
    <x v="1"/>
    <s v="Q3"/>
    <s v="Large"/>
  </r>
  <r>
    <x v="4"/>
    <x v="4"/>
    <x v="19"/>
    <x v="489"/>
    <n v="8485.1"/>
    <n v="120"/>
    <n v="70.709166666666675"/>
    <x v="1"/>
    <s v="Q3"/>
    <s v="Large"/>
  </r>
  <r>
    <x v="22"/>
    <x v="3"/>
    <x v="2"/>
    <x v="418"/>
    <n v="6030.31"/>
    <n v="351"/>
    <n v="17.180370370370373"/>
    <x v="0"/>
    <s v="Q1"/>
    <s v="Large"/>
  </r>
  <r>
    <x v="20"/>
    <x v="2"/>
    <x v="7"/>
    <x v="430"/>
    <n v="13331.77"/>
    <n v="443"/>
    <n v="30.094288939051921"/>
    <x v="3"/>
    <s v="Q2"/>
    <s v="Large"/>
  </r>
  <r>
    <x v="11"/>
    <x v="2"/>
    <x v="15"/>
    <x v="352"/>
    <n v="15245.95"/>
    <n v="233"/>
    <n v="65.433261802575117"/>
    <x v="3"/>
    <s v="Q2"/>
    <s v="Large"/>
  </r>
  <r>
    <x v="16"/>
    <x v="5"/>
    <x v="15"/>
    <x v="429"/>
    <n v="11618.55"/>
    <n v="133"/>
    <n v="87.35751879699248"/>
    <x v="0"/>
    <s v="Q1"/>
    <s v="Large"/>
  </r>
  <r>
    <x v="0"/>
    <x v="0"/>
    <x v="19"/>
    <x v="381"/>
    <n v="2629.59"/>
    <n v="98"/>
    <n v="26.832551020408165"/>
    <x v="7"/>
    <s v="Q2"/>
    <s v="Large"/>
  </r>
  <r>
    <x v="20"/>
    <x v="2"/>
    <x v="14"/>
    <x v="368"/>
    <n v="10089.49"/>
    <n v="168"/>
    <n v="60.056488095238095"/>
    <x v="1"/>
    <s v="Q3"/>
    <s v="Large"/>
  </r>
  <r>
    <x v="14"/>
    <x v="1"/>
    <x v="1"/>
    <x v="429"/>
    <n v="308.24"/>
    <n v="402"/>
    <n v="0.7667661691542289"/>
    <x v="0"/>
    <s v="Q1"/>
    <s v="Small"/>
  </r>
  <r>
    <x v="16"/>
    <x v="4"/>
    <x v="8"/>
    <x v="374"/>
    <n v="7978.76"/>
    <n v="10"/>
    <n v="797.87599999999998"/>
    <x v="1"/>
    <s v="Q3"/>
    <s v="Large"/>
  </r>
  <r>
    <x v="5"/>
    <x v="0"/>
    <x v="4"/>
    <x v="402"/>
    <n v="8.16"/>
    <n v="84"/>
    <n v="9.7142857142857142E-2"/>
    <x v="6"/>
    <s v="Q1"/>
    <s v="Small"/>
  </r>
  <r>
    <x v="12"/>
    <x v="0"/>
    <x v="18"/>
    <x v="408"/>
    <n v="3303.13"/>
    <n v="73"/>
    <n v="45.248356164383566"/>
    <x v="6"/>
    <s v="Q1"/>
    <s v="Large"/>
  </r>
  <r>
    <x v="23"/>
    <x v="5"/>
    <x v="15"/>
    <x v="455"/>
    <n v="13959.74"/>
    <n v="113"/>
    <n v="123.53752212389381"/>
    <x v="3"/>
    <s v="Q2"/>
    <s v="Large"/>
  </r>
  <r>
    <x v="16"/>
    <x v="2"/>
    <x v="11"/>
    <x v="469"/>
    <n v="4251.42"/>
    <n v="91"/>
    <n v="46.7189010989011"/>
    <x v="5"/>
    <s v="Q2"/>
    <s v="Large"/>
  </r>
  <r>
    <x v="3"/>
    <x v="5"/>
    <x v="13"/>
    <x v="426"/>
    <n v="9885.5300000000007"/>
    <n v="217"/>
    <n v="45.555437788018438"/>
    <x v="2"/>
    <s v="Q3"/>
    <s v="Large"/>
  </r>
  <r>
    <x v="3"/>
    <x v="1"/>
    <x v="3"/>
    <x v="349"/>
    <n v="12864.47"/>
    <n v="93"/>
    <n v="138.32763440860214"/>
    <x v="1"/>
    <s v="Q3"/>
    <s v="Large"/>
  </r>
  <r>
    <x v="7"/>
    <x v="2"/>
    <x v="15"/>
    <x v="349"/>
    <n v="5245.6"/>
    <n v="144"/>
    <n v="36.427777777777777"/>
    <x v="1"/>
    <s v="Q3"/>
    <s v="Large"/>
  </r>
  <r>
    <x v="0"/>
    <x v="0"/>
    <x v="11"/>
    <x v="480"/>
    <n v="14345.5"/>
    <n v="219"/>
    <n v="65.504566210045667"/>
    <x v="7"/>
    <s v="Q2"/>
    <s v="Large"/>
  </r>
  <r>
    <x v="15"/>
    <x v="5"/>
    <x v="5"/>
    <x v="414"/>
    <n v="11462.19"/>
    <n v="288"/>
    <n v="39.799270833333338"/>
    <x v="0"/>
    <s v="Q1"/>
    <s v="Large"/>
  </r>
  <r>
    <x v="13"/>
    <x v="4"/>
    <x v="6"/>
    <x v="394"/>
    <n v="11667.94"/>
    <n v="306"/>
    <n v="38.130522875816993"/>
    <x v="4"/>
    <s v="Q1"/>
    <s v="Large"/>
  </r>
  <r>
    <x v="1"/>
    <x v="1"/>
    <x v="16"/>
    <x v="443"/>
    <n v="7455.17"/>
    <n v="383"/>
    <n v="19.465195822454309"/>
    <x v="5"/>
    <s v="Q2"/>
    <s v="Large"/>
  </r>
  <r>
    <x v="20"/>
    <x v="4"/>
    <x v="6"/>
    <x v="421"/>
    <n v="7203.64"/>
    <n v="234"/>
    <n v="30.784786324786324"/>
    <x v="6"/>
    <s v="Q1"/>
    <s v="Large"/>
  </r>
  <r>
    <x v="22"/>
    <x v="5"/>
    <x v="1"/>
    <x v="356"/>
    <n v="8081.58"/>
    <n v="105"/>
    <n v="76.96742857142857"/>
    <x v="4"/>
    <s v="Q1"/>
    <s v="Large"/>
  </r>
  <r>
    <x v="17"/>
    <x v="5"/>
    <x v="3"/>
    <x v="439"/>
    <n v="2055.4"/>
    <n v="485"/>
    <n v="4.2379381443298971"/>
    <x v="6"/>
    <s v="Q1"/>
    <s v="Large"/>
  </r>
  <r>
    <x v="9"/>
    <x v="2"/>
    <x v="12"/>
    <x v="364"/>
    <n v="6476.09"/>
    <n v="304"/>
    <n v="21.30292763157895"/>
    <x v="5"/>
    <s v="Q2"/>
    <s v="Large"/>
  </r>
  <r>
    <x v="24"/>
    <x v="5"/>
    <x v="18"/>
    <x v="368"/>
    <n v="17490.080000000002"/>
    <n v="289"/>
    <n v="60.519307958477512"/>
    <x v="1"/>
    <s v="Q3"/>
    <s v="Large"/>
  </r>
  <r>
    <x v="2"/>
    <x v="5"/>
    <x v="12"/>
    <x v="345"/>
    <n v="13644"/>
    <n v="281"/>
    <n v="48.555160142348754"/>
    <x v="2"/>
    <s v="Q3"/>
    <s v="Large"/>
  </r>
  <r>
    <x v="13"/>
    <x v="3"/>
    <x v="16"/>
    <x v="407"/>
    <n v="2930.46"/>
    <n v="70"/>
    <n v="41.863714285714288"/>
    <x v="6"/>
    <s v="Q1"/>
    <s v="Large"/>
  </r>
  <r>
    <x v="14"/>
    <x v="1"/>
    <x v="3"/>
    <x v="377"/>
    <n v="22717.09"/>
    <n v="143"/>
    <n v="158.86076923076922"/>
    <x v="3"/>
    <s v="Q2"/>
    <s v="Large"/>
  </r>
  <r>
    <x v="24"/>
    <x v="3"/>
    <x v="0"/>
    <x v="429"/>
    <n v="9471.7199999999993"/>
    <n v="248"/>
    <n v="38.192419354838705"/>
    <x v="0"/>
    <s v="Q1"/>
    <s v="Large"/>
  </r>
  <r>
    <x v="1"/>
    <x v="3"/>
    <x v="13"/>
    <x v="490"/>
    <n v="3400.47"/>
    <n v="92"/>
    <n v="36.961630434782606"/>
    <x v="0"/>
    <s v="Q1"/>
    <s v="Large"/>
  </r>
  <r>
    <x v="19"/>
    <x v="3"/>
    <x v="0"/>
    <x v="478"/>
    <n v="10696.21"/>
    <n v="201"/>
    <n v="53.214975124378107"/>
    <x v="4"/>
    <s v="Q1"/>
    <s v="Large"/>
  </r>
  <r>
    <x v="19"/>
    <x v="0"/>
    <x v="11"/>
    <x v="394"/>
    <n v="17101.669999999998"/>
    <n v="307"/>
    <n v="55.705765472312699"/>
    <x v="4"/>
    <s v="Q1"/>
    <s v="Large"/>
  </r>
  <r>
    <x v="21"/>
    <x v="4"/>
    <x v="15"/>
    <x v="475"/>
    <n v="18936.88"/>
    <n v="180"/>
    <n v="105.20488888888889"/>
    <x v="6"/>
    <s v="Q1"/>
    <s v="Large"/>
  </r>
  <r>
    <x v="5"/>
    <x v="3"/>
    <x v="16"/>
    <x v="415"/>
    <n v="6015.37"/>
    <n v="136"/>
    <n v="44.230661764705879"/>
    <x v="0"/>
    <s v="Q1"/>
    <s v="Large"/>
  </r>
  <r>
    <x v="6"/>
    <x v="1"/>
    <x v="17"/>
    <x v="357"/>
    <n v="7623.58"/>
    <n v="162"/>
    <n v="47.059135802469136"/>
    <x v="7"/>
    <s v="Q2"/>
    <s v="Large"/>
  </r>
  <r>
    <x v="0"/>
    <x v="4"/>
    <x v="4"/>
    <x v="336"/>
    <n v="2996.83"/>
    <n v="227"/>
    <n v="13.201894273127753"/>
    <x v="0"/>
    <s v="Q1"/>
    <s v="Large"/>
  </r>
  <r>
    <x v="12"/>
    <x v="2"/>
    <x v="13"/>
    <x v="455"/>
    <n v="1718.97"/>
    <n v="260"/>
    <n v="6.6114230769230771"/>
    <x v="3"/>
    <s v="Q2"/>
    <s v="Large"/>
  </r>
  <r>
    <x v="2"/>
    <x v="5"/>
    <x v="11"/>
    <x v="493"/>
    <n v="3523.33"/>
    <n v="114"/>
    <n v="30.90640350877193"/>
    <x v="4"/>
    <s v="Q1"/>
    <s v="Large"/>
  </r>
  <r>
    <x v="23"/>
    <x v="1"/>
    <x v="12"/>
    <x v="489"/>
    <n v="1092.3599999999999"/>
    <n v="209"/>
    <n v="5.2266028708133963"/>
    <x v="1"/>
    <s v="Q3"/>
    <s v="Large"/>
  </r>
  <r>
    <x v="5"/>
    <x v="4"/>
    <x v="10"/>
    <x v="386"/>
    <n v="2495.71"/>
    <n v="310"/>
    <n v="8.0506774193548392"/>
    <x v="1"/>
    <s v="Q3"/>
    <s v="Large"/>
  </r>
  <r>
    <x v="20"/>
    <x v="2"/>
    <x v="17"/>
    <x v="412"/>
    <n v="813.41"/>
    <n v="58"/>
    <n v="14.024310344827585"/>
    <x v="5"/>
    <s v="Q2"/>
    <s v="Large"/>
  </r>
  <r>
    <x v="0"/>
    <x v="1"/>
    <x v="19"/>
    <x v="341"/>
    <n v="2489.06"/>
    <n v="81"/>
    <n v="30.729135802469134"/>
    <x v="5"/>
    <s v="Q2"/>
    <s v="Large"/>
  </r>
  <r>
    <x v="10"/>
    <x v="3"/>
    <x v="19"/>
    <x v="352"/>
    <n v="5701.35"/>
    <n v="201"/>
    <n v="28.36492537313433"/>
    <x v="3"/>
    <s v="Q2"/>
    <s v="Large"/>
  </r>
  <r>
    <x v="18"/>
    <x v="4"/>
    <x v="6"/>
    <x v="494"/>
    <n v="5084.32"/>
    <n v="126"/>
    <n v="40.351746031746032"/>
    <x v="3"/>
    <s v="Q2"/>
    <s v="Large"/>
  </r>
  <r>
    <x v="19"/>
    <x v="1"/>
    <x v="6"/>
    <x v="396"/>
    <n v="15789.48"/>
    <n v="16"/>
    <n v="986.84249999999997"/>
    <x v="0"/>
    <s v="Q1"/>
    <s v="Large"/>
  </r>
  <r>
    <x v="22"/>
    <x v="4"/>
    <x v="19"/>
    <x v="374"/>
    <n v="6541.75"/>
    <n v="141"/>
    <n v="46.395390070921984"/>
    <x v="1"/>
    <s v="Q3"/>
    <s v="Large"/>
  </r>
  <r>
    <x v="0"/>
    <x v="2"/>
    <x v="4"/>
    <x v="411"/>
    <n v="11409.11"/>
    <n v="217"/>
    <n v="52.576543778801849"/>
    <x v="4"/>
    <s v="Q1"/>
    <s v="Large"/>
  </r>
  <r>
    <x v="3"/>
    <x v="2"/>
    <x v="0"/>
    <x v="441"/>
    <n v="19258.41"/>
    <n v="99"/>
    <n v="194.52939393939394"/>
    <x v="4"/>
    <s v="Q1"/>
    <s v="Large"/>
  </r>
  <r>
    <x v="4"/>
    <x v="3"/>
    <x v="11"/>
    <x v="425"/>
    <n v="5074.8599999999997"/>
    <n v="201"/>
    <n v="25.248059701492537"/>
    <x v="0"/>
    <s v="Q1"/>
    <s v="Large"/>
  </r>
  <r>
    <x v="6"/>
    <x v="0"/>
    <x v="16"/>
    <x v="399"/>
    <n v="115.9"/>
    <n v="120"/>
    <n v="0.96583333333333343"/>
    <x v="7"/>
    <s v="Q2"/>
    <s v="Small"/>
  </r>
  <r>
    <x v="20"/>
    <x v="1"/>
    <x v="3"/>
    <x v="467"/>
    <n v="2797.19"/>
    <n v="9"/>
    <n v="310.79888888888888"/>
    <x v="4"/>
    <s v="Q1"/>
    <s v="Large"/>
  </r>
  <r>
    <x v="7"/>
    <x v="0"/>
    <x v="8"/>
    <x v="339"/>
    <n v="1608.04"/>
    <n v="75"/>
    <n v="21.440533333333335"/>
    <x v="3"/>
    <s v="Q2"/>
    <s v="Large"/>
  </r>
  <r>
    <x v="2"/>
    <x v="4"/>
    <x v="3"/>
    <x v="367"/>
    <n v="2960.99"/>
    <n v="133"/>
    <n v="22.263082706766916"/>
    <x v="2"/>
    <s v="Q3"/>
    <s v="Large"/>
  </r>
  <r>
    <x v="14"/>
    <x v="3"/>
    <x v="0"/>
    <x v="350"/>
    <n v="3703.51"/>
    <n v="260"/>
    <n v="14.244269230769232"/>
    <x v="0"/>
    <s v="Q1"/>
    <s v="Large"/>
  </r>
  <r>
    <x v="14"/>
    <x v="4"/>
    <x v="0"/>
    <x v="368"/>
    <n v="5679.57"/>
    <n v="285"/>
    <n v="19.928315789473682"/>
    <x v="1"/>
    <s v="Q3"/>
    <s v="Large"/>
  </r>
  <r>
    <x v="22"/>
    <x v="3"/>
    <x v="13"/>
    <x v="429"/>
    <n v="6764.17"/>
    <n v="20"/>
    <n v="338.20850000000002"/>
    <x v="0"/>
    <s v="Q1"/>
    <s v="Large"/>
  </r>
  <r>
    <x v="10"/>
    <x v="1"/>
    <x v="1"/>
    <x v="495"/>
    <n v="1108.8499999999999"/>
    <n v="87"/>
    <n v="12.745402298850573"/>
    <x v="6"/>
    <s v="Q1"/>
    <s v="Large"/>
  </r>
  <r>
    <x v="24"/>
    <x v="2"/>
    <x v="20"/>
    <x v="490"/>
    <n v="9477.32"/>
    <n v="160"/>
    <n v="59.233249999999998"/>
    <x v="0"/>
    <s v="Q1"/>
    <s v="Large"/>
  </r>
  <r>
    <x v="20"/>
    <x v="4"/>
    <x v="13"/>
    <x v="356"/>
    <n v="5301.93"/>
    <n v="155"/>
    <n v="34.206000000000003"/>
    <x v="4"/>
    <s v="Q1"/>
    <s v="Large"/>
  </r>
  <r>
    <x v="20"/>
    <x v="5"/>
    <x v="2"/>
    <x v="406"/>
    <n v="8041.25"/>
    <n v="43"/>
    <n v="187.00581395348837"/>
    <x v="3"/>
    <s v="Q2"/>
    <s v="Large"/>
  </r>
  <r>
    <x v="2"/>
    <x v="5"/>
    <x v="9"/>
    <x v="383"/>
    <n v="3716.17"/>
    <n v="89"/>
    <n v="41.754719101123598"/>
    <x v="2"/>
    <s v="Q3"/>
    <s v="Large"/>
  </r>
  <r>
    <x v="15"/>
    <x v="1"/>
    <x v="13"/>
    <x v="428"/>
    <n v="4591.7700000000004"/>
    <n v="222"/>
    <n v="20.683648648648649"/>
    <x v="3"/>
    <s v="Q2"/>
    <s v="Large"/>
  </r>
  <r>
    <x v="3"/>
    <x v="3"/>
    <x v="10"/>
    <x v="388"/>
    <n v="1928.33"/>
    <n v="217"/>
    <n v="8.8863133640552991"/>
    <x v="6"/>
    <s v="Q1"/>
    <s v="Large"/>
  </r>
  <r>
    <x v="2"/>
    <x v="3"/>
    <x v="17"/>
    <x v="481"/>
    <n v="1225.1199999999999"/>
    <n v="186"/>
    <n v="6.586666666666666"/>
    <x v="1"/>
    <s v="Q3"/>
    <s v="Large"/>
  </r>
  <r>
    <x v="17"/>
    <x v="2"/>
    <x v="11"/>
    <x v="469"/>
    <n v="11326.55"/>
    <n v="296"/>
    <n v="38.265371621621618"/>
    <x v="5"/>
    <s v="Q2"/>
    <s v="Large"/>
  </r>
  <r>
    <x v="24"/>
    <x v="0"/>
    <x v="20"/>
    <x v="370"/>
    <n v="3063.08"/>
    <n v="301"/>
    <n v="10.176345514950166"/>
    <x v="5"/>
    <s v="Q2"/>
    <s v="Large"/>
  </r>
  <r>
    <x v="1"/>
    <x v="4"/>
    <x v="13"/>
    <x v="361"/>
    <n v="7093.33"/>
    <n v="233"/>
    <n v="30.443476394849785"/>
    <x v="2"/>
    <s v="Q3"/>
    <s v="Large"/>
  </r>
  <r>
    <x v="19"/>
    <x v="5"/>
    <x v="8"/>
    <x v="491"/>
    <n v="337.37"/>
    <n v="120"/>
    <n v="2.8114166666666667"/>
    <x v="1"/>
    <s v="Q3"/>
    <s v="Small"/>
  </r>
  <r>
    <x v="22"/>
    <x v="1"/>
    <x v="18"/>
    <x v="394"/>
    <n v="3764.59"/>
    <n v="158"/>
    <n v="23.826518987341775"/>
    <x v="4"/>
    <s v="Q1"/>
    <s v="Large"/>
  </r>
  <r>
    <x v="20"/>
    <x v="3"/>
    <x v="12"/>
    <x v="491"/>
    <n v="695.32"/>
    <n v="68"/>
    <n v="10.22529411764706"/>
    <x v="1"/>
    <s v="Q3"/>
    <s v="Large"/>
  </r>
  <r>
    <x v="13"/>
    <x v="2"/>
    <x v="9"/>
    <x v="401"/>
    <n v="14609.99"/>
    <n v="111"/>
    <n v="131.62153153153153"/>
    <x v="7"/>
    <s v="Q2"/>
    <s v="Large"/>
  </r>
  <r>
    <x v="18"/>
    <x v="4"/>
    <x v="11"/>
    <x v="378"/>
    <n v="5298.68"/>
    <n v="96"/>
    <n v="55.194583333333334"/>
    <x v="2"/>
    <s v="Q3"/>
    <s v="Large"/>
  </r>
  <r>
    <x v="19"/>
    <x v="1"/>
    <x v="10"/>
    <x v="429"/>
    <n v="4552.3"/>
    <n v="132"/>
    <n v="34.487121212121217"/>
    <x v="0"/>
    <s v="Q1"/>
    <s v="Large"/>
  </r>
  <r>
    <x v="22"/>
    <x v="0"/>
    <x v="13"/>
    <x v="415"/>
    <n v="9099.26"/>
    <n v="199"/>
    <n v="45.724924623115577"/>
    <x v="0"/>
    <s v="Q1"/>
    <s v="Large"/>
  </r>
  <r>
    <x v="14"/>
    <x v="2"/>
    <x v="6"/>
    <x v="364"/>
    <n v="603.97"/>
    <n v="239"/>
    <n v="2.5270711297071129"/>
    <x v="5"/>
    <s v="Q2"/>
    <s v="Large"/>
  </r>
  <r>
    <x v="6"/>
    <x v="5"/>
    <x v="17"/>
    <x v="443"/>
    <n v="3172.23"/>
    <n v="46"/>
    <n v="68.961521739130433"/>
    <x v="5"/>
    <s v="Q2"/>
    <s v="Large"/>
  </r>
  <r>
    <x v="5"/>
    <x v="1"/>
    <x v="0"/>
    <x v="451"/>
    <n v="4737.32"/>
    <n v="74"/>
    <n v="64.017837837837831"/>
    <x v="1"/>
    <s v="Q3"/>
    <s v="Large"/>
  </r>
  <r>
    <x v="17"/>
    <x v="1"/>
    <x v="0"/>
    <x v="421"/>
    <n v="15201.56"/>
    <n v="142"/>
    <n v="107.05323943661972"/>
    <x v="6"/>
    <s v="Q1"/>
    <s v="Large"/>
  </r>
  <r>
    <x v="8"/>
    <x v="1"/>
    <x v="20"/>
    <x v="336"/>
    <n v="7912.62"/>
    <n v="106"/>
    <n v="74.647358490566035"/>
    <x v="0"/>
    <s v="Q1"/>
    <s v="Large"/>
  </r>
  <r>
    <x v="6"/>
    <x v="1"/>
    <x v="11"/>
    <x v="441"/>
    <n v="14190.78"/>
    <n v="269"/>
    <n v="52.753828996282529"/>
    <x v="4"/>
    <s v="Q1"/>
    <s v="Large"/>
  </r>
  <r>
    <x v="12"/>
    <x v="0"/>
    <x v="12"/>
    <x v="356"/>
    <n v="9327.08"/>
    <n v="259"/>
    <n v="36.011891891891892"/>
    <x v="4"/>
    <s v="Q1"/>
    <s v="Large"/>
  </r>
  <r>
    <x v="8"/>
    <x v="4"/>
    <x v="16"/>
    <x v="488"/>
    <n v="434.42"/>
    <n v="83"/>
    <n v="5.233975903614458"/>
    <x v="4"/>
    <s v="Q1"/>
    <s v="Small"/>
  </r>
  <r>
    <x v="1"/>
    <x v="5"/>
    <x v="17"/>
    <x v="439"/>
    <n v="1497.58"/>
    <n v="132"/>
    <n v="11.345303030303029"/>
    <x v="6"/>
    <s v="Q1"/>
    <s v="Large"/>
  </r>
  <r>
    <x v="18"/>
    <x v="2"/>
    <x v="19"/>
    <x v="342"/>
    <n v="3124.74"/>
    <n v="155"/>
    <n v="20.159612903225806"/>
    <x v="0"/>
    <s v="Q1"/>
    <s v="Large"/>
  </r>
  <r>
    <x v="6"/>
    <x v="2"/>
    <x v="11"/>
    <x v="445"/>
    <n v="2356.21"/>
    <n v="54"/>
    <n v="43.633518518518521"/>
    <x v="2"/>
    <s v="Q3"/>
    <s v="Large"/>
  </r>
  <r>
    <x v="15"/>
    <x v="2"/>
    <x v="13"/>
    <x v="418"/>
    <n v="8548"/>
    <n v="55"/>
    <n v="155.41818181818181"/>
    <x v="0"/>
    <s v="Q1"/>
    <s v="Large"/>
  </r>
  <r>
    <x v="22"/>
    <x v="2"/>
    <x v="10"/>
    <x v="361"/>
    <n v="12094.34"/>
    <n v="52"/>
    <n v="232.58346153846153"/>
    <x v="2"/>
    <s v="Q3"/>
    <s v="Large"/>
  </r>
  <r>
    <x v="1"/>
    <x v="1"/>
    <x v="14"/>
    <x v="447"/>
    <n v="2119.42"/>
    <n v="46"/>
    <n v="46.074347826086957"/>
    <x v="6"/>
    <s v="Q1"/>
    <s v="Large"/>
  </r>
  <r>
    <x v="5"/>
    <x v="5"/>
    <x v="5"/>
    <x v="453"/>
    <n v="3038.32"/>
    <n v="220"/>
    <n v="13.810545454545455"/>
    <x v="1"/>
    <s v="Q3"/>
    <s v="Large"/>
  </r>
  <r>
    <x v="3"/>
    <x v="4"/>
    <x v="13"/>
    <x v="355"/>
    <n v="5187.72"/>
    <n v="382"/>
    <n v="13.58041884816754"/>
    <x v="5"/>
    <s v="Q2"/>
    <s v="Large"/>
  </r>
  <r>
    <x v="3"/>
    <x v="5"/>
    <x v="5"/>
    <x v="393"/>
    <n v="5384.52"/>
    <n v="180"/>
    <n v="29.914000000000001"/>
    <x v="2"/>
    <s v="Q3"/>
    <s v="Large"/>
  </r>
  <r>
    <x v="8"/>
    <x v="3"/>
    <x v="15"/>
    <x v="340"/>
    <n v="6575.07"/>
    <n v="249"/>
    <n v="26.405903614457831"/>
    <x v="4"/>
    <s v="Q1"/>
    <s v="Large"/>
  </r>
  <r>
    <x v="10"/>
    <x v="3"/>
    <x v="1"/>
    <x v="380"/>
    <n v="6350.37"/>
    <n v="59"/>
    <n v="107.63338983050848"/>
    <x v="5"/>
    <s v="Q2"/>
    <s v="Large"/>
  </r>
  <r>
    <x v="4"/>
    <x v="2"/>
    <x v="1"/>
    <x v="366"/>
    <n v="7488.06"/>
    <n v="28"/>
    <n v="267.43071428571432"/>
    <x v="5"/>
    <s v="Q2"/>
    <s v="Large"/>
  </r>
  <r>
    <x v="14"/>
    <x v="5"/>
    <x v="18"/>
    <x v="397"/>
    <n v="6997.57"/>
    <n v="7"/>
    <n v="999.6528571428571"/>
    <x v="1"/>
    <s v="Q3"/>
    <s v="Large"/>
  </r>
  <r>
    <x v="16"/>
    <x v="1"/>
    <x v="21"/>
    <x v="416"/>
    <n v="13081.57"/>
    <n v="324"/>
    <n v="40.375216049382715"/>
    <x v="0"/>
    <s v="Q1"/>
    <s v="Large"/>
  </r>
  <r>
    <x v="12"/>
    <x v="4"/>
    <x v="14"/>
    <x v="390"/>
    <n v="5964.72"/>
    <n v="136"/>
    <n v="43.858235294117648"/>
    <x v="6"/>
    <s v="Q1"/>
    <s v="Large"/>
  </r>
  <r>
    <x v="24"/>
    <x v="3"/>
    <x v="5"/>
    <x v="466"/>
    <n v="6651.11"/>
    <n v="377"/>
    <n v="17.642201591511935"/>
    <x v="5"/>
    <s v="Q2"/>
    <s v="Large"/>
  </r>
  <r>
    <x v="15"/>
    <x v="1"/>
    <x v="12"/>
    <x v="374"/>
    <n v="2606.11"/>
    <n v="31"/>
    <n v="84.068064516129041"/>
    <x v="1"/>
    <s v="Q3"/>
    <s v="Large"/>
  </r>
  <r>
    <x v="5"/>
    <x v="5"/>
    <x v="6"/>
    <x v="336"/>
    <n v="3615.98"/>
    <n v="24"/>
    <n v="150.66583333333332"/>
    <x v="0"/>
    <s v="Q1"/>
    <s v="Large"/>
  </r>
  <r>
    <x v="14"/>
    <x v="1"/>
    <x v="11"/>
    <x v="352"/>
    <n v="3658.27"/>
    <n v="210"/>
    <n v="17.420333333333332"/>
    <x v="3"/>
    <s v="Q2"/>
    <s v="Large"/>
  </r>
  <r>
    <x v="12"/>
    <x v="1"/>
    <x v="11"/>
    <x v="371"/>
    <n v="1997.46"/>
    <n v="314"/>
    <n v="6.3613375796178344"/>
    <x v="3"/>
    <s v="Q2"/>
    <s v="Large"/>
  </r>
  <r>
    <x v="15"/>
    <x v="2"/>
    <x v="14"/>
    <x v="365"/>
    <n v="3618.67"/>
    <n v="213"/>
    <n v="16.989061032863852"/>
    <x v="7"/>
    <s v="Q2"/>
    <s v="Large"/>
  </r>
  <r>
    <x v="19"/>
    <x v="5"/>
    <x v="15"/>
    <x v="465"/>
    <n v="5538.85"/>
    <n v="492"/>
    <n v="11.257825203252033"/>
    <x v="2"/>
    <s v="Q3"/>
    <s v="Large"/>
  </r>
  <r>
    <x v="3"/>
    <x v="3"/>
    <x v="7"/>
    <x v="394"/>
    <n v="1382.49"/>
    <n v="86"/>
    <n v="16.075465116279069"/>
    <x v="4"/>
    <s v="Q1"/>
    <s v="Large"/>
  </r>
  <r>
    <x v="19"/>
    <x v="5"/>
    <x v="3"/>
    <x v="387"/>
    <n v="1223.79"/>
    <n v="81"/>
    <n v="15.108518518518519"/>
    <x v="2"/>
    <s v="Q3"/>
    <s v="Large"/>
  </r>
  <r>
    <x v="5"/>
    <x v="0"/>
    <x v="17"/>
    <x v="491"/>
    <n v="8043.29"/>
    <n v="344"/>
    <n v="23.381656976744186"/>
    <x v="1"/>
    <s v="Q3"/>
    <s v="Large"/>
  </r>
  <r>
    <x v="15"/>
    <x v="3"/>
    <x v="5"/>
    <x v="453"/>
    <n v="6878.47"/>
    <n v="7"/>
    <n v="982.63857142857148"/>
    <x v="1"/>
    <s v="Q3"/>
    <s v="Large"/>
  </r>
  <r>
    <x v="19"/>
    <x v="3"/>
    <x v="7"/>
    <x v="443"/>
    <n v="9420.2199999999993"/>
    <n v="94"/>
    <n v="100.21510638297872"/>
    <x v="5"/>
    <s v="Q2"/>
    <s v="Large"/>
  </r>
  <r>
    <x v="17"/>
    <x v="0"/>
    <x v="19"/>
    <x v="490"/>
    <n v="2516.34"/>
    <n v="293"/>
    <n v="8.5881911262798631"/>
    <x v="0"/>
    <s v="Q1"/>
    <s v="Large"/>
  </r>
  <r>
    <x v="0"/>
    <x v="5"/>
    <x v="7"/>
    <x v="466"/>
    <n v="4334.75"/>
    <n v="529"/>
    <n v="8.1942344045368625"/>
    <x v="5"/>
    <s v="Q2"/>
    <s v="Large"/>
  </r>
  <r>
    <x v="0"/>
    <x v="0"/>
    <x v="3"/>
    <x v="368"/>
    <n v="1588.49"/>
    <n v="111"/>
    <n v="14.31072072072072"/>
    <x v="1"/>
    <s v="Q3"/>
    <s v="Large"/>
  </r>
  <r>
    <x v="19"/>
    <x v="0"/>
    <x v="20"/>
    <x v="412"/>
    <n v="8959.3799999999992"/>
    <n v="271"/>
    <n v="33.060442804428043"/>
    <x v="5"/>
    <s v="Q2"/>
    <s v="Large"/>
  </r>
  <r>
    <x v="3"/>
    <x v="0"/>
    <x v="14"/>
    <x v="473"/>
    <n v="9409.06"/>
    <n v="46"/>
    <n v="204.54478260869564"/>
    <x v="5"/>
    <s v="Q2"/>
    <s v="Large"/>
  </r>
  <r>
    <x v="23"/>
    <x v="4"/>
    <x v="13"/>
    <x v="393"/>
    <n v="3315.64"/>
    <n v="268"/>
    <n v="12.371791044776119"/>
    <x v="2"/>
    <s v="Q3"/>
    <s v="Large"/>
  </r>
  <r>
    <x v="20"/>
    <x v="0"/>
    <x v="18"/>
    <x v="363"/>
    <n v="10920.7"/>
    <n v="210"/>
    <n v="52.003333333333337"/>
    <x v="7"/>
    <s v="Q2"/>
    <s v="Large"/>
  </r>
  <r>
    <x v="5"/>
    <x v="3"/>
    <x v="5"/>
    <x v="481"/>
    <n v="7605.55"/>
    <n v="154"/>
    <n v="49.38668831168831"/>
    <x v="1"/>
    <s v="Q3"/>
    <s v="Large"/>
  </r>
  <r>
    <x v="16"/>
    <x v="5"/>
    <x v="1"/>
    <x v="417"/>
    <n v="1859.96"/>
    <n v="33"/>
    <n v="56.362424242424247"/>
    <x v="3"/>
    <s v="Q2"/>
    <s v="Large"/>
  </r>
  <r>
    <x v="3"/>
    <x v="3"/>
    <x v="15"/>
    <x v="348"/>
    <n v="1743.87"/>
    <n v="259"/>
    <n v="6.733088803088803"/>
    <x v="2"/>
    <s v="Q3"/>
    <s v="Large"/>
  </r>
  <r>
    <x v="5"/>
    <x v="3"/>
    <x v="17"/>
    <x v="368"/>
    <n v="758.28"/>
    <n v="57"/>
    <n v="13.303157894736842"/>
    <x v="1"/>
    <s v="Q3"/>
    <s v="Large"/>
  </r>
  <r>
    <x v="1"/>
    <x v="2"/>
    <x v="4"/>
    <x v="490"/>
    <n v="125.37"/>
    <n v="138"/>
    <n v="0.90847826086956529"/>
    <x v="0"/>
    <s v="Q1"/>
    <s v="Small"/>
  </r>
  <r>
    <x v="14"/>
    <x v="4"/>
    <x v="9"/>
    <x v="400"/>
    <n v="6170.75"/>
    <n v="149"/>
    <n v="41.414429530201339"/>
    <x v="4"/>
    <s v="Q1"/>
    <s v="Large"/>
  </r>
  <r>
    <x v="6"/>
    <x v="2"/>
    <x v="12"/>
    <x v="458"/>
    <n v="6867.13"/>
    <n v="273"/>
    <n v="25.154322344322345"/>
    <x v="7"/>
    <s v="Q2"/>
    <s v="Large"/>
  </r>
  <r>
    <x v="9"/>
    <x v="3"/>
    <x v="1"/>
    <x v="341"/>
    <n v="8775.4500000000007"/>
    <n v="113"/>
    <n v="77.658849557522132"/>
    <x v="5"/>
    <s v="Q2"/>
    <s v="Large"/>
  </r>
  <r>
    <x v="18"/>
    <x v="4"/>
    <x v="18"/>
    <x v="341"/>
    <n v="10422.84"/>
    <n v="6"/>
    <n v="1737.14"/>
    <x v="5"/>
    <s v="Q2"/>
    <s v="Large"/>
  </r>
  <r>
    <x v="12"/>
    <x v="3"/>
    <x v="10"/>
    <x v="363"/>
    <n v="7402.04"/>
    <n v="231"/>
    <n v="32.043463203463205"/>
    <x v="7"/>
    <s v="Q2"/>
    <s v="Large"/>
  </r>
  <r>
    <x v="5"/>
    <x v="0"/>
    <x v="6"/>
    <x v="346"/>
    <n v="2498.04"/>
    <n v="129"/>
    <n v="19.364651162790697"/>
    <x v="0"/>
    <s v="Q1"/>
    <s v="Large"/>
  </r>
  <r>
    <x v="11"/>
    <x v="4"/>
    <x v="17"/>
    <x v="459"/>
    <n v="6873.56"/>
    <n v="152"/>
    <n v="45.220789473684214"/>
    <x v="7"/>
    <s v="Q2"/>
    <s v="Large"/>
  </r>
  <r>
    <x v="0"/>
    <x v="0"/>
    <x v="14"/>
    <x v="364"/>
    <n v="2015.93"/>
    <n v="304"/>
    <n v="6.6313486842105265"/>
    <x v="5"/>
    <s v="Q2"/>
    <s v="Large"/>
  </r>
  <r>
    <x v="0"/>
    <x v="3"/>
    <x v="1"/>
    <x v="390"/>
    <n v="8077.51"/>
    <n v="95"/>
    <n v="85.026421052631576"/>
    <x v="6"/>
    <s v="Q1"/>
    <s v="Large"/>
  </r>
  <r>
    <x v="23"/>
    <x v="4"/>
    <x v="1"/>
    <x v="427"/>
    <n v="11149.46"/>
    <n v="538"/>
    <n v="20.723903345724906"/>
    <x v="3"/>
    <s v="Q2"/>
    <s v="Large"/>
  </r>
  <r>
    <x v="7"/>
    <x v="2"/>
    <x v="3"/>
    <x v="357"/>
    <n v="4739.3900000000003"/>
    <n v="236"/>
    <n v="20.082161016949154"/>
    <x v="7"/>
    <s v="Q2"/>
    <s v="Large"/>
  </r>
  <r>
    <x v="14"/>
    <x v="1"/>
    <x v="15"/>
    <x v="459"/>
    <n v="1844.54"/>
    <n v="185"/>
    <n v="9.9704864864864859"/>
    <x v="7"/>
    <s v="Q2"/>
    <s v="Large"/>
  </r>
  <r>
    <x v="9"/>
    <x v="4"/>
    <x v="2"/>
    <x v="459"/>
    <n v="1263.98"/>
    <n v="19"/>
    <n v="66.525263157894742"/>
    <x v="7"/>
    <s v="Q2"/>
    <s v="Large"/>
  </r>
  <r>
    <x v="1"/>
    <x v="5"/>
    <x v="2"/>
    <x v="468"/>
    <n v="7527.84"/>
    <n v="306"/>
    <n v="24.600784313725491"/>
    <x v="5"/>
    <s v="Q2"/>
    <s v="Large"/>
  </r>
  <r>
    <x v="20"/>
    <x v="3"/>
    <x v="3"/>
    <x v="390"/>
    <n v="12265.45"/>
    <n v="268"/>
    <n v="45.766604477611942"/>
    <x v="6"/>
    <s v="Q1"/>
    <s v="Large"/>
  </r>
  <r>
    <x v="7"/>
    <x v="4"/>
    <x v="3"/>
    <x v="445"/>
    <n v="17662.05"/>
    <n v="230"/>
    <n v="76.791521739130431"/>
    <x v="2"/>
    <s v="Q3"/>
    <s v="Large"/>
  </r>
  <r>
    <x v="7"/>
    <x v="4"/>
    <x v="14"/>
    <x v="496"/>
    <n v="5520"/>
    <n v="120"/>
    <n v="46"/>
    <x v="1"/>
    <s v="Q3"/>
    <s v="Large"/>
  </r>
  <r>
    <x v="13"/>
    <x v="5"/>
    <x v="3"/>
    <x v="402"/>
    <n v="10712.76"/>
    <n v="11"/>
    <n v="973.88727272727272"/>
    <x v="6"/>
    <s v="Q1"/>
    <s v="Large"/>
  </r>
  <r>
    <x v="14"/>
    <x v="3"/>
    <x v="5"/>
    <x v="352"/>
    <n v="8416.7999999999993"/>
    <n v="29"/>
    <n v="290.23448275862069"/>
    <x v="3"/>
    <s v="Q2"/>
    <s v="Large"/>
  </r>
  <r>
    <x v="21"/>
    <x v="1"/>
    <x v="1"/>
    <x v="452"/>
    <n v="9986.0499999999993"/>
    <n v="54"/>
    <n v="184.92685185185184"/>
    <x v="7"/>
    <s v="Q2"/>
    <s v="Large"/>
  </r>
  <r>
    <x v="24"/>
    <x v="4"/>
    <x v="18"/>
    <x v="336"/>
    <n v="15629.82"/>
    <n v="89"/>
    <n v="175.61595505617979"/>
    <x v="0"/>
    <s v="Q1"/>
    <s v="Large"/>
  </r>
  <r>
    <x v="11"/>
    <x v="2"/>
    <x v="19"/>
    <x v="346"/>
    <n v="6224.33"/>
    <n v="100"/>
    <n v="62.243299999999998"/>
    <x v="0"/>
    <s v="Q1"/>
    <s v="Large"/>
  </r>
  <r>
    <x v="18"/>
    <x v="3"/>
    <x v="13"/>
    <x v="372"/>
    <n v="7736.85"/>
    <n v="95"/>
    <n v="81.440526315789484"/>
    <x v="2"/>
    <s v="Q3"/>
    <s v="Large"/>
  </r>
  <r>
    <x v="16"/>
    <x v="2"/>
    <x v="0"/>
    <x v="470"/>
    <n v="4860.75"/>
    <n v="162"/>
    <n v="30.00462962962963"/>
    <x v="7"/>
    <s v="Q2"/>
    <s v="Large"/>
  </r>
  <r>
    <x v="21"/>
    <x v="3"/>
    <x v="2"/>
    <x v="465"/>
    <n v="1754.64"/>
    <n v="62"/>
    <n v="28.300645161290323"/>
    <x v="2"/>
    <s v="Q3"/>
    <s v="Large"/>
  </r>
  <r>
    <x v="14"/>
    <x v="5"/>
    <x v="10"/>
    <x v="441"/>
    <n v="897.13"/>
    <n v="24"/>
    <n v="37.380416666666669"/>
    <x v="4"/>
    <s v="Q1"/>
    <s v="Large"/>
  </r>
  <r>
    <x v="3"/>
    <x v="1"/>
    <x v="4"/>
    <x v="459"/>
    <n v="10607.29"/>
    <n v="182"/>
    <n v="58.281813186813189"/>
    <x v="7"/>
    <s v="Q2"/>
    <s v="Large"/>
  </r>
  <r>
    <x v="7"/>
    <x v="5"/>
    <x v="9"/>
    <x v="433"/>
    <n v="10772"/>
    <n v="192"/>
    <n v="56.104166666666664"/>
    <x v="2"/>
    <s v="Q3"/>
    <s v="Large"/>
  </r>
  <r>
    <x v="3"/>
    <x v="0"/>
    <x v="7"/>
    <x v="362"/>
    <n v="4116.96"/>
    <n v="203"/>
    <n v="20.280591133004926"/>
    <x v="5"/>
    <s v="Q2"/>
    <s v="Large"/>
  </r>
  <r>
    <x v="8"/>
    <x v="3"/>
    <x v="6"/>
    <x v="466"/>
    <n v="5185.3599999999997"/>
    <n v="321"/>
    <n v="16.153769470404985"/>
    <x v="5"/>
    <s v="Q2"/>
    <s v="Large"/>
  </r>
  <r>
    <x v="14"/>
    <x v="2"/>
    <x v="8"/>
    <x v="448"/>
    <n v="6974.95"/>
    <n v="58"/>
    <n v="120.25775862068966"/>
    <x v="6"/>
    <s v="Q1"/>
    <s v="Large"/>
  </r>
  <r>
    <x v="3"/>
    <x v="1"/>
    <x v="20"/>
    <x v="345"/>
    <n v="99.5"/>
    <n v="161"/>
    <n v="0.61801242236024845"/>
    <x v="2"/>
    <s v="Q3"/>
    <s v="Small"/>
  </r>
  <r>
    <x v="19"/>
    <x v="0"/>
    <x v="14"/>
    <x v="401"/>
    <n v="10203.469999999999"/>
    <n v="109"/>
    <n v="93.609816513761459"/>
    <x v="7"/>
    <s v="Q2"/>
    <s v="Large"/>
  </r>
  <r>
    <x v="21"/>
    <x v="3"/>
    <x v="17"/>
    <x v="428"/>
    <n v="5081.5200000000004"/>
    <n v="148"/>
    <n v="34.334594594594599"/>
    <x v="3"/>
    <s v="Q2"/>
    <s v="Large"/>
  </r>
  <r>
    <x v="22"/>
    <x v="2"/>
    <x v="7"/>
    <x v="371"/>
    <n v="7166.62"/>
    <n v="381"/>
    <n v="18.810026246719161"/>
    <x v="3"/>
    <s v="Q2"/>
    <s v="Large"/>
  </r>
  <r>
    <x v="13"/>
    <x v="5"/>
    <x v="8"/>
    <x v="457"/>
    <n v="7026.54"/>
    <n v="95"/>
    <n v="73.963578947368418"/>
    <x v="6"/>
    <s v="Q1"/>
    <s v="Large"/>
  </r>
  <r>
    <x v="10"/>
    <x v="1"/>
    <x v="14"/>
    <x v="490"/>
    <n v="8265.32"/>
    <n v="251"/>
    <n v="32.929561752988043"/>
    <x v="0"/>
    <s v="Q1"/>
    <s v="Large"/>
  </r>
  <r>
    <x v="18"/>
    <x v="1"/>
    <x v="0"/>
    <x v="374"/>
    <n v="1516.19"/>
    <n v="53"/>
    <n v="28.607358490566039"/>
    <x v="1"/>
    <s v="Q3"/>
    <s v="Large"/>
  </r>
  <r>
    <x v="19"/>
    <x v="0"/>
    <x v="4"/>
    <x v="426"/>
    <n v="1258.54"/>
    <n v="72"/>
    <n v="17.479722222222222"/>
    <x v="2"/>
    <s v="Q3"/>
    <s v="Large"/>
  </r>
  <r>
    <x v="11"/>
    <x v="0"/>
    <x v="6"/>
    <x v="443"/>
    <n v="3506.38"/>
    <n v="126"/>
    <n v="27.828412698412698"/>
    <x v="5"/>
    <s v="Q2"/>
    <s v="Large"/>
  </r>
  <r>
    <x v="24"/>
    <x v="1"/>
    <x v="18"/>
    <x v="352"/>
    <n v="10969"/>
    <n v="83"/>
    <n v="132.15662650602408"/>
    <x v="3"/>
    <s v="Q2"/>
    <s v="Large"/>
  </r>
  <r>
    <x v="22"/>
    <x v="0"/>
    <x v="17"/>
    <x v="392"/>
    <n v="8442.19"/>
    <n v="347"/>
    <n v="24.329077809798271"/>
    <x v="1"/>
    <s v="Q3"/>
    <s v="Large"/>
  </r>
  <r>
    <x v="18"/>
    <x v="2"/>
    <x v="6"/>
    <x v="349"/>
    <n v="11000.85"/>
    <n v="112"/>
    <n v="98.221874999999997"/>
    <x v="1"/>
    <s v="Q3"/>
    <s v="Large"/>
  </r>
  <r>
    <x v="2"/>
    <x v="5"/>
    <x v="14"/>
    <x v="372"/>
    <n v="6987.59"/>
    <n v="4"/>
    <n v="1746.8975"/>
    <x v="2"/>
    <s v="Q3"/>
    <s v="Large"/>
  </r>
  <r>
    <x v="18"/>
    <x v="3"/>
    <x v="8"/>
    <x v="390"/>
    <n v="3735"/>
    <n v="21"/>
    <n v="177.85714285714286"/>
    <x v="6"/>
    <s v="Q1"/>
    <s v="Large"/>
  </r>
  <r>
    <x v="6"/>
    <x v="0"/>
    <x v="2"/>
    <x v="389"/>
    <n v="17346.79"/>
    <n v="32"/>
    <n v="542.08718750000003"/>
    <x v="0"/>
    <s v="Q1"/>
    <s v="Large"/>
  </r>
  <r>
    <x v="13"/>
    <x v="0"/>
    <x v="19"/>
    <x v="428"/>
    <n v="16517.2"/>
    <n v="349"/>
    <n v="47.327220630372494"/>
    <x v="3"/>
    <s v="Q2"/>
    <s v="Large"/>
  </r>
  <r>
    <x v="10"/>
    <x v="2"/>
    <x v="6"/>
    <x v="490"/>
    <n v="7642.94"/>
    <n v="778"/>
    <n v="9.8238303341902302"/>
    <x v="0"/>
    <s v="Q1"/>
    <s v="Large"/>
  </r>
  <r>
    <x v="11"/>
    <x v="3"/>
    <x v="10"/>
    <x v="387"/>
    <n v="10337.23"/>
    <n v="49"/>
    <n v="210.9638775510204"/>
    <x v="2"/>
    <s v="Q3"/>
    <s v="Large"/>
  </r>
  <r>
    <x v="3"/>
    <x v="0"/>
    <x v="10"/>
    <x v="413"/>
    <n v="1367.24"/>
    <n v="384"/>
    <n v="3.5605208333333334"/>
    <x v="3"/>
    <s v="Q2"/>
    <s v="Large"/>
  </r>
  <r>
    <x v="7"/>
    <x v="5"/>
    <x v="13"/>
    <x v="368"/>
    <n v="570.58000000000004"/>
    <n v="191"/>
    <n v="2.9873298429319375"/>
    <x v="1"/>
    <s v="Q3"/>
    <s v="Large"/>
  </r>
  <r>
    <x v="24"/>
    <x v="0"/>
    <x v="18"/>
    <x v="412"/>
    <n v="2012.27"/>
    <n v="259"/>
    <n v="7.7693822393822396"/>
    <x v="5"/>
    <s v="Q2"/>
    <s v="Large"/>
  </r>
  <r>
    <x v="5"/>
    <x v="5"/>
    <x v="16"/>
    <x v="348"/>
    <n v="1469.24"/>
    <n v="29"/>
    <n v="50.663448275862066"/>
    <x v="2"/>
    <s v="Q3"/>
    <s v="Large"/>
  </r>
  <r>
    <x v="15"/>
    <x v="4"/>
    <x v="4"/>
    <x v="420"/>
    <n v="10020.18"/>
    <n v="113"/>
    <n v="88.674159292035398"/>
    <x v="4"/>
    <s v="Q1"/>
    <s v="Large"/>
  </r>
  <r>
    <x v="17"/>
    <x v="5"/>
    <x v="0"/>
    <x v="406"/>
    <n v="1914.65"/>
    <n v="304"/>
    <n v="6.2981907894736846"/>
    <x v="3"/>
    <s v="Q2"/>
    <s v="Large"/>
  </r>
  <r>
    <x v="6"/>
    <x v="0"/>
    <x v="15"/>
    <x v="380"/>
    <n v="73.91"/>
    <n v="101"/>
    <n v="0.73178217821782177"/>
    <x v="5"/>
    <s v="Q2"/>
    <s v="Small"/>
  </r>
  <r>
    <x v="1"/>
    <x v="0"/>
    <x v="19"/>
    <x v="343"/>
    <n v="2794.33"/>
    <n v="21"/>
    <n v="133.06333333333333"/>
    <x v="6"/>
    <s v="Q1"/>
    <s v="Large"/>
  </r>
  <r>
    <x v="8"/>
    <x v="2"/>
    <x v="20"/>
    <x v="435"/>
    <n v="3192.06"/>
    <n v="54"/>
    <n v="59.112222222222222"/>
    <x v="2"/>
    <s v="Q3"/>
    <s v="Large"/>
  </r>
  <r>
    <x v="17"/>
    <x v="4"/>
    <x v="8"/>
    <x v="399"/>
    <n v="2447.37"/>
    <n v="98"/>
    <n v="24.97316326530612"/>
    <x v="7"/>
    <s v="Q2"/>
    <s v="Large"/>
  </r>
  <r>
    <x v="2"/>
    <x v="2"/>
    <x v="17"/>
    <x v="495"/>
    <n v="7696.46"/>
    <n v="313"/>
    <n v="24.589329073482428"/>
    <x v="6"/>
    <s v="Q1"/>
    <s v="Large"/>
  </r>
  <r>
    <x v="17"/>
    <x v="4"/>
    <x v="10"/>
    <x v="471"/>
    <n v="14731.55"/>
    <n v="132"/>
    <n v="111.60265151515151"/>
    <x v="2"/>
    <s v="Q3"/>
    <s v="Large"/>
  </r>
  <r>
    <x v="12"/>
    <x v="5"/>
    <x v="7"/>
    <x v="482"/>
    <n v="9321.64"/>
    <n v="111"/>
    <n v="83.978738738738727"/>
    <x v="7"/>
    <s v="Q2"/>
    <s v="Large"/>
  </r>
  <r>
    <x v="9"/>
    <x v="2"/>
    <x v="18"/>
    <x v="449"/>
    <n v="18473.63"/>
    <n v="88"/>
    <n v="209.92761363636365"/>
    <x v="6"/>
    <s v="Q1"/>
    <s v="Large"/>
  </r>
  <r>
    <x v="24"/>
    <x v="1"/>
    <x v="20"/>
    <x v="362"/>
    <n v="7437.55"/>
    <n v="54"/>
    <n v="137.73240740740741"/>
    <x v="5"/>
    <s v="Q2"/>
    <s v="Large"/>
  </r>
  <r>
    <x v="1"/>
    <x v="5"/>
    <x v="6"/>
    <x v="401"/>
    <n v="14581.33"/>
    <n v="58"/>
    <n v="251.40224137931034"/>
    <x v="7"/>
    <s v="Q2"/>
    <s v="Large"/>
  </r>
  <r>
    <x v="20"/>
    <x v="3"/>
    <x v="19"/>
    <x v="466"/>
    <n v="3389.96"/>
    <n v="115"/>
    <n v="29.47791304347826"/>
    <x v="5"/>
    <s v="Q2"/>
    <s v="Large"/>
  </r>
  <r>
    <x v="12"/>
    <x v="1"/>
    <x v="12"/>
    <x v="462"/>
    <n v="3968.38"/>
    <n v="182"/>
    <n v="21.804285714285715"/>
    <x v="3"/>
    <s v="Q2"/>
    <s v="Large"/>
  </r>
  <r>
    <x v="2"/>
    <x v="2"/>
    <x v="16"/>
    <x v="456"/>
    <n v="1084.26"/>
    <n v="120"/>
    <n v="9.0355000000000008"/>
    <x v="1"/>
    <s v="Q3"/>
    <s v="Large"/>
  </r>
  <r>
    <x v="7"/>
    <x v="3"/>
    <x v="8"/>
    <x v="400"/>
    <n v="20690.2"/>
    <n v="51"/>
    <n v="405.69019607843137"/>
    <x v="4"/>
    <s v="Q1"/>
    <s v="Large"/>
  </r>
  <r>
    <x v="20"/>
    <x v="5"/>
    <x v="3"/>
    <x v="439"/>
    <n v="8929.57"/>
    <n v="121"/>
    <n v="73.798099173553723"/>
    <x v="6"/>
    <s v="Q1"/>
    <s v="Large"/>
  </r>
  <r>
    <x v="3"/>
    <x v="1"/>
    <x v="19"/>
    <x v="337"/>
    <n v="15497.27"/>
    <n v="85"/>
    <n v="182.32082352941177"/>
    <x v="1"/>
    <s v="Q3"/>
    <s v="Large"/>
  </r>
  <r>
    <x v="0"/>
    <x v="2"/>
    <x v="11"/>
    <x v="449"/>
    <n v="9172.1299999999992"/>
    <n v="30"/>
    <n v="305.73766666666666"/>
    <x v="6"/>
    <s v="Q1"/>
    <s v="Large"/>
  </r>
  <r>
    <x v="2"/>
    <x v="5"/>
    <x v="13"/>
    <x v="443"/>
    <n v="6093.61"/>
    <n v="104"/>
    <n v="58.592403846153843"/>
    <x v="5"/>
    <s v="Q2"/>
    <s v="Large"/>
  </r>
  <r>
    <x v="12"/>
    <x v="0"/>
    <x v="8"/>
    <x v="455"/>
    <n v="9144.7900000000009"/>
    <n v="156"/>
    <n v="58.620448717948726"/>
    <x v="3"/>
    <s v="Q2"/>
    <s v="Large"/>
  </r>
  <r>
    <x v="11"/>
    <x v="3"/>
    <x v="8"/>
    <x v="429"/>
    <n v="5902.91"/>
    <n v="31"/>
    <n v="190.41645161290322"/>
    <x v="0"/>
    <s v="Q1"/>
    <s v="Large"/>
  </r>
  <r>
    <x v="15"/>
    <x v="2"/>
    <x v="4"/>
    <x v="392"/>
    <n v="3277.47"/>
    <n v="131"/>
    <n v="25.018854961832059"/>
    <x v="1"/>
    <s v="Q3"/>
    <s v="Large"/>
  </r>
  <r>
    <x v="5"/>
    <x v="3"/>
    <x v="13"/>
    <x v="375"/>
    <n v="9759.5300000000007"/>
    <n v="424"/>
    <n v="23.017759433962265"/>
    <x v="5"/>
    <s v="Q2"/>
    <s v="Large"/>
  </r>
  <r>
    <x v="14"/>
    <x v="5"/>
    <x v="21"/>
    <x v="396"/>
    <n v="2504.9"/>
    <n v="7"/>
    <n v="357.84285714285716"/>
    <x v="0"/>
    <s v="Q1"/>
    <s v="Large"/>
  </r>
  <r>
    <x v="20"/>
    <x v="3"/>
    <x v="15"/>
    <x v="406"/>
    <n v="1527.99"/>
    <n v="107"/>
    <n v="14.280280373831776"/>
    <x v="3"/>
    <s v="Q2"/>
    <s v="Large"/>
  </r>
  <r>
    <x v="23"/>
    <x v="2"/>
    <x v="19"/>
    <x v="412"/>
    <n v="3767.49"/>
    <n v="65"/>
    <n v="57.96138461538461"/>
    <x v="5"/>
    <s v="Q2"/>
    <s v="Large"/>
  </r>
  <r>
    <x v="8"/>
    <x v="2"/>
    <x v="1"/>
    <x v="493"/>
    <n v="9452.18"/>
    <n v="42"/>
    <n v="225.05190476190478"/>
    <x v="4"/>
    <s v="Q1"/>
    <s v="Large"/>
  </r>
  <r>
    <x v="12"/>
    <x v="2"/>
    <x v="6"/>
    <x v="381"/>
    <n v="764.63"/>
    <n v="441"/>
    <n v="1.7338548752834466"/>
    <x v="7"/>
    <s v="Q2"/>
    <s v="Large"/>
  </r>
  <r>
    <x v="5"/>
    <x v="1"/>
    <x v="19"/>
    <x v="449"/>
    <n v="2432.75"/>
    <n v="535"/>
    <n v="4.5471962616822426"/>
    <x v="6"/>
    <s v="Q1"/>
    <s v="Large"/>
  </r>
  <r>
    <x v="1"/>
    <x v="2"/>
    <x v="6"/>
    <x v="393"/>
    <n v="779.04"/>
    <n v="134"/>
    <n v="5.8137313432835818"/>
    <x v="2"/>
    <s v="Q3"/>
    <s v="Large"/>
  </r>
  <r>
    <x v="4"/>
    <x v="4"/>
    <x v="15"/>
    <x v="426"/>
    <n v="5050.53"/>
    <n v="85"/>
    <n v="59.417999999999999"/>
    <x v="2"/>
    <s v="Q3"/>
    <s v="Large"/>
  </r>
  <r>
    <x v="1"/>
    <x v="5"/>
    <x v="18"/>
    <x v="461"/>
    <n v="2727.35"/>
    <n v="293"/>
    <n v="9.3083617747440268"/>
    <x v="1"/>
    <s v="Q3"/>
    <s v="Large"/>
  </r>
  <r>
    <x v="10"/>
    <x v="5"/>
    <x v="21"/>
    <x v="468"/>
    <n v="9089.2099999999991"/>
    <n v="602"/>
    <n v="15.098355481727573"/>
    <x v="5"/>
    <s v="Q2"/>
    <s v="Large"/>
  </r>
  <r>
    <x v="20"/>
    <x v="5"/>
    <x v="13"/>
    <x v="391"/>
    <n v="881.49"/>
    <n v="152"/>
    <n v="5.7992763157894736"/>
    <x v="5"/>
    <s v="Q2"/>
    <s v="Large"/>
  </r>
  <r>
    <x v="21"/>
    <x v="1"/>
    <x v="4"/>
    <x v="409"/>
    <n v="227.55"/>
    <n v="225"/>
    <n v="1.0113333333333334"/>
    <x v="1"/>
    <s v="Q3"/>
    <s v="Small"/>
  </r>
  <r>
    <x v="22"/>
    <x v="3"/>
    <x v="21"/>
    <x v="441"/>
    <n v="14193.58"/>
    <n v="102"/>
    <n v="139.15274509803922"/>
    <x v="4"/>
    <s v="Q1"/>
    <s v="Large"/>
  </r>
  <r>
    <x v="9"/>
    <x v="3"/>
    <x v="7"/>
    <x v="467"/>
    <n v="7459.88"/>
    <n v="23"/>
    <n v="324.34260869565219"/>
    <x v="4"/>
    <s v="Q1"/>
    <s v="Large"/>
  </r>
  <r>
    <x v="3"/>
    <x v="5"/>
    <x v="21"/>
    <x v="351"/>
    <n v="6578.55"/>
    <n v="312"/>
    <n v="21.085096153846155"/>
    <x v="4"/>
    <s v="Q1"/>
    <s v="Large"/>
  </r>
  <r>
    <x v="20"/>
    <x v="2"/>
    <x v="11"/>
    <x v="340"/>
    <n v="8975.44"/>
    <n v="137"/>
    <n v="65.514160583941603"/>
    <x v="4"/>
    <s v="Q1"/>
    <s v="Large"/>
  </r>
  <r>
    <x v="17"/>
    <x v="1"/>
    <x v="7"/>
    <x v="449"/>
    <n v="852.29"/>
    <n v="123"/>
    <n v="6.9291869918699183"/>
    <x v="6"/>
    <s v="Q1"/>
    <s v="Large"/>
  </r>
  <r>
    <x v="15"/>
    <x v="0"/>
    <x v="8"/>
    <x v="464"/>
    <n v="1955.2"/>
    <n v="250"/>
    <n v="7.8208000000000002"/>
    <x v="1"/>
    <s v="Q3"/>
    <s v="Large"/>
  </r>
  <r>
    <x v="2"/>
    <x v="4"/>
    <x v="2"/>
    <x v="458"/>
    <n v="323.29000000000002"/>
    <n v="72"/>
    <n v="4.4901388888888896"/>
    <x v="7"/>
    <s v="Q2"/>
    <s v="Small"/>
  </r>
  <r>
    <x v="18"/>
    <x v="4"/>
    <x v="3"/>
    <x v="429"/>
    <n v="542.39"/>
    <n v="86"/>
    <n v="6.3068604651162792"/>
    <x v="0"/>
    <s v="Q1"/>
    <s v="Large"/>
  </r>
  <r>
    <x v="14"/>
    <x v="1"/>
    <x v="14"/>
    <x v="345"/>
    <n v="7666.62"/>
    <n v="347"/>
    <n v="22.094005763688759"/>
    <x v="2"/>
    <s v="Q3"/>
    <s v="Large"/>
  </r>
  <r>
    <x v="4"/>
    <x v="3"/>
    <x v="12"/>
    <x v="497"/>
    <n v="1826.32"/>
    <n v="13"/>
    <n v="140.48615384615385"/>
    <x v="5"/>
    <s v="Q2"/>
    <s v="Large"/>
  </r>
  <r>
    <x v="12"/>
    <x v="3"/>
    <x v="2"/>
    <x v="373"/>
    <n v="11510.68"/>
    <n v="30"/>
    <n v="383.68933333333337"/>
    <x v="4"/>
    <s v="Q1"/>
    <s v="Large"/>
  </r>
  <r>
    <x v="23"/>
    <x v="3"/>
    <x v="4"/>
    <x v="458"/>
    <n v="12263.85"/>
    <n v="223"/>
    <n v="54.994843049327358"/>
    <x v="7"/>
    <s v="Q2"/>
    <s v="Large"/>
  </r>
  <r>
    <x v="20"/>
    <x v="1"/>
    <x v="21"/>
    <x v="341"/>
    <n v="3878.6"/>
    <n v="108"/>
    <n v="35.912962962962965"/>
    <x v="5"/>
    <s v="Q2"/>
    <s v="Large"/>
  </r>
  <r>
    <x v="20"/>
    <x v="1"/>
    <x v="9"/>
    <x v="345"/>
    <n v="8328.52"/>
    <n v="238"/>
    <n v="34.993781512605047"/>
    <x v="2"/>
    <s v="Q3"/>
    <s v="Large"/>
  </r>
  <r>
    <x v="6"/>
    <x v="3"/>
    <x v="9"/>
    <x v="341"/>
    <n v="1666.46"/>
    <n v="98"/>
    <n v="17.00469387755102"/>
    <x v="5"/>
    <s v="Q2"/>
    <s v="Large"/>
  </r>
  <r>
    <x v="23"/>
    <x v="2"/>
    <x v="16"/>
    <x v="446"/>
    <n v="1754.11"/>
    <n v="95"/>
    <n v="18.464315789473684"/>
    <x v="7"/>
    <s v="Q2"/>
    <s v="Large"/>
  </r>
  <r>
    <x v="18"/>
    <x v="3"/>
    <x v="10"/>
    <x v="396"/>
    <n v="2390.6999999999998"/>
    <n v="274"/>
    <n v="8.7251824817518244"/>
    <x v="0"/>
    <s v="Q1"/>
    <s v="Large"/>
  </r>
  <r>
    <x v="24"/>
    <x v="3"/>
    <x v="20"/>
    <x v="366"/>
    <n v="8546.7199999999993"/>
    <n v="41"/>
    <n v="208.45658536585364"/>
    <x v="5"/>
    <s v="Q2"/>
    <s v="Large"/>
  </r>
  <r>
    <x v="8"/>
    <x v="5"/>
    <x v="15"/>
    <x v="410"/>
    <n v="4115.57"/>
    <n v="274"/>
    <n v="15.020328467153284"/>
    <x v="1"/>
    <s v="Q3"/>
    <s v="Large"/>
  </r>
  <r>
    <x v="2"/>
    <x v="3"/>
    <x v="3"/>
    <x v="389"/>
    <n v="787.38"/>
    <n v="95"/>
    <n v="8.2882105263157886"/>
    <x v="0"/>
    <s v="Q1"/>
    <s v="Large"/>
  </r>
  <r>
    <x v="6"/>
    <x v="4"/>
    <x v="15"/>
    <x v="374"/>
    <n v="2095.7800000000002"/>
    <n v="8"/>
    <n v="261.97250000000003"/>
    <x v="1"/>
    <s v="Q3"/>
    <s v="Large"/>
  </r>
  <r>
    <x v="13"/>
    <x v="3"/>
    <x v="1"/>
    <x v="385"/>
    <n v="5220.8"/>
    <n v="267"/>
    <n v="19.553558052434457"/>
    <x v="3"/>
    <s v="Q2"/>
    <s v="Large"/>
  </r>
  <r>
    <x v="4"/>
    <x v="0"/>
    <x v="3"/>
    <x v="442"/>
    <n v="11264.45"/>
    <n v="340"/>
    <n v="33.130735294117649"/>
    <x v="7"/>
    <s v="Q2"/>
    <s v="Large"/>
  </r>
  <r>
    <x v="4"/>
    <x v="0"/>
    <x v="17"/>
    <x v="406"/>
    <n v="5477.33"/>
    <n v="341"/>
    <n v="16.062551319648094"/>
    <x v="3"/>
    <s v="Q2"/>
    <s v="Large"/>
  </r>
  <r>
    <x v="13"/>
    <x v="4"/>
    <x v="9"/>
    <x v="420"/>
    <n v="3389"/>
    <n v="160"/>
    <n v="21.181249999999999"/>
    <x v="4"/>
    <s v="Q1"/>
    <s v="Large"/>
  </r>
  <r>
    <x v="19"/>
    <x v="2"/>
    <x v="15"/>
    <x v="495"/>
    <n v="11559.52"/>
    <n v="413"/>
    <n v="27.989152542372882"/>
    <x v="6"/>
    <s v="Q1"/>
    <s v="Large"/>
  </r>
  <r>
    <x v="9"/>
    <x v="1"/>
    <x v="17"/>
    <x v="388"/>
    <n v="1676.82"/>
    <n v="2"/>
    <n v="838.41"/>
    <x v="6"/>
    <s v="Q1"/>
    <s v="Large"/>
  </r>
  <r>
    <x v="0"/>
    <x v="4"/>
    <x v="7"/>
    <x v="348"/>
    <n v="437.48"/>
    <n v="174"/>
    <n v="2.5142528735632186"/>
    <x v="2"/>
    <s v="Q3"/>
    <s v="Small"/>
  </r>
  <r>
    <x v="16"/>
    <x v="3"/>
    <x v="21"/>
    <x v="343"/>
    <n v="8487.6299999999992"/>
    <n v="40"/>
    <n v="212.19074999999998"/>
    <x v="6"/>
    <s v="Q1"/>
    <s v="Large"/>
  </r>
  <r>
    <x v="14"/>
    <x v="2"/>
    <x v="5"/>
    <x v="491"/>
    <n v="71.989999999999995"/>
    <n v="101"/>
    <n v="0.71277227722772274"/>
    <x v="1"/>
    <s v="Q3"/>
    <s v="Small"/>
  </r>
  <r>
    <x v="15"/>
    <x v="0"/>
    <x v="16"/>
    <x v="470"/>
    <n v="9863.6200000000008"/>
    <n v="167"/>
    <n v="59.063592814371262"/>
    <x v="7"/>
    <s v="Q2"/>
    <s v="Large"/>
  </r>
  <r>
    <x v="16"/>
    <x v="5"/>
    <x v="18"/>
    <x v="379"/>
    <n v="3468.53"/>
    <n v="166"/>
    <n v="20.894759036144581"/>
    <x v="7"/>
    <s v="Q2"/>
    <s v="Large"/>
  </r>
  <r>
    <x v="13"/>
    <x v="0"/>
    <x v="2"/>
    <x v="456"/>
    <n v="6770.35"/>
    <n v="173"/>
    <n v="39.1349710982659"/>
    <x v="1"/>
    <s v="Q3"/>
    <s v="Large"/>
  </r>
  <r>
    <x v="24"/>
    <x v="3"/>
    <x v="8"/>
    <x v="428"/>
    <n v="564.14"/>
    <n v="50"/>
    <n v="11.2828"/>
    <x v="3"/>
    <s v="Q2"/>
    <s v="Large"/>
  </r>
  <r>
    <x v="6"/>
    <x v="1"/>
    <x v="1"/>
    <x v="481"/>
    <n v="21044.07"/>
    <n v="210"/>
    <n v="100.20985714285715"/>
    <x v="1"/>
    <s v="Q3"/>
    <s v="Large"/>
  </r>
  <r>
    <x v="6"/>
    <x v="3"/>
    <x v="10"/>
    <x v="490"/>
    <n v="677.38"/>
    <n v="327"/>
    <n v="2.0714984709480122"/>
    <x v="0"/>
    <s v="Q1"/>
    <s v="Large"/>
  </r>
  <r>
    <x v="19"/>
    <x v="5"/>
    <x v="14"/>
    <x v="351"/>
    <n v="4368.01"/>
    <n v="29"/>
    <n v="150.62103448275863"/>
    <x v="4"/>
    <s v="Q1"/>
    <s v="Large"/>
  </r>
  <r>
    <x v="2"/>
    <x v="3"/>
    <x v="7"/>
    <x v="381"/>
    <n v="9866.2000000000007"/>
    <n v="306"/>
    <n v="32.242483660130723"/>
    <x v="7"/>
    <s v="Q2"/>
    <s v="Large"/>
  </r>
  <r>
    <x v="24"/>
    <x v="5"/>
    <x v="3"/>
    <x v="419"/>
    <n v="10723.86"/>
    <n v="125"/>
    <n v="85.790880000000001"/>
    <x v="6"/>
    <s v="Q1"/>
    <s v="Large"/>
  </r>
  <r>
    <x v="15"/>
    <x v="5"/>
    <x v="21"/>
    <x v="396"/>
    <n v="5443.42"/>
    <n v="284"/>
    <n v="19.166971830985915"/>
    <x v="0"/>
    <s v="Q1"/>
    <s v="Large"/>
  </r>
  <r>
    <x v="8"/>
    <x v="5"/>
    <x v="10"/>
    <x v="347"/>
    <n v="1312.35"/>
    <n v="200"/>
    <n v="6.56175"/>
    <x v="6"/>
    <s v="Q1"/>
    <s v="Large"/>
  </r>
  <r>
    <x v="4"/>
    <x v="0"/>
    <x v="10"/>
    <x v="366"/>
    <n v="8471.68"/>
    <n v="162"/>
    <n v="52.294320987654324"/>
    <x v="5"/>
    <s v="Q2"/>
    <s v="Large"/>
  </r>
  <r>
    <x v="1"/>
    <x v="3"/>
    <x v="8"/>
    <x v="498"/>
    <n v="5774.6"/>
    <n v="178"/>
    <n v="32.441573033707868"/>
    <x v="6"/>
    <s v="Q1"/>
    <s v="Large"/>
  </r>
  <r>
    <x v="9"/>
    <x v="0"/>
    <x v="9"/>
    <x v="384"/>
    <n v="3780.02"/>
    <n v="97"/>
    <n v="38.969278350515467"/>
    <x v="7"/>
    <s v="Q2"/>
    <s v="Large"/>
  </r>
  <r>
    <x v="4"/>
    <x v="0"/>
    <x v="11"/>
    <x v="372"/>
    <n v="6831.03"/>
    <n v="243"/>
    <n v="28.111234567901235"/>
    <x v="2"/>
    <s v="Q3"/>
    <s v="Large"/>
  </r>
  <r>
    <x v="10"/>
    <x v="3"/>
    <x v="0"/>
    <x v="388"/>
    <n v="4834.51"/>
    <n v="63"/>
    <n v="76.738253968253971"/>
    <x v="6"/>
    <s v="Q1"/>
    <s v="Large"/>
  </r>
  <r>
    <x v="0"/>
    <x v="4"/>
    <x v="17"/>
    <x v="408"/>
    <n v="8119.65"/>
    <n v="143"/>
    <n v="56.780769230769231"/>
    <x v="6"/>
    <s v="Q1"/>
    <s v="Large"/>
  </r>
  <r>
    <x v="20"/>
    <x v="0"/>
    <x v="1"/>
    <x v="466"/>
    <n v="4811.88"/>
    <n v="242"/>
    <n v="19.883801652892561"/>
    <x v="5"/>
    <s v="Q2"/>
    <s v="Large"/>
  </r>
  <r>
    <x v="20"/>
    <x v="4"/>
    <x v="16"/>
    <x v="395"/>
    <n v="5930.01"/>
    <n v="252"/>
    <n v="23.531785714285714"/>
    <x v="0"/>
    <s v="Q1"/>
    <s v="Large"/>
  </r>
  <r>
    <x v="11"/>
    <x v="5"/>
    <x v="7"/>
    <x v="438"/>
    <n v="3040.05"/>
    <n v="426"/>
    <n v="7.1362676056338028"/>
    <x v="0"/>
    <s v="Q1"/>
    <s v="Large"/>
  </r>
  <r>
    <x v="17"/>
    <x v="1"/>
    <x v="13"/>
    <x v="435"/>
    <n v="1126.8699999999999"/>
    <n v="23"/>
    <n v="48.994347826086951"/>
    <x v="2"/>
    <s v="Q3"/>
    <s v="Large"/>
  </r>
  <r>
    <x v="6"/>
    <x v="5"/>
    <x v="3"/>
    <x v="446"/>
    <n v="6051.65"/>
    <n v="490"/>
    <n v="12.350306122448979"/>
    <x v="7"/>
    <s v="Q2"/>
    <s v="Large"/>
  </r>
  <r>
    <x v="8"/>
    <x v="5"/>
    <x v="19"/>
    <x v="488"/>
    <n v="12279.35"/>
    <n v="162"/>
    <n v="75.798456790123453"/>
    <x v="4"/>
    <s v="Q1"/>
    <s v="Large"/>
  </r>
  <r>
    <x v="6"/>
    <x v="1"/>
    <x v="3"/>
    <x v="384"/>
    <n v="7091.66"/>
    <n v="28"/>
    <n v="253.27357142857142"/>
    <x v="7"/>
    <s v="Q2"/>
    <s v="Large"/>
  </r>
  <r>
    <x v="3"/>
    <x v="2"/>
    <x v="9"/>
    <x v="499"/>
    <n v="3160.97"/>
    <n v="25"/>
    <n v="126.43879999999999"/>
    <x v="4"/>
    <s v="Q1"/>
    <s v="Large"/>
  </r>
  <r>
    <x v="6"/>
    <x v="1"/>
    <x v="12"/>
    <x v="418"/>
    <n v="1408.28"/>
    <n v="35"/>
    <n v="40.23657142857143"/>
    <x v="0"/>
    <s v="Q1"/>
    <s v="Large"/>
  </r>
  <r>
    <x v="1"/>
    <x v="0"/>
    <x v="8"/>
    <x v="364"/>
    <n v="5776.61"/>
    <n v="114"/>
    <n v="50.672017543859646"/>
    <x v="5"/>
    <s v="Q2"/>
    <s v="Large"/>
  </r>
  <r>
    <x v="18"/>
    <x v="1"/>
    <x v="20"/>
    <x v="346"/>
    <n v="4890.59"/>
    <n v="274"/>
    <n v="17.848868613138688"/>
    <x v="0"/>
    <s v="Q1"/>
    <s v="Large"/>
  </r>
  <r>
    <x v="0"/>
    <x v="0"/>
    <x v="5"/>
    <x v="355"/>
    <n v="2048.13"/>
    <n v="172"/>
    <n v="11.907732558139536"/>
    <x v="5"/>
    <s v="Q2"/>
    <s v="Large"/>
  </r>
  <r>
    <x v="8"/>
    <x v="5"/>
    <x v="14"/>
    <x v="432"/>
    <n v="4590.46"/>
    <n v="1"/>
    <n v="4590.46"/>
    <x v="6"/>
    <s v="Q1"/>
    <s v="Large"/>
  </r>
  <r>
    <x v="5"/>
    <x v="1"/>
    <x v="10"/>
    <x v="497"/>
    <n v="8665.99"/>
    <n v="162"/>
    <n v="53.493765432098762"/>
    <x v="5"/>
    <s v="Q2"/>
    <s v="Large"/>
  </r>
  <r>
    <x v="9"/>
    <x v="5"/>
    <x v="3"/>
    <x v="475"/>
    <n v="2202.46"/>
    <n v="97"/>
    <n v="22.70577319587629"/>
    <x v="6"/>
    <s v="Q1"/>
    <s v="Large"/>
  </r>
  <r>
    <x v="9"/>
    <x v="1"/>
    <x v="8"/>
    <x v="413"/>
    <n v="11720.11"/>
    <n v="48"/>
    <n v="244.16895833333334"/>
    <x v="3"/>
    <s v="Q2"/>
    <s v="Large"/>
  </r>
  <r>
    <x v="7"/>
    <x v="2"/>
    <x v="17"/>
    <x v="414"/>
    <n v="7884.86"/>
    <n v="266"/>
    <n v="29.642330827067667"/>
    <x v="0"/>
    <s v="Q1"/>
    <s v="Large"/>
  </r>
  <r>
    <x v="10"/>
    <x v="0"/>
    <x v="6"/>
    <x v="417"/>
    <n v="3857.88"/>
    <n v="303"/>
    <n v="12.732277227722772"/>
    <x v="3"/>
    <s v="Q2"/>
    <s v="Large"/>
  </r>
  <r>
    <x v="16"/>
    <x v="2"/>
    <x v="6"/>
    <x v="409"/>
    <n v="10123.959999999999"/>
    <n v="84"/>
    <n v="120.52333333333333"/>
    <x v="1"/>
    <s v="Q3"/>
    <s v="Large"/>
  </r>
  <r>
    <x v="2"/>
    <x v="2"/>
    <x v="8"/>
    <x v="413"/>
    <n v="8170.88"/>
    <n v="137"/>
    <n v="59.641459854014599"/>
    <x v="3"/>
    <s v="Q2"/>
    <s v="Large"/>
  </r>
  <r>
    <x v="4"/>
    <x v="1"/>
    <x v="9"/>
    <x v="465"/>
    <n v="19390.61"/>
    <n v="141"/>
    <n v="137.52205673758866"/>
    <x v="2"/>
    <s v="Q3"/>
    <s v="Large"/>
  </r>
  <r>
    <x v="1"/>
    <x v="3"/>
    <x v="19"/>
    <x v="463"/>
    <n v="10197.43"/>
    <n v="24"/>
    <n v="424.89291666666668"/>
    <x v="6"/>
    <s v="Q1"/>
    <s v="Large"/>
  </r>
  <r>
    <x v="15"/>
    <x v="1"/>
    <x v="2"/>
    <x v="458"/>
    <n v="5188.18"/>
    <n v="5"/>
    <n v="1037.636"/>
    <x v="7"/>
    <s v="Q2"/>
    <s v="Large"/>
  </r>
  <r>
    <x v="19"/>
    <x v="2"/>
    <x v="19"/>
    <x v="481"/>
    <n v="350.27"/>
    <n v="117"/>
    <n v="2.9937606837606836"/>
    <x v="1"/>
    <s v="Q3"/>
    <s v="Small"/>
  </r>
  <r>
    <x v="22"/>
    <x v="5"/>
    <x v="18"/>
    <x v="500"/>
    <n v="3766.32"/>
    <n v="300"/>
    <n v="12.554400000000001"/>
    <x v="2"/>
    <s v="Q3"/>
    <s v="Large"/>
  </r>
  <r>
    <x v="6"/>
    <x v="1"/>
    <x v="21"/>
    <x v="385"/>
    <n v="4888.37"/>
    <n v="435"/>
    <n v="11.237632183908046"/>
    <x v="3"/>
    <s v="Q2"/>
    <s v="Large"/>
  </r>
  <r>
    <x v="0"/>
    <x v="5"/>
    <x v="14"/>
    <x v="342"/>
    <n v="5230.3599999999997"/>
    <n v="142"/>
    <n v="36.833521126760559"/>
    <x v="0"/>
    <s v="Q1"/>
    <s v="Large"/>
  </r>
  <r>
    <x v="19"/>
    <x v="2"/>
    <x v="16"/>
    <x v="427"/>
    <n v="3790.18"/>
    <n v="168"/>
    <n v="22.560595238095239"/>
    <x v="3"/>
    <s v="Q2"/>
    <s v="Large"/>
  </r>
  <r>
    <x v="23"/>
    <x v="5"/>
    <x v="5"/>
    <x v="490"/>
    <n v="302.18"/>
    <n v="233"/>
    <n v="1.2969098712446352"/>
    <x v="0"/>
    <s v="Q1"/>
    <s v="Small"/>
  </r>
  <r>
    <x v="10"/>
    <x v="4"/>
    <x v="8"/>
    <x v="424"/>
    <n v="1017.17"/>
    <n v="123"/>
    <n v="8.2696747967479673"/>
    <x v="1"/>
    <s v="Q3"/>
    <s v="Large"/>
  </r>
  <r>
    <x v="10"/>
    <x v="5"/>
    <x v="13"/>
    <x v="370"/>
    <n v="241.36"/>
    <n v="17"/>
    <n v="14.197647058823531"/>
    <x v="5"/>
    <s v="Q2"/>
    <s v="Small"/>
  </r>
  <r>
    <x v="5"/>
    <x v="4"/>
    <x v="1"/>
    <x v="366"/>
    <n v="8347.2999999999993"/>
    <n v="138"/>
    <n v="60.487681159420283"/>
    <x v="5"/>
    <s v="Q2"/>
    <s v="Large"/>
  </r>
  <r>
    <x v="23"/>
    <x v="3"/>
    <x v="17"/>
    <x v="493"/>
    <n v="6291.74"/>
    <n v="88"/>
    <n v="71.497045454545457"/>
    <x v="4"/>
    <s v="Q1"/>
    <s v="Large"/>
  </r>
  <r>
    <x v="11"/>
    <x v="5"/>
    <x v="20"/>
    <x v="373"/>
    <n v="1543.77"/>
    <n v="674"/>
    <n v="2.290459940652819"/>
    <x v="4"/>
    <s v="Q1"/>
    <s v="Large"/>
  </r>
  <r>
    <x v="17"/>
    <x v="1"/>
    <x v="10"/>
    <x v="395"/>
    <n v="9744.5"/>
    <n v="225"/>
    <n v="43.308888888888887"/>
    <x v="0"/>
    <s v="Q1"/>
    <s v="Large"/>
  </r>
  <r>
    <x v="21"/>
    <x v="0"/>
    <x v="0"/>
    <x v="382"/>
    <n v="5414.75"/>
    <n v="325"/>
    <n v="16.66076923076923"/>
    <x v="7"/>
    <s v="Q2"/>
    <s v="Large"/>
  </r>
  <r>
    <x v="6"/>
    <x v="4"/>
    <x v="21"/>
    <x v="385"/>
    <n v="1898.07"/>
    <n v="22"/>
    <n v="86.275909090909082"/>
    <x v="3"/>
    <s v="Q2"/>
    <s v="Large"/>
  </r>
  <r>
    <x v="22"/>
    <x v="2"/>
    <x v="4"/>
    <x v="337"/>
    <n v="4911.08"/>
    <n v="163"/>
    <n v="30.129325153374232"/>
    <x v="1"/>
    <s v="Q3"/>
    <s v="Large"/>
  </r>
  <r>
    <x v="9"/>
    <x v="2"/>
    <x v="8"/>
    <x v="374"/>
    <n v="11293.17"/>
    <n v="219"/>
    <n v="51.566986301369866"/>
    <x v="1"/>
    <s v="Q3"/>
    <s v="Large"/>
  </r>
  <r>
    <x v="11"/>
    <x v="1"/>
    <x v="4"/>
    <x v="367"/>
    <n v="12398.37"/>
    <n v="161"/>
    <n v="77.008509316770187"/>
    <x v="2"/>
    <s v="Q3"/>
    <s v="Large"/>
  </r>
  <r>
    <x v="15"/>
    <x v="4"/>
    <x v="13"/>
    <x v="501"/>
    <n v="1508.57"/>
    <n v="28"/>
    <n v="53.877499999999998"/>
    <x v="3"/>
    <s v="Q2"/>
    <s v="Large"/>
  </r>
  <r>
    <x v="20"/>
    <x v="2"/>
    <x v="16"/>
    <x v="357"/>
    <n v="5869.09"/>
    <n v="354"/>
    <n v="16.579350282485876"/>
    <x v="7"/>
    <s v="Q2"/>
    <s v="Large"/>
  </r>
  <r>
    <x v="24"/>
    <x v="4"/>
    <x v="11"/>
    <x v="465"/>
    <n v="2770.47"/>
    <n v="159"/>
    <n v="17.424339622641508"/>
    <x v="2"/>
    <s v="Q3"/>
    <s v="Large"/>
  </r>
  <r>
    <x v="3"/>
    <x v="0"/>
    <x v="20"/>
    <x v="409"/>
    <n v="3541.73"/>
    <n v="494"/>
    <n v="7.1694939271255063"/>
    <x v="1"/>
    <s v="Q3"/>
    <s v="Large"/>
  </r>
  <r>
    <x v="6"/>
    <x v="3"/>
    <x v="21"/>
    <x v="362"/>
    <n v="7624.41"/>
    <n v="139"/>
    <n v="54.851870503597119"/>
    <x v="5"/>
    <s v="Q2"/>
    <s v="Large"/>
  </r>
  <r>
    <x v="4"/>
    <x v="1"/>
    <x v="1"/>
    <x v="361"/>
    <n v="9928.42"/>
    <n v="130"/>
    <n v="76.372461538461536"/>
    <x v="2"/>
    <s v="Q3"/>
    <s v="Large"/>
  </r>
  <r>
    <x v="16"/>
    <x v="3"/>
    <x v="3"/>
    <x v="413"/>
    <n v="7.67"/>
    <n v="548"/>
    <n v="1.3996350364963503E-2"/>
    <x v="3"/>
    <s v="Q2"/>
    <s v="Small"/>
  </r>
  <r>
    <x v="2"/>
    <x v="2"/>
    <x v="21"/>
    <x v="397"/>
    <n v="1624.86"/>
    <n v="103"/>
    <n v="15.775339805825242"/>
    <x v="1"/>
    <s v="Q3"/>
    <s v="Large"/>
  </r>
  <r>
    <x v="3"/>
    <x v="0"/>
    <x v="6"/>
    <x v="425"/>
    <n v="6301.56"/>
    <n v="287"/>
    <n v="21.956655052264811"/>
    <x v="0"/>
    <s v="Q1"/>
    <s v="Large"/>
  </r>
  <r>
    <x v="5"/>
    <x v="5"/>
    <x v="14"/>
    <x v="491"/>
    <n v="8578.4"/>
    <n v="15"/>
    <n v="571.89333333333332"/>
    <x v="1"/>
    <s v="Q3"/>
    <s v="Large"/>
  </r>
  <r>
    <x v="0"/>
    <x v="2"/>
    <x v="12"/>
    <x v="346"/>
    <n v="5573.57"/>
    <n v="372"/>
    <n v="14.982715053763441"/>
    <x v="0"/>
    <s v="Q1"/>
    <s v="Large"/>
  </r>
  <r>
    <x v="15"/>
    <x v="0"/>
    <x v="19"/>
    <x v="430"/>
    <n v="3465.68"/>
    <n v="133"/>
    <n v="26.057744360902255"/>
    <x v="3"/>
    <s v="Q2"/>
    <s v="Large"/>
  </r>
  <r>
    <x v="7"/>
    <x v="3"/>
    <x v="5"/>
    <x v="338"/>
    <n v="1245.9100000000001"/>
    <n v="90"/>
    <n v="13.843444444444446"/>
    <x v="2"/>
    <s v="Q3"/>
    <s v="Large"/>
  </r>
  <r>
    <x v="22"/>
    <x v="3"/>
    <x v="0"/>
    <x v="390"/>
    <n v="8888.61"/>
    <n v="4"/>
    <n v="2222.1525000000001"/>
    <x v="6"/>
    <s v="Q1"/>
    <s v="Large"/>
  </r>
  <r>
    <x v="22"/>
    <x v="0"/>
    <x v="21"/>
    <x v="353"/>
    <n v="5931.82"/>
    <n v="243"/>
    <n v="24.410781893004113"/>
    <x v="4"/>
    <s v="Q1"/>
    <s v="Large"/>
  </r>
  <r>
    <x v="8"/>
    <x v="2"/>
    <x v="10"/>
    <x v="437"/>
    <n v="2620.66"/>
    <n v="34"/>
    <n v="77.078235294117647"/>
    <x v="0"/>
    <s v="Q1"/>
    <s v="Large"/>
  </r>
  <r>
    <x v="12"/>
    <x v="3"/>
    <x v="9"/>
    <x v="425"/>
    <n v="1284.3699999999999"/>
    <n v="560"/>
    <n v="2.2935178571428572"/>
    <x v="0"/>
    <s v="Q1"/>
    <s v="Large"/>
  </r>
  <r>
    <x v="12"/>
    <x v="1"/>
    <x v="8"/>
    <x v="469"/>
    <n v="11033.61"/>
    <n v="155"/>
    <n v="71.18458064516129"/>
    <x v="5"/>
    <s v="Q2"/>
    <s v="Large"/>
  </r>
  <r>
    <x v="19"/>
    <x v="1"/>
    <x v="8"/>
    <x v="381"/>
    <n v="2413.0500000000002"/>
    <n v="82"/>
    <n v="29.427439024390246"/>
    <x v="7"/>
    <s v="Q2"/>
    <s v="Large"/>
  </r>
  <r>
    <x v="2"/>
    <x v="0"/>
    <x v="1"/>
    <x v="466"/>
    <n v="13136.08"/>
    <n v="90"/>
    <n v="145.95644444444446"/>
    <x v="5"/>
    <s v="Q2"/>
    <s v="Large"/>
  </r>
  <r>
    <x v="13"/>
    <x v="0"/>
    <x v="17"/>
    <x v="418"/>
    <n v="14297.82"/>
    <n v="211"/>
    <n v="67.762180094786729"/>
    <x v="0"/>
    <s v="Q1"/>
    <s v="Large"/>
  </r>
  <r>
    <x v="23"/>
    <x v="0"/>
    <x v="0"/>
    <x v="502"/>
    <n v="2837.65"/>
    <n v="212"/>
    <n v="13.385141509433963"/>
    <x v="2"/>
    <s v="Q3"/>
    <s v="Large"/>
  </r>
  <r>
    <x v="8"/>
    <x v="5"/>
    <x v="9"/>
    <x v="494"/>
    <n v="7496.03"/>
    <n v="259"/>
    <n v="28.942200772200771"/>
    <x v="3"/>
    <s v="Q2"/>
    <s v="Large"/>
  </r>
  <r>
    <x v="4"/>
    <x v="4"/>
    <x v="11"/>
    <x v="443"/>
    <n v="1815.29"/>
    <n v="79"/>
    <n v="22.978354430379746"/>
    <x v="5"/>
    <s v="Q2"/>
    <s v="Large"/>
  </r>
  <r>
    <x v="4"/>
    <x v="0"/>
    <x v="7"/>
    <x v="371"/>
    <n v="8250.0300000000007"/>
    <n v="228"/>
    <n v="36.184342105263163"/>
    <x v="3"/>
    <s v="Q2"/>
    <s v="Large"/>
  </r>
  <r>
    <x v="14"/>
    <x v="5"/>
    <x v="2"/>
    <x v="369"/>
    <n v="5605.82"/>
    <n v="64"/>
    <n v="87.590937499999995"/>
    <x v="7"/>
    <s v="Q2"/>
    <s v="Large"/>
  </r>
  <r>
    <x v="2"/>
    <x v="1"/>
    <x v="14"/>
    <x v="436"/>
    <n v="1563.39"/>
    <n v="179"/>
    <n v="8.7340223463687163"/>
    <x v="3"/>
    <s v="Q2"/>
    <s v="Large"/>
  </r>
  <r>
    <x v="15"/>
    <x v="5"/>
    <x v="18"/>
    <x v="424"/>
    <n v="3997.02"/>
    <n v="411"/>
    <n v="9.7251094890510945"/>
    <x v="1"/>
    <s v="Q3"/>
    <s v="Large"/>
  </r>
  <r>
    <x v="18"/>
    <x v="1"/>
    <x v="18"/>
    <x v="374"/>
    <n v="3284.22"/>
    <n v="230"/>
    <n v="14.279217391304346"/>
    <x v="1"/>
    <s v="Q3"/>
    <s v="Large"/>
  </r>
  <r>
    <x v="18"/>
    <x v="3"/>
    <x v="19"/>
    <x v="455"/>
    <n v="4609.67"/>
    <n v="58"/>
    <n v="79.477068965517248"/>
    <x v="3"/>
    <s v="Q2"/>
    <s v="Large"/>
  </r>
  <r>
    <x v="16"/>
    <x v="0"/>
    <x v="18"/>
    <x v="349"/>
    <n v="9412.06"/>
    <n v="123"/>
    <n v="76.520813008130077"/>
    <x v="1"/>
    <s v="Q3"/>
    <s v="Large"/>
  </r>
  <r>
    <x v="17"/>
    <x v="3"/>
    <x v="10"/>
    <x v="336"/>
    <n v="427.36"/>
    <n v="249"/>
    <n v="1.7163052208835341"/>
    <x v="0"/>
    <s v="Q1"/>
    <s v="Small"/>
  </r>
  <r>
    <x v="20"/>
    <x v="5"/>
    <x v="5"/>
    <x v="346"/>
    <n v="19449.02"/>
    <n v="204"/>
    <n v="95.338333333333338"/>
    <x v="0"/>
    <s v="Q1"/>
    <s v="Large"/>
  </r>
  <r>
    <x v="1"/>
    <x v="2"/>
    <x v="19"/>
    <x v="365"/>
    <n v="14122.44"/>
    <n v="32"/>
    <n v="441.32625000000002"/>
    <x v="7"/>
    <s v="Q2"/>
    <s v="Large"/>
  </r>
  <r>
    <x v="15"/>
    <x v="3"/>
    <x v="2"/>
    <x v="353"/>
    <n v="2257.14"/>
    <n v="231"/>
    <n v="9.7711688311688309"/>
    <x v="4"/>
    <s v="Q1"/>
    <s v="Large"/>
  </r>
  <r>
    <x v="16"/>
    <x v="0"/>
    <x v="20"/>
    <x v="434"/>
    <n v="11334.21"/>
    <n v="72"/>
    <n v="157.41958333333332"/>
    <x v="7"/>
    <s v="Q2"/>
    <s v="Large"/>
  </r>
  <r>
    <x v="0"/>
    <x v="0"/>
    <x v="9"/>
    <x v="488"/>
    <n v="7865.93"/>
    <n v="436"/>
    <n v="18.041123853211008"/>
    <x v="4"/>
    <s v="Q1"/>
    <s v="Large"/>
  </r>
  <r>
    <x v="12"/>
    <x v="1"/>
    <x v="15"/>
    <x v="477"/>
    <n v="11462.32"/>
    <n v="172"/>
    <n v="66.641395348837207"/>
    <x v="7"/>
    <s v="Q2"/>
    <s v="Large"/>
  </r>
  <r>
    <x v="5"/>
    <x v="0"/>
    <x v="18"/>
    <x v="366"/>
    <n v="6154.53"/>
    <n v="132"/>
    <n v="46.625227272727273"/>
    <x v="5"/>
    <s v="Q2"/>
    <s v="Large"/>
  </r>
  <r>
    <x v="5"/>
    <x v="0"/>
    <x v="3"/>
    <x v="463"/>
    <n v="867.5"/>
    <n v="143"/>
    <n v="6.0664335664335667"/>
    <x v="6"/>
    <s v="Q1"/>
    <s v="Large"/>
  </r>
  <r>
    <x v="21"/>
    <x v="5"/>
    <x v="7"/>
    <x v="356"/>
    <n v="9056.1"/>
    <n v="58"/>
    <n v="156.1396551724138"/>
    <x v="4"/>
    <s v="Q1"/>
    <s v="Large"/>
  </r>
  <r>
    <x v="0"/>
    <x v="0"/>
    <x v="1"/>
    <x v="338"/>
    <n v="6569.4"/>
    <n v="66"/>
    <n v="99.536363636363632"/>
    <x v="2"/>
    <s v="Q3"/>
    <s v="Large"/>
  </r>
  <r>
    <x v="4"/>
    <x v="0"/>
    <x v="21"/>
    <x v="419"/>
    <n v="7431"/>
    <n v="180"/>
    <n v="41.283333333333331"/>
    <x v="6"/>
    <s v="Q1"/>
    <s v="Large"/>
  </r>
  <r>
    <x v="20"/>
    <x v="0"/>
    <x v="4"/>
    <x v="489"/>
    <n v="3672.65"/>
    <n v="124"/>
    <n v="29.618145161290322"/>
    <x v="1"/>
    <s v="Q3"/>
    <s v="Large"/>
  </r>
  <r>
    <x v="2"/>
    <x v="3"/>
    <x v="5"/>
    <x v="440"/>
    <n v="6464.8"/>
    <n v="189"/>
    <n v="34.205291005291009"/>
    <x v="0"/>
    <s v="Q1"/>
    <s v="Large"/>
  </r>
  <r>
    <x v="4"/>
    <x v="2"/>
    <x v="6"/>
    <x v="477"/>
    <n v="813.58"/>
    <n v="163"/>
    <n v="4.9912883435582822"/>
    <x v="7"/>
    <s v="Q2"/>
    <s v="Large"/>
  </r>
  <r>
    <x v="4"/>
    <x v="5"/>
    <x v="6"/>
    <x v="468"/>
    <n v="7301.81"/>
    <n v="134"/>
    <n v="54.491119402985078"/>
    <x v="5"/>
    <s v="Q2"/>
    <s v="Large"/>
  </r>
  <r>
    <x v="8"/>
    <x v="4"/>
    <x v="14"/>
    <x v="476"/>
    <n v="8523.42"/>
    <n v="171"/>
    <n v="49.84456140350877"/>
    <x v="7"/>
    <s v="Q2"/>
    <s v="Large"/>
  </r>
  <r>
    <x v="7"/>
    <x v="3"/>
    <x v="4"/>
    <x v="448"/>
    <n v="3822.64"/>
    <n v="85"/>
    <n v="44.972235294117645"/>
    <x v="6"/>
    <s v="Q1"/>
    <s v="Large"/>
  </r>
  <r>
    <x v="14"/>
    <x v="2"/>
    <x v="20"/>
    <x v="351"/>
    <n v="10219.39"/>
    <n v="139"/>
    <n v="73.520791366906465"/>
    <x v="4"/>
    <s v="Q1"/>
    <s v="Large"/>
  </r>
  <r>
    <x v="14"/>
    <x v="3"/>
    <x v="1"/>
    <x v="401"/>
    <n v="5798.43"/>
    <n v="206"/>
    <n v="28.147718446601942"/>
    <x v="7"/>
    <s v="Q2"/>
    <s v="Large"/>
  </r>
  <r>
    <x v="8"/>
    <x v="3"/>
    <x v="3"/>
    <x v="342"/>
    <n v="4487.01"/>
    <n v="184"/>
    <n v="24.385923913043481"/>
    <x v="0"/>
    <s v="Q1"/>
    <s v="Large"/>
  </r>
  <r>
    <x v="24"/>
    <x v="0"/>
    <x v="1"/>
    <x v="380"/>
    <n v="17237.669999999998"/>
    <n v="13"/>
    <n v="1325.9746153846152"/>
    <x v="5"/>
    <s v="Q2"/>
    <s v="Large"/>
  </r>
  <r>
    <x v="17"/>
    <x v="2"/>
    <x v="9"/>
    <x v="393"/>
    <n v="7497.22"/>
    <n v="184"/>
    <n v="40.745760869565217"/>
    <x v="2"/>
    <s v="Q3"/>
    <s v="Large"/>
  </r>
  <r>
    <x v="13"/>
    <x v="4"/>
    <x v="11"/>
    <x v="381"/>
    <n v="3034.06"/>
    <n v="245"/>
    <n v="12.383918367346938"/>
    <x v="7"/>
    <s v="Q2"/>
    <s v="Large"/>
  </r>
  <r>
    <x v="3"/>
    <x v="1"/>
    <x v="5"/>
    <x v="358"/>
    <n v="6795.06"/>
    <n v="177"/>
    <n v="38.390169491525427"/>
    <x v="6"/>
    <s v="Q1"/>
    <s v="Large"/>
  </r>
  <r>
    <x v="5"/>
    <x v="4"/>
    <x v="5"/>
    <x v="424"/>
    <n v="4273.09"/>
    <n v="280"/>
    <n v="15.261035714285715"/>
    <x v="1"/>
    <s v="Q3"/>
    <s v="Large"/>
  </r>
  <r>
    <x v="24"/>
    <x v="1"/>
    <x v="7"/>
    <x v="353"/>
    <n v="1412.6"/>
    <n v="278"/>
    <n v="5.0812949640287766"/>
    <x v="4"/>
    <s v="Q1"/>
    <s v="Large"/>
  </r>
  <r>
    <x v="9"/>
    <x v="0"/>
    <x v="15"/>
    <x v="362"/>
    <n v="9852.89"/>
    <n v="43"/>
    <n v="229.13697674418603"/>
    <x v="5"/>
    <s v="Q2"/>
    <s v="Large"/>
  </r>
  <r>
    <x v="8"/>
    <x v="2"/>
    <x v="17"/>
    <x v="384"/>
    <n v="10744.23"/>
    <n v="105"/>
    <n v="102.32599999999999"/>
    <x v="7"/>
    <s v="Q2"/>
    <s v="Large"/>
  </r>
  <r>
    <x v="18"/>
    <x v="4"/>
    <x v="9"/>
    <x v="443"/>
    <n v="1213.6300000000001"/>
    <n v="101"/>
    <n v="12.016138613861386"/>
    <x v="5"/>
    <s v="Q2"/>
    <s v="Large"/>
  </r>
  <r>
    <x v="18"/>
    <x v="1"/>
    <x v="8"/>
    <x v="411"/>
    <n v="4263.93"/>
    <n v="80"/>
    <n v="53.299125000000004"/>
    <x v="4"/>
    <s v="Q1"/>
    <s v="Large"/>
  </r>
  <r>
    <x v="18"/>
    <x v="1"/>
    <x v="5"/>
    <x v="453"/>
    <n v="13808.46"/>
    <n v="270"/>
    <n v="51.142444444444443"/>
    <x v="1"/>
    <s v="Q3"/>
    <s v="Large"/>
  </r>
  <r>
    <x v="20"/>
    <x v="1"/>
    <x v="4"/>
    <x v="380"/>
    <n v="2411.9299999999998"/>
    <n v="248"/>
    <n v="9.7255241935483863"/>
    <x v="5"/>
    <s v="Q2"/>
    <s v="Large"/>
  </r>
  <r>
    <x v="5"/>
    <x v="5"/>
    <x v="12"/>
    <x v="352"/>
    <n v="14603.41"/>
    <n v="12"/>
    <n v="1216.9508333333333"/>
    <x v="3"/>
    <s v="Q2"/>
    <s v="Large"/>
  </r>
  <r>
    <x v="22"/>
    <x v="5"/>
    <x v="2"/>
    <x v="361"/>
    <n v="17813.77"/>
    <n v="120"/>
    <n v="148.44808333333333"/>
    <x v="2"/>
    <s v="Q3"/>
    <s v="Large"/>
  </r>
  <r>
    <x v="16"/>
    <x v="3"/>
    <x v="8"/>
    <x v="503"/>
    <n v="14346.28"/>
    <n v="48"/>
    <n v="298.88083333333333"/>
    <x v="0"/>
    <s v="Q1"/>
    <s v="Large"/>
  </r>
  <r>
    <x v="24"/>
    <x v="3"/>
    <x v="9"/>
    <x v="353"/>
    <n v="10009.51"/>
    <n v="144"/>
    <n v="69.510486111111106"/>
    <x v="4"/>
    <s v="Q1"/>
    <s v="Large"/>
  </r>
  <r>
    <x v="14"/>
    <x v="0"/>
    <x v="9"/>
    <x v="433"/>
    <n v="494.27"/>
    <n v="186"/>
    <n v="2.6573655913978493"/>
    <x v="2"/>
    <s v="Q3"/>
    <s v="Small"/>
  </r>
  <r>
    <x v="20"/>
    <x v="1"/>
    <x v="17"/>
    <x v="422"/>
    <n v="9118.67"/>
    <n v="253"/>
    <n v="36.042173913043477"/>
    <x v="5"/>
    <s v="Q2"/>
    <s v="Large"/>
  </r>
  <r>
    <x v="23"/>
    <x v="2"/>
    <x v="18"/>
    <x v="436"/>
    <n v="1751.26"/>
    <n v="293"/>
    <n v="5.9769965870307171"/>
    <x v="3"/>
    <s v="Q2"/>
    <s v="Large"/>
  </r>
  <r>
    <x v="16"/>
    <x v="0"/>
    <x v="6"/>
    <x v="420"/>
    <n v="3402.47"/>
    <n v="69"/>
    <n v="49.311159420289854"/>
    <x v="4"/>
    <s v="Q1"/>
    <s v="Large"/>
  </r>
  <r>
    <x v="13"/>
    <x v="5"/>
    <x v="18"/>
    <x v="365"/>
    <n v="6841.28"/>
    <n v="237"/>
    <n v="28.866160337552742"/>
    <x v="7"/>
    <s v="Q2"/>
    <s v="Large"/>
  </r>
  <r>
    <x v="24"/>
    <x v="1"/>
    <x v="6"/>
    <x v="371"/>
    <n v="12584.46"/>
    <n v="328"/>
    <n v="38.367256097560976"/>
    <x v="3"/>
    <s v="Q2"/>
    <s v="Large"/>
  </r>
  <r>
    <x v="4"/>
    <x v="5"/>
    <x v="2"/>
    <x v="412"/>
    <n v="14291.3"/>
    <n v="179"/>
    <n v="79.839664804469265"/>
    <x v="5"/>
    <s v="Q2"/>
    <s v="Large"/>
  </r>
  <r>
    <x v="4"/>
    <x v="0"/>
    <x v="14"/>
    <x v="355"/>
    <n v="1998.41"/>
    <n v="303"/>
    <n v="6.5954125412541256"/>
    <x v="5"/>
    <s v="Q2"/>
    <s v="Large"/>
  </r>
  <r>
    <x v="8"/>
    <x v="1"/>
    <x v="5"/>
    <x v="435"/>
    <n v="9558.06"/>
    <n v="117"/>
    <n v="81.692820512820504"/>
    <x v="2"/>
    <s v="Q3"/>
    <s v="Large"/>
  </r>
  <r>
    <x v="18"/>
    <x v="5"/>
    <x v="3"/>
    <x v="370"/>
    <n v="5594.84"/>
    <n v="174"/>
    <n v="32.154252873563216"/>
    <x v="5"/>
    <s v="Q2"/>
    <s v="Large"/>
  </r>
  <r>
    <x v="7"/>
    <x v="1"/>
    <x v="0"/>
    <x v="350"/>
    <n v="16520.75"/>
    <n v="84"/>
    <n v="196.67559523809524"/>
    <x v="0"/>
    <s v="Q1"/>
    <s v="Large"/>
  </r>
  <r>
    <x v="7"/>
    <x v="5"/>
    <x v="4"/>
    <x v="388"/>
    <n v="5545.62"/>
    <n v="139"/>
    <n v="39.896546762589928"/>
    <x v="6"/>
    <s v="Q1"/>
    <s v="Large"/>
  </r>
  <r>
    <x v="1"/>
    <x v="2"/>
    <x v="21"/>
    <x v="389"/>
    <n v="8260.58"/>
    <n v="108"/>
    <n v="76.486851851851853"/>
    <x v="0"/>
    <s v="Q1"/>
    <s v="Large"/>
  </r>
  <r>
    <x v="12"/>
    <x v="4"/>
    <x v="21"/>
    <x v="355"/>
    <n v="2636.16"/>
    <n v="110"/>
    <n v="23.965090909090907"/>
    <x v="5"/>
    <s v="Q2"/>
    <s v="Large"/>
  </r>
  <r>
    <x v="8"/>
    <x v="5"/>
    <x v="7"/>
    <x v="366"/>
    <n v="8285.3799999999992"/>
    <n v="18"/>
    <n v="460.29888888888883"/>
    <x v="5"/>
    <s v="Q2"/>
    <s v="Large"/>
  </r>
  <r>
    <x v="13"/>
    <x v="2"/>
    <x v="1"/>
    <x v="387"/>
    <n v="4590"/>
    <n v="78"/>
    <n v="58.846153846153847"/>
    <x v="2"/>
    <s v="Q3"/>
    <s v="Large"/>
  </r>
  <r>
    <x v="4"/>
    <x v="1"/>
    <x v="12"/>
    <x v="354"/>
    <n v="13189.14"/>
    <n v="95"/>
    <n v="138.83305263157894"/>
    <x v="5"/>
    <s v="Q2"/>
    <s v="Large"/>
  </r>
  <r>
    <x v="3"/>
    <x v="0"/>
    <x v="15"/>
    <x v="397"/>
    <n v="3768.3"/>
    <n v="212"/>
    <n v="17.775000000000002"/>
    <x v="1"/>
    <s v="Q3"/>
    <s v="Large"/>
  </r>
  <r>
    <x v="16"/>
    <x v="2"/>
    <x v="5"/>
    <x v="406"/>
    <n v="7962.71"/>
    <n v="293"/>
    <n v="27.176484641638226"/>
    <x v="3"/>
    <s v="Q2"/>
    <s v="Large"/>
  </r>
  <r>
    <x v="18"/>
    <x v="5"/>
    <x v="13"/>
    <x v="451"/>
    <n v="3665.13"/>
    <n v="191"/>
    <n v="19.189162303664922"/>
    <x v="1"/>
    <s v="Q3"/>
    <s v="Large"/>
  </r>
  <r>
    <x v="18"/>
    <x v="0"/>
    <x v="11"/>
    <x v="392"/>
    <n v="334.81"/>
    <n v="66"/>
    <n v="5.0728787878787882"/>
    <x v="1"/>
    <s v="Q3"/>
    <s v="Small"/>
  </r>
  <r>
    <x v="4"/>
    <x v="5"/>
    <x v="13"/>
    <x v="438"/>
    <n v="2187.5"/>
    <n v="159"/>
    <n v="13.757861635220126"/>
    <x v="0"/>
    <s v="Q1"/>
    <s v="Large"/>
  </r>
  <r>
    <x v="17"/>
    <x v="4"/>
    <x v="19"/>
    <x v="491"/>
    <n v="18481.73"/>
    <n v="295"/>
    <n v="62.649932203389831"/>
    <x v="1"/>
    <s v="Q3"/>
    <s v="Large"/>
  </r>
  <r>
    <x v="22"/>
    <x v="4"/>
    <x v="16"/>
    <x v="442"/>
    <n v="11863.69"/>
    <n v="24"/>
    <n v="494.32041666666669"/>
    <x v="7"/>
    <s v="Q2"/>
    <s v="Large"/>
  </r>
  <r>
    <x v="1"/>
    <x v="3"/>
    <x v="6"/>
    <x v="372"/>
    <n v="4332.41"/>
    <n v="10"/>
    <n v="433.24099999999999"/>
    <x v="2"/>
    <s v="Q3"/>
    <s v="Large"/>
  </r>
  <r>
    <x v="10"/>
    <x v="5"/>
    <x v="20"/>
    <x v="388"/>
    <n v="3653.33"/>
    <n v="327"/>
    <n v="11.172262996941896"/>
    <x v="6"/>
    <s v="Q1"/>
    <s v="Large"/>
  </r>
  <r>
    <x v="22"/>
    <x v="2"/>
    <x v="17"/>
    <x v="393"/>
    <n v="7023.94"/>
    <n v="89"/>
    <n v="78.920674157303367"/>
    <x v="2"/>
    <s v="Q3"/>
    <s v="Large"/>
  </r>
  <r>
    <x v="7"/>
    <x v="0"/>
    <x v="12"/>
    <x v="349"/>
    <n v="10001.950000000001"/>
    <n v="132"/>
    <n v="75.772348484848493"/>
    <x v="1"/>
    <s v="Q3"/>
    <s v="Large"/>
  </r>
  <r>
    <x v="14"/>
    <x v="0"/>
    <x v="2"/>
    <x v="498"/>
    <n v="16460.650000000001"/>
    <n v="171"/>
    <n v="96.26111111111112"/>
    <x v="6"/>
    <s v="Q1"/>
    <s v="Large"/>
  </r>
  <r>
    <x v="20"/>
    <x v="3"/>
    <x v="14"/>
    <x v="436"/>
    <n v="8575.27"/>
    <n v="165"/>
    <n v="51.971333333333334"/>
    <x v="3"/>
    <s v="Q2"/>
    <s v="Large"/>
  </r>
  <r>
    <x v="12"/>
    <x v="5"/>
    <x v="13"/>
    <x v="351"/>
    <n v="12191.42"/>
    <n v="177"/>
    <n v="68.878079096045198"/>
    <x v="4"/>
    <s v="Q1"/>
    <s v="Large"/>
  </r>
  <r>
    <x v="9"/>
    <x v="1"/>
    <x v="14"/>
    <x v="404"/>
    <n v="969.15"/>
    <n v="233"/>
    <n v="4.1594420600858371"/>
    <x v="2"/>
    <s v="Q3"/>
    <s v="Large"/>
  </r>
  <r>
    <x v="6"/>
    <x v="0"/>
    <x v="9"/>
    <x v="395"/>
    <n v="6498.96"/>
    <n v="143"/>
    <n v="45.447272727272725"/>
    <x v="0"/>
    <s v="Q1"/>
    <s v="Large"/>
  </r>
  <r>
    <x v="0"/>
    <x v="1"/>
    <x v="2"/>
    <x v="385"/>
    <n v="33.68"/>
    <n v="487"/>
    <n v="6.9158110882956883E-2"/>
    <x v="3"/>
    <s v="Q2"/>
    <s v="Small"/>
  </r>
  <r>
    <x v="4"/>
    <x v="4"/>
    <x v="16"/>
    <x v="369"/>
    <n v="7640.61"/>
    <n v="154"/>
    <n v="49.614350649350648"/>
    <x v="7"/>
    <s v="Q2"/>
    <s v="Large"/>
  </r>
  <r>
    <x v="15"/>
    <x v="1"/>
    <x v="8"/>
    <x v="360"/>
    <n v="5596.93"/>
    <n v="62"/>
    <n v="90.27306451612904"/>
    <x v="4"/>
    <s v="Q1"/>
    <s v="Large"/>
  </r>
  <r>
    <x v="6"/>
    <x v="0"/>
    <x v="12"/>
    <x v="399"/>
    <n v="2639.55"/>
    <n v="59"/>
    <n v="44.738135593220342"/>
    <x v="7"/>
    <s v="Q2"/>
    <s v="Large"/>
  </r>
  <r>
    <x v="4"/>
    <x v="2"/>
    <x v="15"/>
    <x v="350"/>
    <n v="4626.87"/>
    <n v="78"/>
    <n v="59.318846153846152"/>
    <x v="0"/>
    <s v="Q1"/>
    <s v="Large"/>
  </r>
  <r>
    <x v="12"/>
    <x v="1"/>
    <x v="14"/>
    <x v="345"/>
    <n v="1900.09"/>
    <n v="297"/>
    <n v="6.3976094276094271"/>
    <x v="2"/>
    <s v="Q3"/>
    <s v="Large"/>
  </r>
  <r>
    <x v="24"/>
    <x v="1"/>
    <x v="16"/>
    <x v="436"/>
    <n v="13315.47"/>
    <n v="72"/>
    <n v="184.93708333333333"/>
    <x v="3"/>
    <s v="Q2"/>
    <s v="Large"/>
  </r>
  <r>
    <x v="2"/>
    <x v="2"/>
    <x v="3"/>
    <x v="342"/>
    <n v="6359.09"/>
    <n v="121"/>
    <n v="52.554462809917354"/>
    <x v="0"/>
    <s v="Q1"/>
    <s v="Large"/>
  </r>
  <r>
    <x v="21"/>
    <x v="4"/>
    <x v="1"/>
    <x v="427"/>
    <n v="2644.65"/>
    <n v="83"/>
    <n v="31.863253012048194"/>
    <x v="3"/>
    <s v="Q2"/>
    <s v="Large"/>
  </r>
  <r>
    <x v="21"/>
    <x v="4"/>
    <x v="8"/>
    <x v="375"/>
    <n v="4879.55"/>
    <n v="427"/>
    <n v="11.427517564402811"/>
    <x v="5"/>
    <s v="Q2"/>
    <s v="Large"/>
  </r>
  <r>
    <x v="22"/>
    <x v="3"/>
    <x v="14"/>
    <x v="374"/>
    <n v="11572.5"/>
    <n v="51"/>
    <n v="226.91176470588235"/>
    <x v="1"/>
    <s v="Q3"/>
    <s v="Large"/>
  </r>
  <r>
    <x v="1"/>
    <x v="1"/>
    <x v="5"/>
    <x v="355"/>
    <n v="15626.93"/>
    <n v="225"/>
    <n v="69.453022222222216"/>
    <x v="5"/>
    <s v="Q2"/>
    <s v="Large"/>
  </r>
  <r>
    <x v="15"/>
    <x v="1"/>
    <x v="7"/>
    <x v="366"/>
    <n v="4781.1400000000003"/>
    <n v="38"/>
    <n v="125.81947368421054"/>
    <x v="5"/>
    <s v="Q2"/>
    <s v="Large"/>
  </r>
  <r>
    <x v="0"/>
    <x v="1"/>
    <x v="16"/>
    <x v="464"/>
    <n v="11793.4"/>
    <n v="101"/>
    <n v="116.76633663366336"/>
    <x v="1"/>
    <s v="Q3"/>
    <s v="Large"/>
  </r>
  <r>
    <x v="10"/>
    <x v="2"/>
    <x v="17"/>
    <x v="398"/>
    <n v="1061.03"/>
    <n v="58"/>
    <n v="18.293620689655171"/>
    <x v="1"/>
    <s v="Q3"/>
    <s v="Large"/>
  </r>
  <r>
    <x v="21"/>
    <x v="3"/>
    <x v="4"/>
    <x v="392"/>
    <n v="2499.92"/>
    <n v="44"/>
    <n v="56.81636363636364"/>
    <x v="1"/>
    <s v="Q3"/>
    <s v="Large"/>
  </r>
  <r>
    <x v="2"/>
    <x v="2"/>
    <x v="7"/>
    <x v="423"/>
    <n v="676.29"/>
    <n v="158"/>
    <n v="4.2803164556962026"/>
    <x v="6"/>
    <s v="Q1"/>
    <s v="Large"/>
  </r>
  <r>
    <x v="20"/>
    <x v="0"/>
    <x v="9"/>
    <x v="344"/>
    <n v="1886.06"/>
    <n v="23"/>
    <n v="82.002608695652171"/>
    <x v="3"/>
    <s v="Q2"/>
    <s v="Large"/>
  </r>
  <r>
    <x v="9"/>
    <x v="5"/>
    <x v="20"/>
    <x v="375"/>
    <n v="5093.92"/>
    <n v="524"/>
    <n v="9.7212213740458022"/>
    <x v="5"/>
    <s v="Q2"/>
    <s v="Large"/>
  </r>
  <r>
    <x v="15"/>
    <x v="2"/>
    <x v="10"/>
    <x v="479"/>
    <n v="1018.8"/>
    <n v="157"/>
    <n v="6.4891719745222929"/>
    <x v="4"/>
    <s v="Q1"/>
    <s v="Large"/>
  </r>
  <r>
    <x v="6"/>
    <x v="2"/>
    <x v="14"/>
    <x v="410"/>
    <n v="5616.77"/>
    <n v="23"/>
    <n v="244.20739130434785"/>
    <x v="1"/>
    <s v="Q3"/>
    <s v="Large"/>
  </r>
  <r>
    <x v="23"/>
    <x v="1"/>
    <x v="2"/>
    <x v="353"/>
    <n v="10461.82"/>
    <n v="78"/>
    <n v="134.12589743589743"/>
    <x v="4"/>
    <s v="Q1"/>
    <s v="Large"/>
  </r>
  <r>
    <x v="17"/>
    <x v="0"/>
    <x v="4"/>
    <x v="357"/>
    <n v="12841.79"/>
    <n v="26"/>
    <n v="493.91500000000002"/>
    <x v="7"/>
    <s v="Q2"/>
    <s v="Large"/>
  </r>
  <r>
    <x v="2"/>
    <x v="3"/>
    <x v="6"/>
    <x v="364"/>
    <n v="6723.42"/>
    <n v="67"/>
    <n v="100.34955223880597"/>
    <x v="5"/>
    <s v="Q2"/>
    <s v="Large"/>
  </r>
  <r>
    <x v="2"/>
    <x v="4"/>
    <x v="11"/>
    <x v="422"/>
    <n v="521.35"/>
    <n v="127"/>
    <n v="4.1051181102362211"/>
    <x v="5"/>
    <s v="Q2"/>
    <s v="Large"/>
  </r>
  <r>
    <x v="6"/>
    <x v="0"/>
    <x v="20"/>
    <x v="408"/>
    <n v="3106.11"/>
    <n v="159"/>
    <n v="19.535283018867926"/>
    <x v="6"/>
    <s v="Q1"/>
    <s v="Large"/>
  </r>
  <r>
    <x v="14"/>
    <x v="3"/>
    <x v="2"/>
    <x v="447"/>
    <n v="1684.28"/>
    <n v="419"/>
    <n v="4.0197613365155132"/>
    <x v="6"/>
    <s v="Q1"/>
    <s v="Large"/>
  </r>
  <r>
    <x v="14"/>
    <x v="3"/>
    <x v="6"/>
    <x v="395"/>
    <n v="11226.14"/>
    <n v="84"/>
    <n v="133.6445238095238"/>
    <x v="0"/>
    <s v="Q1"/>
    <s v="Large"/>
  </r>
  <r>
    <x v="12"/>
    <x v="5"/>
    <x v="9"/>
    <x v="361"/>
    <n v="1172.53"/>
    <n v="124"/>
    <n v="9.4558870967741928"/>
    <x v="2"/>
    <s v="Q3"/>
    <s v="Large"/>
  </r>
  <r>
    <x v="8"/>
    <x v="4"/>
    <x v="20"/>
    <x v="432"/>
    <n v="3917.13"/>
    <n v="287"/>
    <n v="13.648536585365854"/>
    <x v="6"/>
    <s v="Q1"/>
    <s v="Large"/>
  </r>
  <r>
    <x v="9"/>
    <x v="5"/>
    <x v="16"/>
    <x v="401"/>
    <n v="4871.07"/>
    <n v="33"/>
    <n v="147.60818181818181"/>
    <x v="7"/>
    <s v="Q2"/>
    <s v="Large"/>
  </r>
  <r>
    <x v="4"/>
    <x v="4"/>
    <x v="9"/>
    <x v="390"/>
    <n v="9306.64"/>
    <n v="48"/>
    <n v="193.88833333333332"/>
    <x v="6"/>
    <s v="Q1"/>
    <s v="Large"/>
  </r>
  <r>
    <x v="6"/>
    <x v="3"/>
    <x v="8"/>
    <x v="372"/>
    <n v="5270.33"/>
    <n v="323"/>
    <n v="16.316811145510837"/>
    <x v="2"/>
    <s v="Q3"/>
    <s v="Large"/>
  </r>
  <r>
    <x v="5"/>
    <x v="3"/>
    <x v="18"/>
    <x v="337"/>
    <n v="14722.35"/>
    <n v="61"/>
    <n v="241.35"/>
    <x v="1"/>
    <s v="Q3"/>
    <s v="Large"/>
  </r>
  <r>
    <x v="5"/>
    <x v="0"/>
    <x v="12"/>
    <x v="353"/>
    <n v="13444.87"/>
    <n v="197"/>
    <n v="68.248071065989848"/>
    <x v="4"/>
    <s v="Q1"/>
    <s v="Large"/>
  </r>
  <r>
    <x v="14"/>
    <x v="4"/>
    <x v="5"/>
    <x v="436"/>
    <n v="14885.97"/>
    <n v="248"/>
    <n v="60.024072580645161"/>
    <x v="3"/>
    <s v="Q2"/>
    <s v="Large"/>
  </r>
  <r>
    <x v="4"/>
    <x v="1"/>
    <x v="18"/>
    <x v="351"/>
    <n v="53.31"/>
    <n v="371"/>
    <n v="0.14369272237196767"/>
    <x v="4"/>
    <s v="Q1"/>
    <s v="Small"/>
  </r>
  <r>
    <x v="24"/>
    <x v="2"/>
    <x v="2"/>
    <x v="358"/>
    <n v="11767.94"/>
    <n v="68"/>
    <n v="173.05794117647059"/>
    <x v="6"/>
    <s v="Q1"/>
    <s v="Large"/>
  </r>
  <r>
    <x v="4"/>
    <x v="2"/>
    <x v="12"/>
    <x v="487"/>
    <n v="12897.53"/>
    <n v="25"/>
    <n v="515.90120000000002"/>
    <x v="3"/>
    <s v="Q2"/>
    <s v="Large"/>
  </r>
  <r>
    <x v="0"/>
    <x v="5"/>
    <x v="15"/>
    <x v="352"/>
    <n v="3867.62"/>
    <n v="214"/>
    <n v="18.072990654205608"/>
    <x v="3"/>
    <s v="Q2"/>
    <s v="Large"/>
  </r>
  <r>
    <x v="21"/>
    <x v="5"/>
    <x v="9"/>
    <x v="486"/>
    <n v="13524.05"/>
    <n v="253"/>
    <n v="53.454743083003947"/>
    <x v="6"/>
    <s v="Q1"/>
    <s v="Large"/>
  </r>
  <r>
    <x v="16"/>
    <x v="4"/>
    <x v="12"/>
    <x v="444"/>
    <n v="2319.1"/>
    <n v="189"/>
    <n v="12.270370370370371"/>
    <x v="5"/>
    <s v="Q2"/>
    <s v="Large"/>
  </r>
  <r>
    <x v="11"/>
    <x v="3"/>
    <x v="21"/>
    <x v="351"/>
    <n v="9036.58"/>
    <n v="377"/>
    <n v="23.969708222811672"/>
    <x v="4"/>
    <s v="Q1"/>
    <s v="Large"/>
  </r>
  <r>
    <x v="13"/>
    <x v="3"/>
    <x v="4"/>
    <x v="494"/>
    <n v="8905.5300000000007"/>
    <n v="201"/>
    <n v="44.306119402985075"/>
    <x v="3"/>
    <s v="Q2"/>
    <s v="Large"/>
  </r>
  <r>
    <x v="4"/>
    <x v="3"/>
    <x v="1"/>
    <x v="467"/>
    <n v="4040.65"/>
    <n v="423"/>
    <n v="9.5523640661938529"/>
    <x v="4"/>
    <s v="Q1"/>
    <s v="Large"/>
  </r>
  <r>
    <x v="23"/>
    <x v="3"/>
    <x v="7"/>
    <x v="453"/>
    <n v="2204.17"/>
    <n v="145"/>
    <n v="15.201172413793104"/>
    <x v="1"/>
    <s v="Q3"/>
    <s v="Large"/>
  </r>
  <r>
    <x v="19"/>
    <x v="3"/>
    <x v="16"/>
    <x v="352"/>
    <n v="7037.21"/>
    <n v="172"/>
    <n v="40.91401162790698"/>
    <x v="3"/>
    <s v="Q2"/>
    <s v="Large"/>
  </r>
  <r>
    <x v="10"/>
    <x v="2"/>
    <x v="4"/>
    <x v="350"/>
    <n v="12285.41"/>
    <n v="175"/>
    <n v="70.202342857142852"/>
    <x v="0"/>
    <s v="Q1"/>
    <s v="Large"/>
  </r>
  <r>
    <x v="16"/>
    <x v="0"/>
    <x v="5"/>
    <x v="440"/>
    <n v="21812.86"/>
    <n v="183"/>
    <n v="119.19595628415301"/>
    <x v="0"/>
    <s v="Q1"/>
    <s v="Large"/>
  </r>
  <r>
    <x v="16"/>
    <x v="5"/>
    <x v="5"/>
    <x v="374"/>
    <n v="6707.97"/>
    <n v="187"/>
    <n v="35.871497326203212"/>
    <x v="1"/>
    <s v="Q3"/>
    <s v="Large"/>
  </r>
  <r>
    <x v="16"/>
    <x v="0"/>
    <x v="9"/>
    <x v="395"/>
    <n v="2513.58"/>
    <n v="226"/>
    <n v="11.122035398230087"/>
    <x v="0"/>
    <s v="Q1"/>
    <s v="Large"/>
  </r>
  <r>
    <x v="7"/>
    <x v="0"/>
    <x v="6"/>
    <x v="353"/>
    <n v="11491.21"/>
    <n v="71"/>
    <n v="161.84802816901407"/>
    <x v="4"/>
    <s v="Q1"/>
    <s v="Large"/>
  </r>
  <r>
    <x v="23"/>
    <x v="4"/>
    <x v="17"/>
    <x v="403"/>
    <n v="3762.58"/>
    <n v="49"/>
    <n v="76.787346938775514"/>
    <x v="0"/>
    <s v="Q1"/>
    <s v="Large"/>
  </r>
  <r>
    <x v="10"/>
    <x v="4"/>
    <x v="14"/>
    <x v="368"/>
    <n v="5158.01"/>
    <n v="2"/>
    <n v="2579.0050000000001"/>
    <x v="1"/>
    <s v="Q3"/>
    <s v="Large"/>
  </r>
  <r>
    <x v="4"/>
    <x v="4"/>
    <x v="12"/>
    <x v="400"/>
    <n v="6660.69"/>
    <n v="418"/>
    <n v="15.934665071770334"/>
    <x v="4"/>
    <s v="Q1"/>
    <s v="Large"/>
  </r>
  <r>
    <x v="9"/>
    <x v="2"/>
    <x v="3"/>
    <x v="394"/>
    <n v="4786.05"/>
    <n v="107"/>
    <n v="44.729439252336448"/>
    <x v="4"/>
    <s v="Q1"/>
    <s v="Large"/>
  </r>
  <r>
    <x v="16"/>
    <x v="5"/>
    <x v="10"/>
    <x v="432"/>
    <n v="6797.67"/>
    <n v="82"/>
    <n v="82.898414634146349"/>
    <x v="6"/>
    <s v="Q1"/>
    <s v="Large"/>
  </r>
  <r>
    <x v="11"/>
    <x v="4"/>
    <x v="2"/>
    <x v="362"/>
    <n v="782.24"/>
    <n v="348"/>
    <n v="2.2478160919540229"/>
    <x v="5"/>
    <s v="Q2"/>
    <s v="Large"/>
  </r>
  <r>
    <x v="17"/>
    <x v="0"/>
    <x v="3"/>
    <x v="487"/>
    <n v="653.1"/>
    <n v="136"/>
    <n v="4.8022058823529417"/>
    <x v="3"/>
    <s v="Q2"/>
    <s v="Large"/>
  </r>
  <r>
    <x v="6"/>
    <x v="2"/>
    <x v="10"/>
    <x v="378"/>
    <n v="4768.88"/>
    <n v="281"/>
    <n v="16.971103202846976"/>
    <x v="2"/>
    <s v="Q3"/>
    <s v="Large"/>
  </r>
  <r>
    <x v="12"/>
    <x v="1"/>
    <x v="10"/>
    <x v="466"/>
    <n v="1123.57"/>
    <n v="19"/>
    <n v="59.135263157894734"/>
    <x v="5"/>
    <s v="Q2"/>
    <s v="Large"/>
  </r>
  <r>
    <x v="17"/>
    <x v="2"/>
    <x v="19"/>
    <x v="460"/>
    <n v="16435.38"/>
    <n v="425"/>
    <n v="38.671482352941176"/>
    <x v="0"/>
    <s v="Q1"/>
    <s v="Large"/>
  </r>
  <r>
    <x v="12"/>
    <x v="0"/>
    <x v="6"/>
    <x v="360"/>
    <n v="2922.18"/>
    <n v="289"/>
    <n v="10.111349480968858"/>
    <x v="4"/>
    <s v="Q1"/>
    <s v="Large"/>
  </r>
  <r>
    <x v="1"/>
    <x v="0"/>
    <x v="16"/>
    <x v="341"/>
    <n v="12123.84"/>
    <n v="222"/>
    <n v="54.611891891891894"/>
    <x v="5"/>
    <s v="Q2"/>
    <s v="Large"/>
  </r>
  <r>
    <x v="23"/>
    <x v="0"/>
    <x v="20"/>
    <x v="386"/>
    <n v="6448.87"/>
    <n v="244"/>
    <n v="26.429795081967214"/>
    <x v="1"/>
    <s v="Q3"/>
    <s v="Large"/>
  </r>
  <r>
    <x v="18"/>
    <x v="2"/>
    <x v="3"/>
    <x v="336"/>
    <n v="2587.61"/>
    <n v="44"/>
    <n v="58.809318181818185"/>
    <x v="0"/>
    <s v="Q1"/>
    <s v="Large"/>
  </r>
  <r>
    <x v="19"/>
    <x v="5"/>
    <x v="21"/>
    <x v="406"/>
    <n v="12109"/>
    <n v="16"/>
    <n v="756.8125"/>
    <x v="3"/>
    <s v="Q2"/>
    <s v="Large"/>
  </r>
  <r>
    <x v="8"/>
    <x v="0"/>
    <x v="11"/>
    <x v="388"/>
    <n v="4482.33"/>
    <n v="467"/>
    <n v="9.5981370449678796"/>
    <x v="6"/>
    <s v="Q1"/>
    <s v="Large"/>
  </r>
  <r>
    <x v="1"/>
    <x v="5"/>
    <x v="9"/>
    <x v="362"/>
    <n v="5294.88"/>
    <n v="679"/>
    <n v="7.7980559646539032"/>
    <x v="5"/>
    <s v="Q2"/>
    <s v="Large"/>
  </r>
  <r>
    <x v="0"/>
    <x v="2"/>
    <x v="5"/>
    <x v="351"/>
    <n v="5512.57"/>
    <n v="46"/>
    <n v="119.83847826086956"/>
    <x v="4"/>
    <s v="Q1"/>
    <s v="Large"/>
  </r>
  <r>
    <x v="15"/>
    <x v="0"/>
    <x v="5"/>
    <x v="361"/>
    <n v="3707.27"/>
    <n v="392"/>
    <n v="9.4573214285714293"/>
    <x v="2"/>
    <s v="Q3"/>
    <s v="Large"/>
  </r>
  <r>
    <x v="8"/>
    <x v="1"/>
    <x v="0"/>
    <x v="425"/>
    <n v="7899.01"/>
    <n v="461"/>
    <n v="17.134511930585685"/>
    <x v="0"/>
    <s v="Q1"/>
    <s v="Large"/>
  </r>
  <r>
    <x v="14"/>
    <x v="1"/>
    <x v="0"/>
    <x v="486"/>
    <n v="9813.42"/>
    <n v="100"/>
    <n v="98.134200000000007"/>
    <x v="6"/>
    <s v="Q1"/>
    <s v="Large"/>
  </r>
  <r>
    <x v="0"/>
    <x v="3"/>
    <x v="11"/>
    <x v="379"/>
    <n v="2845.74"/>
    <n v="197"/>
    <n v="14.445380710659897"/>
    <x v="7"/>
    <s v="Q2"/>
    <s v="Large"/>
  </r>
  <r>
    <x v="5"/>
    <x v="1"/>
    <x v="20"/>
    <x v="348"/>
    <n v="2941.72"/>
    <n v="220"/>
    <n v="13.371454545454544"/>
    <x v="2"/>
    <s v="Q3"/>
    <s v="Large"/>
  </r>
  <r>
    <x v="14"/>
    <x v="0"/>
    <x v="15"/>
    <x v="400"/>
    <n v="1969.62"/>
    <n v="114"/>
    <n v="17.277368421052632"/>
    <x v="4"/>
    <s v="Q1"/>
    <s v="Large"/>
  </r>
  <r>
    <x v="19"/>
    <x v="1"/>
    <x v="7"/>
    <x v="357"/>
    <n v="339.64"/>
    <n v="452"/>
    <n v="0.75141592920353983"/>
    <x v="7"/>
    <s v="Q2"/>
    <s v="Small"/>
  </r>
  <r>
    <x v="9"/>
    <x v="2"/>
    <x v="17"/>
    <x v="427"/>
    <n v="8818.17"/>
    <n v="29"/>
    <n v="304.07482758620688"/>
    <x v="3"/>
    <s v="Q2"/>
    <s v="Large"/>
  </r>
  <r>
    <x v="12"/>
    <x v="5"/>
    <x v="1"/>
    <x v="353"/>
    <n v="6829.86"/>
    <n v="46"/>
    <n v="148.47521739130434"/>
    <x v="4"/>
    <s v="Q1"/>
    <s v="Large"/>
  </r>
  <r>
    <x v="20"/>
    <x v="2"/>
    <x v="9"/>
    <x v="452"/>
    <n v="1370.19"/>
    <n v="58"/>
    <n v="23.62396551724138"/>
    <x v="7"/>
    <s v="Q2"/>
    <s v="Large"/>
  </r>
  <r>
    <x v="1"/>
    <x v="5"/>
    <x v="21"/>
    <x v="370"/>
    <n v="7731.47"/>
    <n v="77"/>
    <n v="100.4087012987013"/>
    <x v="5"/>
    <s v="Q2"/>
    <s v="Large"/>
  </r>
  <r>
    <x v="17"/>
    <x v="4"/>
    <x v="20"/>
    <x v="372"/>
    <n v="2757.16"/>
    <n v="463"/>
    <n v="5.9549892008639302"/>
    <x v="2"/>
    <s v="Q3"/>
    <s v="Large"/>
  </r>
  <r>
    <x v="12"/>
    <x v="3"/>
    <x v="12"/>
    <x v="412"/>
    <n v="70.19"/>
    <n v="63"/>
    <n v="1.1141269841269841"/>
    <x v="5"/>
    <s v="Q2"/>
    <s v="Small"/>
  </r>
  <r>
    <x v="3"/>
    <x v="0"/>
    <x v="16"/>
    <x v="383"/>
    <n v="10817.45"/>
    <n v="151"/>
    <n v="71.638741721854316"/>
    <x v="2"/>
    <s v="Q3"/>
    <s v="Large"/>
  </r>
  <r>
    <x v="15"/>
    <x v="1"/>
    <x v="17"/>
    <x v="362"/>
    <n v="11595.41"/>
    <n v="153"/>
    <n v="75.786993464052287"/>
    <x v="5"/>
    <s v="Q2"/>
    <s v="Large"/>
  </r>
  <r>
    <x v="23"/>
    <x v="1"/>
    <x v="0"/>
    <x v="385"/>
    <n v="1375.22"/>
    <n v="231"/>
    <n v="5.9533333333333331"/>
    <x v="3"/>
    <s v="Q2"/>
    <s v="Large"/>
  </r>
  <r>
    <x v="21"/>
    <x v="1"/>
    <x v="9"/>
    <x v="451"/>
    <n v="503.52"/>
    <n v="167"/>
    <n v="3.0150898203592815"/>
    <x v="1"/>
    <s v="Q3"/>
    <s v="Large"/>
  </r>
  <r>
    <x v="11"/>
    <x v="0"/>
    <x v="9"/>
    <x v="432"/>
    <n v="1135.1600000000001"/>
    <n v="27"/>
    <n v="42.042962962962967"/>
    <x v="6"/>
    <s v="Q1"/>
    <s v="Large"/>
  </r>
  <r>
    <x v="13"/>
    <x v="2"/>
    <x v="10"/>
    <x v="345"/>
    <n v="4375.45"/>
    <n v="79"/>
    <n v="55.385443037974682"/>
    <x v="2"/>
    <s v="Q3"/>
    <s v="Large"/>
  </r>
  <r>
    <x v="24"/>
    <x v="1"/>
    <x v="4"/>
    <x v="353"/>
    <n v="536.74"/>
    <n v="102"/>
    <n v="5.2621568627450985"/>
    <x v="4"/>
    <s v="Q1"/>
    <s v="Large"/>
  </r>
  <r>
    <x v="7"/>
    <x v="5"/>
    <x v="12"/>
    <x v="474"/>
    <n v="2702.08"/>
    <n v="164"/>
    <n v="16.47609756097561"/>
    <x v="7"/>
    <s v="Q2"/>
    <s v="Large"/>
  </r>
  <r>
    <x v="1"/>
    <x v="1"/>
    <x v="8"/>
    <x v="465"/>
    <n v="11064.27"/>
    <n v="104"/>
    <n v="106.38721153846154"/>
    <x v="2"/>
    <s v="Q3"/>
    <s v="Large"/>
  </r>
  <r>
    <x v="5"/>
    <x v="2"/>
    <x v="4"/>
    <x v="397"/>
    <n v="8861.83"/>
    <n v="226"/>
    <n v="39.211637168141593"/>
    <x v="1"/>
    <s v="Q3"/>
    <s v="Large"/>
  </r>
  <r>
    <x v="16"/>
    <x v="4"/>
    <x v="1"/>
    <x v="473"/>
    <n v="564.66999999999996"/>
    <n v="256"/>
    <n v="2.2057421874999998"/>
    <x v="5"/>
    <s v="Q2"/>
    <s v="Large"/>
  </r>
  <r>
    <x v="21"/>
    <x v="0"/>
    <x v="2"/>
    <x v="376"/>
    <n v="5267.69"/>
    <n v="120"/>
    <n v="43.897416666666665"/>
    <x v="2"/>
    <s v="Q3"/>
    <s v="Large"/>
  </r>
  <r>
    <x v="22"/>
    <x v="0"/>
    <x v="2"/>
    <x v="489"/>
    <n v="8698.4699999999993"/>
    <n v="89"/>
    <n v="97.735617977528079"/>
    <x v="1"/>
    <s v="Q3"/>
    <s v="Large"/>
  </r>
  <r>
    <x v="22"/>
    <x v="4"/>
    <x v="18"/>
    <x v="412"/>
    <n v="6025.6"/>
    <n v="137"/>
    <n v="43.982481751824821"/>
    <x v="5"/>
    <s v="Q2"/>
    <s v="Large"/>
  </r>
  <r>
    <x v="11"/>
    <x v="5"/>
    <x v="2"/>
    <x v="457"/>
    <n v="7032.54"/>
    <n v="87"/>
    <n v="80.833793103448272"/>
    <x v="6"/>
    <s v="Q1"/>
    <s v="Large"/>
  </r>
  <r>
    <x v="24"/>
    <x v="2"/>
    <x v="18"/>
    <x v="406"/>
    <n v="1572.79"/>
    <n v="176"/>
    <n v="8.9363068181818175"/>
    <x v="3"/>
    <s v="Q2"/>
    <s v="Large"/>
  </r>
  <r>
    <x v="14"/>
    <x v="5"/>
    <x v="8"/>
    <x v="477"/>
    <n v="857.34"/>
    <n v="197"/>
    <n v="4.3519796954314725"/>
    <x v="7"/>
    <s v="Q2"/>
    <s v="Large"/>
  </r>
  <r>
    <x v="13"/>
    <x v="1"/>
    <x v="9"/>
    <x v="442"/>
    <n v="4899.47"/>
    <n v="11"/>
    <n v="445.40636363636366"/>
    <x v="7"/>
    <s v="Q2"/>
    <s v="Large"/>
  </r>
  <r>
    <x v="1"/>
    <x v="2"/>
    <x v="0"/>
    <x v="346"/>
    <n v="2924.06"/>
    <n v="295"/>
    <n v="9.9120677966101685"/>
    <x v="0"/>
    <s v="Q1"/>
    <s v="Large"/>
  </r>
  <r>
    <x v="17"/>
    <x v="4"/>
    <x v="21"/>
    <x v="447"/>
    <n v="730.06"/>
    <n v="78"/>
    <n v="9.359743589743589"/>
    <x v="6"/>
    <s v="Q1"/>
    <s v="Large"/>
  </r>
  <r>
    <x v="19"/>
    <x v="5"/>
    <x v="2"/>
    <x v="353"/>
    <n v="1348.05"/>
    <n v="332"/>
    <n v="4.0603915662650598"/>
    <x v="4"/>
    <s v="Q1"/>
    <s v="Large"/>
  </r>
  <r>
    <x v="2"/>
    <x v="4"/>
    <x v="21"/>
    <x v="438"/>
    <n v="8561.59"/>
    <n v="204"/>
    <n v="41.968578431372549"/>
    <x v="0"/>
    <s v="Q1"/>
    <s v="Large"/>
  </r>
  <r>
    <x v="7"/>
    <x v="2"/>
    <x v="14"/>
    <x v="475"/>
    <n v="7326.91"/>
    <n v="102"/>
    <n v="71.832450980392153"/>
    <x v="6"/>
    <s v="Q1"/>
    <s v="Large"/>
  </r>
  <r>
    <x v="13"/>
    <x v="5"/>
    <x v="9"/>
    <x v="470"/>
    <n v="8196.93"/>
    <n v="340"/>
    <n v="24.108617647058825"/>
    <x v="7"/>
    <s v="Q2"/>
    <s v="Large"/>
  </r>
  <r>
    <x v="21"/>
    <x v="3"/>
    <x v="1"/>
    <x v="451"/>
    <n v="17841.919999999998"/>
    <n v="53"/>
    <n v="336.64"/>
    <x v="1"/>
    <s v="Q3"/>
    <s v="Large"/>
  </r>
  <r>
    <x v="22"/>
    <x v="5"/>
    <x v="11"/>
    <x v="487"/>
    <n v="4285.13"/>
    <n v="87"/>
    <n v="49.254367816091957"/>
    <x v="3"/>
    <s v="Q2"/>
    <s v="Large"/>
  </r>
  <r>
    <x v="22"/>
    <x v="2"/>
    <x v="21"/>
    <x v="371"/>
    <n v="4196.2299999999996"/>
    <n v="256"/>
    <n v="16.391523437499998"/>
    <x v="3"/>
    <s v="Q2"/>
    <s v="Large"/>
  </r>
  <r>
    <x v="4"/>
    <x v="5"/>
    <x v="8"/>
    <x v="369"/>
    <n v="6409.31"/>
    <n v="621"/>
    <n v="10.320950080515299"/>
    <x v="7"/>
    <s v="Q2"/>
    <s v="Large"/>
  </r>
  <r>
    <x v="17"/>
    <x v="5"/>
    <x v="9"/>
    <x v="389"/>
    <n v="3010.07"/>
    <n v="24"/>
    <n v="125.41958333333334"/>
    <x v="0"/>
    <s v="Q1"/>
    <s v="Large"/>
  </r>
  <r>
    <x v="9"/>
    <x v="3"/>
    <x v="5"/>
    <x v="452"/>
    <n v="567.91"/>
    <n v="225"/>
    <n v="2.5240444444444443"/>
    <x v="7"/>
    <s v="Q2"/>
    <s v="Large"/>
  </r>
  <r>
    <x v="13"/>
    <x v="5"/>
    <x v="14"/>
    <x v="352"/>
    <n v="6948.79"/>
    <n v="292"/>
    <n v="23.797226027397262"/>
    <x v="3"/>
    <s v="Q2"/>
    <s v="Large"/>
  </r>
  <r>
    <x v="19"/>
    <x v="1"/>
    <x v="5"/>
    <x v="490"/>
    <n v="1009.28"/>
    <n v="69"/>
    <n v="14.627246376811593"/>
    <x v="0"/>
    <s v="Q1"/>
    <s v="Large"/>
  </r>
  <r>
    <x v="13"/>
    <x v="1"/>
    <x v="12"/>
    <x v="463"/>
    <n v="12049.05"/>
    <n v="180"/>
    <n v="66.939166666666665"/>
    <x v="6"/>
    <s v="Q1"/>
    <s v="Large"/>
  </r>
  <r>
    <x v="23"/>
    <x v="2"/>
    <x v="14"/>
    <x v="361"/>
    <n v="6969.38"/>
    <n v="102"/>
    <n v="68.327254901960785"/>
    <x v="2"/>
    <s v="Q3"/>
    <s v="Large"/>
  </r>
  <r>
    <x v="4"/>
    <x v="5"/>
    <x v="7"/>
    <x v="339"/>
    <n v="10257.74"/>
    <n v="328"/>
    <n v="31.27359756097561"/>
    <x v="3"/>
    <s v="Q2"/>
    <s v="Large"/>
  </r>
  <r>
    <x v="16"/>
    <x v="5"/>
    <x v="16"/>
    <x v="489"/>
    <n v="7220.35"/>
    <n v="71"/>
    <n v="101.69507042253521"/>
    <x v="1"/>
    <s v="Q3"/>
    <s v="Large"/>
  </r>
  <r>
    <x v="3"/>
    <x v="0"/>
    <x v="19"/>
    <x v="390"/>
    <n v="783.35"/>
    <n v="273"/>
    <n v="2.8694139194139194"/>
    <x v="6"/>
    <s v="Q1"/>
    <s v="Large"/>
  </r>
  <r>
    <x v="0"/>
    <x v="0"/>
    <x v="13"/>
    <x v="446"/>
    <n v="9434.44"/>
    <n v="221"/>
    <n v="42.689773755656113"/>
    <x v="7"/>
    <s v="Q2"/>
    <s v="Large"/>
  </r>
  <r>
    <x v="17"/>
    <x v="4"/>
    <x v="3"/>
    <x v="401"/>
    <n v="12755.99"/>
    <n v="99"/>
    <n v="128.84838383838382"/>
    <x v="7"/>
    <s v="Q2"/>
    <s v="Large"/>
  </r>
  <r>
    <x v="6"/>
    <x v="4"/>
    <x v="17"/>
    <x v="425"/>
    <n v="807.26"/>
    <n v="198"/>
    <n v="4.0770707070707068"/>
    <x v="0"/>
    <s v="Q1"/>
    <s v="Large"/>
  </r>
  <r>
    <x v="22"/>
    <x v="3"/>
    <x v="11"/>
    <x v="432"/>
    <n v="13541.21"/>
    <n v="434"/>
    <n v="31.200944700460827"/>
    <x v="6"/>
    <s v="Q1"/>
    <s v="Large"/>
  </r>
  <r>
    <x v="13"/>
    <x v="1"/>
    <x v="6"/>
    <x v="358"/>
    <n v="9976.2199999999993"/>
    <n v="12"/>
    <n v="831.35166666666657"/>
    <x v="6"/>
    <s v="Q1"/>
    <s v="Large"/>
  </r>
  <r>
    <x v="8"/>
    <x v="3"/>
    <x v="4"/>
    <x v="363"/>
    <n v="9152.7199999999993"/>
    <n v="208"/>
    <n v="44.003461538461536"/>
    <x v="7"/>
    <s v="Q2"/>
    <s v="Large"/>
  </r>
  <r>
    <x v="17"/>
    <x v="5"/>
    <x v="10"/>
    <x v="418"/>
    <n v="9251.3700000000008"/>
    <n v="79"/>
    <n v="117.10594936708861"/>
    <x v="0"/>
    <s v="Q1"/>
    <s v="Large"/>
  </r>
  <r>
    <x v="12"/>
    <x v="1"/>
    <x v="16"/>
    <x v="363"/>
    <n v="3634.26"/>
    <n v="100"/>
    <n v="36.342600000000004"/>
    <x v="7"/>
    <s v="Q2"/>
    <s v="Large"/>
  </r>
  <r>
    <x v="6"/>
    <x v="2"/>
    <x v="2"/>
    <x v="461"/>
    <n v="352.51"/>
    <n v="196"/>
    <n v="1.7985204081632653"/>
    <x v="1"/>
    <s v="Q3"/>
    <s v="Small"/>
  </r>
  <r>
    <x v="10"/>
    <x v="2"/>
    <x v="12"/>
    <x v="470"/>
    <n v="5303.58"/>
    <n v="354"/>
    <n v="14.98186440677966"/>
    <x v="7"/>
    <s v="Q2"/>
    <s v="Large"/>
  </r>
  <r>
    <x v="0"/>
    <x v="4"/>
    <x v="14"/>
    <x v="412"/>
    <n v="7339.32"/>
    <n v="121"/>
    <n v="60.65553719008264"/>
    <x v="5"/>
    <s v="Q2"/>
    <s v="Large"/>
  </r>
  <r>
    <x v="24"/>
    <x v="5"/>
    <x v="10"/>
    <x v="404"/>
    <n v="616.09"/>
    <n v="238"/>
    <n v="2.5886134453781513"/>
    <x v="2"/>
    <s v="Q3"/>
    <s v="Large"/>
  </r>
  <r>
    <x v="23"/>
    <x v="1"/>
    <x v="8"/>
    <x v="348"/>
    <n v="2504.62"/>
    <n v="397"/>
    <n v="6.3088664987405538"/>
    <x v="2"/>
    <s v="Q3"/>
    <s v="Large"/>
  </r>
  <r>
    <x v="10"/>
    <x v="1"/>
    <x v="21"/>
    <x v="459"/>
    <n v="5915.87"/>
    <n v="355"/>
    <n v="16.664422535211266"/>
    <x v="7"/>
    <s v="Q2"/>
    <s v="Lar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7B23B1-CB2C-4B74-B73D-6E0671F083E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8" firstHeaderRow="0" firstDataRow="1" firstDataCol="1"/>
  <pivotFields count="12">
    <pivotField showAll="0"/>
    <pivotField showAll="0"/>
    <pivotField showAll="0"/>
    <pivotField axis="axisRow"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1"/>
    <field x="10"/>
    <field x="3"/>
  </rowFields>
  <rowItems count="5">
    <i>
      <x/>
    </i>
    <i>
      <x v="1"/>
    </i>
    <i>
      <x v="2"/>
    </i>
    <i>
      <x v="3"/>
    </i>
    <i t="grand">
      <x/>
    </i>
  </rowItems>
  <colFields count="1">
    <field x="-2"/>
  </colFields>
  <colItems count="3">
    <i>
      <x/>
    </i>
    <i i="1">
      <x v="1"/>
    </i>
    <i i="2">
      <x v="2"/>
    </i>
  </colItems>
  <dataFields count="3">
    <dataField name="Sum of Amount" fld="4" baseField="0" baseItem="0"/>
    <dataField name="Average of Amount" fld="4" subtotal="average" baseField="0" baseItem="1"/>
    <dataField name="YoY Growth %" fld="4" showDataAs="percentDiff" baseField="11" baseItem="1048828" numFmtId="10"/>
  </dataFields>
  <formats count="6">
    <format dxfId="8">
      <pivotArea type="all" dataOnly="0" outline="0" fieldPosition="0"/>
    </format>
    <format dxfId="7">
      <pivotArea outline="0" collapsedLevelsAreSubtotals="1" fieldPosition="0"/>
    </format>
    <format dxfId="6">
      <pivotArea field="11" type="button" dataOnly="0" labelOnly="1" outline="0" axis="axisRow" fieldPosition="0"/>
    </format>
    <format dxfId="5">
      <pivotArea dataOnly="0" labelOnly="1" fieldPosition="0">
        <references count="1">
          <reference field="11" count="4">
            <x v="0"/>
            <x v="1"/>
            <x v="2"/>
            <x v="3"/>
          </reference>
        </references>
      </pivotArea>
    </format>
    <format dxfId="4">
      <pivotArea dataOnly="0" labelOnly="1" grandRow="1" outline="0" fieldPosition="0"/>
    </format>
    <format dxfId="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2E78C-275D-4D6D-A13D-A886F982EEF0}"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12">
    <pivotField showAll="0"/>
    <pivotField showAll="0">
      <items count="7">
        <item x="2"/>
        <item x="5"/>
        <item x="1"/>
        <item x="3"/>
        <item x="0"/>
        <item x="4"/>
        <item t="default"/>
      </items>
    </pivotField>
    <pivotField axis="axisRow" showAll="0" measureFilter="1" sortType="ascending">
      <items count="23">
        <item x="6"/>
        <item x="21"/>
        <item x="1"/>
        <item x="4"/>
        <item x="5"/>
        <item x="16"/>
        <item x="19"/>
        <item x="20"/>
        <item x="18"/>
        <item x="9"/>
        <item x="8"/>
        <item x="13"/>
        <item x="15"/>
        <item x="11"/>
        <item x="0"/>
        <item x="7"/>
        <item x="10"/>
        <item x="2"/>
        <item x="17"/>
        <item x="3"/>
        <item x="12"/>
        <item x="14"/>
        <item t="default"/>
      </items>
      <autoSortScope>
        <pivotArea dataOnly="0" outline="0" fieldPosition="0">
          <references count="1">
            <reference field="4294967294" count="1" selected="0">
              <x v="0"/>
            </reference>
          </references>
        </pivotArea>
      </autoSortScope>
    </pivotField>
    <pivotField numFmtId="14" showAll="0">
      <items count="15">
        <item x="0"/>
        <item x="1"/>
        <item x="2"/>
        <item x="3"/>
        <item x="4"/>
        <item x="5"/>
        <item x="6"/>
        <item x="7"/>
        <item x="8"/>
        <item x="9"/>
        <item x="10"/>
        <item x="11"/>
        <item x="12"/>
        <item x="13"/>
        <item t="default"/>
      </items>
    </pivotField>
    <pivotField dataField="1" numFmtId="164" showAll="0"/>
    <pivotField showAll="0"/>
    <pivotField numFmtId="164"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v="10"/>
    </i>
    <i>
      <x v="17"/>
    </i>
    <i>
      <x v="21"/>
    </i>
    <i>
      <x/>
    </i>
    <i>
      <x v="19"/>
    </i>
    <i t="grand">
      <x/>
    </i>
  </rowItems>
  <colItems count="1">
    <i/>
  </colItems>
  <dataFields count="1">
    <dataField name="Sum of Amount" fld="4" baseField="0" baseItem="0"/>
  </dataFields>
  <chartFormats count="2">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3300C5-B002-422D-999D-45AEF300F477}"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2">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axis="axisRow" numFmtId="14" showAll="0">
      <items count="15">
        <item x="0"/>
        <item sd="0" x="1"/>
        <item sd="0" x="2"/>
        <item sd="0" x="3"/>
        <item sd="0" x="4"/>
        <item sd="0" x="5"/>
        <item sd="0" x="6"/>
        <item sd="0" x="7"/>
        <item sd="0" x="8"/>
        <item x="9"/>
        <item x="10"/>
        <item x="11"/>
        <item x="12"/>
        <item x="13"/>
        <item t="default"/>
      </items>
    </pivotField>
    <pivotField dataField="1" numFmtId="164" showAll="0"/>
    <pivotField showAll="0"/>
    <pivotField numFmtId="164" showAll="0"/>
    <pivotField axis="axisRow" showAll="0">
      <items count="9">
        <item x="0"/>
        <item x="4"/>
        <item x="6"/>
        <item x="3"/>
        <item x="7"/>
        <item x="5"/>
        <item x="2"/>
        <item x="1"/>
        <item t="default"/>
      </items>
    </pivotField>
    <pivotField showAll="0"/>
    <pivotField showAll="0"/>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1"/>
    <field x="3"/>
    <field x="7"/>
  </rowFields>
  <rowItems count="4">
    <i>
      <x v="1"/>
    </i>
    <i>
      <x v="2"/>
    </i>
    <i>
      <x v="3"/>
    </i>
    <i t="grand">
      <x/>
    </i>
  </rowItems>
  <colItems count="1">
    <i/>
  </colItems>
  <dataFields count="1">
    <dataField name="Sum of Amount" fld="4" baseField="0" baseItem="0"/>
  </dataFields>
  <chartFormats count="2">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D08C72-9675-4318-99D8-647A0DE79304}"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X11" firstHeaderRow="1" firstDataRow="2" firstDataCol="1"/>
  <pivotFields count="12">
    <pivotField showAll="0"/>
    <pivotField axis="axisRow" showAll="0">
      <items count="7">
        <item x="2"/>
        <item x="5"/>
        <item x="1"/>
        <item x="3"/>
        <item x="0"/>
        <item x="4"/>
        <item t="default"/>
      </items>
    </pivotField>
    <pivotField axis="axisCol"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dataField="1" numFmtId="164" showAll="0"/>
    <pivotField showAll="0"/>
    <pivotField numFmtId="164" showAll="0"/>
    <pivotField showAll="0"/>
    <pivotField showAll="0"/>
    <pivotField showAll="0"/>
    <pivotField showAll="0" defaultSubtotal="0"/>
    <pivotField showAll="0" defaultSubtotal="0">
      <items count="5">
        <item x="0"/>
        <item x="1"/>
        <item x="2"/>
        <item x="3"/>
        <item x="4"/>
      </items>
    </pivotField>
  </pivotFields>
  <rowFields count="1">
    <field x="1"/>
  </rowFields>
  <rowItems count="7">
    <i>
      <x/>
    </i>
    <i>
      <x v="1"/>
    </i>
    <i>
      <x v="2"/>
    </i>
    <i>
      <x v="3"/>
    </i>
    <i>
      <x v="4"/>
    </i>
    <i>
      <x v="5"/>
    </i>
    <i t="grand">
      <x/>
    </i>
  </rowItems>
  <colFields count="1">
    <field x="2"/>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Sum of Amount" fld="4" baseField="0" baseItem="0"/>
  </dataFields>
  <chartFormats count="44">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8"/>
          </reference>
        </references>
      </pivotArea>
    </chartFormat>
    <chartFormat chart="2" format="9" series="1">
      <pivotArea type="data" outline="0" fieldPosition="0">
        <references count="2">
          <reference field="4294967294" count="1" selected="0">
            <x v="0"/>
          </reference>
          <reference field="2" count="1" selected="0">
            <x v="9"/>
          </reference>
        </references>
      </pivotArea>
    </chartFormat>
    <chartFormat chart="2" format="10" series="1">
      <pivotArea type="data" outline="0" fieldPosition="0">
        <references count="2">
          <reference field="4294967294" count="1" selected="0">
            <x v="0"/>
          </reference>
          <reference field="2" count="1" selected="0">
            <x v="10"/>
          </reference>
        </references>
      </pivotArea>
    </chartFormat>
    <chartFormat chart="2" format="11" series="1">
      <pivotArea type="data" outline="0" fieldPosition="0">
        <references count="2">
          <reference field="4294967294" count="1" selected="0">
            <x v="0"/>
          </reference>
          <reference field="2" count="1" selected="0">
            <x v="11"/>
          </reference>
        </references>
      </pivotArea>
    </chartFormat>
    <chartFormat chart="2" format="12" series="1">
      <pivotArea type="data" outline="0" fieldPosition="0">
        <references count="2">
          <reference field="4294967294" count="1" selected="0">
            <x v="0"/>
          </reference>
          <reference field="2" count="1" selected="0">
            <x v="12"/>
          </reference>
        </references>
      </pivotArea>
    </chartFormat>
    <chartFormat chart="2" format="13" series="1">
      <pivotArea type="data" outline="0" fieldPosition="0">
        <references count="2">
          <reference field="4294967294" count="1" selected="0">
            <x v="0"/>
          </reference>
          <reference field="2" count="1" selected="0">
            <x v="13"/>
          </reference>
        </references>
      </pivotArea>
    </chartFormat>
    <chartFormat chart="2" format="14" series="1">
      <pivotArea type="data" outline="0" fieldPosition="0">
        <references count="2">
          <reference field="4294967294" count="1" selected="0">
            <x v="0"/>
          </reference>
          <reference field="2" count="1" selected="0">
            <x v="14"/>
          </reference>
        </references>
      </pivotArea>
    </chartFormat>
    <chartFormat chart="2" format="15" series="1">
      <pivotArea type="data" outline="0" fieldPosition="0">
        <references count="2">
          <reference field="4294967294" count="1" selected="0">
            <x v="0"/>
          </reference>
          <reference field="2" count="1" selected="0">
            <x v="15"/>
          </reference>
        </references>
      </pivotArea>
    </chartFormat>
    <chartFormat chart="2" format="16" series="1">
      <pivotArea type="data" outline="0" fieldPosition="0">
        <references count="2">
          <reference field="4294967294" count="1" selected="0">
            <x v="0"/>
          </reference>
          <reference field="2" count="1" selected="0">
            <x v="16"/>
          </reference>
        </references>
      </pivotArea>
    </chartFormat>
    <chartFormat chart="2" format="17" series="1">
      <pivotArea type="data" outline="0" fieldPosition="0">
        <references count="2">
          <reference field="4294967294" count="1" selected="0">
            <x v="0"/>
          </reference>
          <reference field="2" count="1" selected="0">
            <x v="17"/>
          </reference>
        </references>
      </pivotArea>
    </chartFormat>
    <chartFormat chart="2" format="18" series="1">
      <pivotArea type="data" outline="0" fieldPosition="0">
        <references count="2">
          <reference field="4294967294" count="1" selected="0">
            <x v="0"/>
          </reference>
          <reference field="2" count="1" selected="0">
            <x v="18"/>
          </reference>
        </references>
      </pivotArea>
    </chartFormat>
    <chartFormat chart="2" format="19" series="1">
      <pivotArea type="data" outline="0" fieldPosition="0">
        <references count="2">
          <reference field="4294967294" count="1" selected="0">
            <x v="0"/>
          </reference>
          <reference field="2" count="1" selected="0">
            <x v="19"/>
          </reference>
        </references>
      </pivotArea>
    </chartFormat>
    <chartFormat chart="2" format="20" series="1">
      <pivotArea type="data" outline="0" fieldPosition="0">
        <references count="2">
          <reference field="4294967294" count="1" selected="0">
            <x v="0"/>
          </reference>
          <reference field="2" count="1" selected="0">
            <x v="20"/>
          </reference>
        </references>
      </pivotArea>
    </chartFormat>
    <chartFormat chart="2" format="21" series="1">
      <pivotArea type="data" outline="0" fieldPosition="0">
        <references count="2">
          <reference field="4294967294" count="1" selected="0">
            <x v="0"/>
          </reference>
          <reference field="2" count="1" selected="0">
            <x v="21"/>
          </reference>
        </references>
      </pivotArea>
    </chartFormat>
    <chartFormat chart="5" format="66" series="1">
      <pivotArea type="data" outline="0" fieldPosition="0">
        <references count="2">
          <reference field="4294967294" count="1" selected="0">
            <x v="0"/>
          </reference>
          <reference field="2" count="1" selected="0">
            <x v="0"/>
          </reference>
        </references>
      </pivotArea>
    </chartFormat>
    <chartFormat chart="5" format="67" series="1">
      <pivotArea type="data" outline="0" fieldPosition="0">
        <references count="2">
          <reference field="4294967294" count="1" selected="0">
            <x v="0"/>
          </reference>
          <reference field="2" count="1" selected="0">
            <x v="1"/>
          </reference>
        </references>
      </pivotArea>
    </chartFormat>
    <chartFormat chart="5" format="68" series="1">
      <pivotArea type="data" outline="0" fieldPosition="0">
        <references count="2">
          <reference field="4294967294" count="1" selected="0">
            <x v="0"/>
          </reference>
          <reference field="2" count="1" selected="0">
            <x v="2"/>
          </reference>
        </references>
      </pivotArea>
    </chartFormat>
    <chartFormat chart="5" format="69" series="1">
      <pivotArea type="data" outline="0" fieldPosition="0">
        <references count="2">
          <reference field="4294967294" count="1" selected="0">
            <x v="0"/>
          </reference>
          <reference field="2" count="1" selected="0">
            <x v="3"/>
          </reference>
        </references>
      </pivotArea>
    </chartFormat>
    <chartFormat chart="5" format="70" series="1">
      <pivotArea type="data" outline="0" fieldPosition="0">
        <references count="2">
          <reference field="4294967294" count="1" selected="0">
            <x v="0"/>
          </reference>
          <reference field="2" count="1" selected="0">
            <x v="4"/>
          </reference>
        </references>
      </pivotArea>
    </chartFormat>
    <chartFormat chart="5" format="71" series="1">
      <pivotArea type="data" outline="0" fieldPosition="0">
        <references count="2">
          <reference field="4294967294" count="1" selected="0">
            <x v="0"/>
          </reference>
          <reference field="2" count="1" selected="0">
            <x v="5"/>
          </reference>
        </references>
      </pivotArea>
    </chartFormat>
    <chartFormat chart="5" format="72" series="1">
      <pivotArea type="data" outline="0" fieldPosition="0">
        <references count="2">
          <reference field="4294967294" count="1" selected="0">
            <x v="0"/>
          </reference>
          <reference field="2" count="1" selected="0">
            <x v="6"/>
          </reference>
        </references>
      </pivotArea>
    </chartFormat>
    <chartFormat chart="5" format="73" series="1">
      <pivotArea type="data" outline="0" fieldPosition="0">
        <references count="2">
          <reference field="4294967294" count="1" selected="0">
            <x v="0"/>
          </reference>
          <reference field="2" count="1" selected="0">
            <x v="7"/>
          </reference>
        </references>
      </pivotArea>
    </chartFormat>
    <chartFormat chart="5" format="74" series="1">
      <pivotArea type="data" outline="0" fieldPosition="0">
        <references count="2">
          <reference field="4294967294" count="1" selected="0">
            <x v="0"/>
          </reference>
          <reference field="2" count="1" selected="0">
            <x v="8"/>
          </reference>
        </references>
      </pivotArea>
    </chartFormat>
    <chartFormat chart="5" format="75" series="1">
      <pivotArea type="data" outline="0" fieldPosition="0">
        <references count="2">
          <reference field="4294967294" count="1" selected="0">
            <x v="0"/>
          </reference>
          <reference field="2" count="1" selected="0">
            <x v="9"/>
          </reference>
        </references>
      </pivotArea>
    </chartFormat>
    <chartFormat chart="5" format="76" series="1">
      <pivotArea type="data" outline="0" fieldPosition="0">
        <references count="2">
          <reference field="4294967294" count="1" selected="0">
            <x v="0"/>
          </reference>
          <reference field="2" count="1" selected="0">
            <x v="10"/>
          </reference>
        </references>
      </pivotArea>
    </chartFormat>
    <chartFormat chart="5" format="77" series="1">
      <pivotArea type="data" outline="0" fieldPosition="0">
        <references count="2">
          <reference field="4294967294" count="1" selected="0">
            <x v="0"/>
          </reference>
          <reference field="2" count="1" selected="0">
            <x v="11"/>
          </reference>
        </references>
      </pivotArea>
    </chartFormat>
    <chartFormat chart="5" format="78" series="1">
      <pivotArea type="data" outline="0" fieldPosition="0">
        <references count="2">
          <reference field="4294967294" count="1" selected="0">
            <x v="0"/>
          </reference>
          <reference field="2" count="1" selected="0">
            <x v="12"/>
          </reference>
        </references>
      </pivotArea>
    </chartFormat>
    <chartFormat chart="5" format="79" series="1">
      <pivotArea type="data" outline="0" fieldPosition="0">
        <references count="2">
          <reference field="4294967294" count="1" selected="0">
            <x v="0"/>
          </reference>
          <reference field="2" count="1" selected="0">
            <x v="13"/>
          </reference>
        </references>
      </pivotArea>
    </chartFormat>
    <chartFormat chart="5" format="80" series="1">
      <pivotArea type="data" outline="0" fieldPosition="0">
        <references count="2">
          <reference field="4294967294" count="1" selected="0">
            <x v="0"/>
          </reference>
          <reference field="2" count="1" selected="0">
            <x v="14"/>
          </reference>
        </references>
      </pivotArea>
    </chartFormat>
    <chartFormat chart="5" format="81" series="1">
      <pivotArea type="data" outline="0" fieldPosition="0">
        <references count="2">
          <reference field="4294967294" count="1" selected="0">
            <x v="0"/>
          </reference>
          <reference field="2" count="1" selected="0">
            <x v="15"/>
          </reference>
        </references>
      </pivotArea>
    </chartFormat>
    <chartFormat chart="5" format="82" series="1">
      <pivotArea type="data" outline="0" fieldPosition="0">
        <references count="2">
          <reference field="4294967294" count="1" selected="0">
            <x v="0"/>
          </reference>
          <reference field="2" count="1" selected="0">
            <x v="16"/>
          </reference>
        </references>
      </pivotArea>
    </chartFormat>
    <chartFormat chart="5" format="83" series="1">
      <pivotArea type="data" outline="0" fieldPosition="0">
        <references count="2">
          <reference field="4294967294" count="1" selected="0">
            <x v="0"/>
          </reference>
          <reference field="2" count="1" selected="0">
            <x v="17"/>
          </reference>
        </references>
      </pivotArea>
    </chartFormat>
    <chartFormat chart="5" format="84" series="1">
      <pivotArea type="data" outline="0" fieldPosition="0">
        <references count="2">
          <reference field="4294967294" count="1" selected="0">
            <x v="0"/>
          </reference>
          <reference field="2" count="1" selected="0">
            <x v="18"/>
          </reference>
        </references>
      </pivotArea>
    </chartFormat>
    <chartFormat chart="5" format="85" series="1">
      <pivotArea type="data" outline="0" fieldPosition="0">
        <references count="2">
          <reference field="4294967294" count="1" selected="0">
            <x v="0"/>
          </reference>
          <reference field="2" count="1" selected="0">
            <x v="19"/>
          </reference>
        </references>
      </pivotArea>
    </chartFormat>
    <chartFormat chart="5" format="86" series="1">
      <pivotArea type="data" outline="0" fieldPosition="0">
        <references count="2">
          <reference field="4294967294" count="1" selected="0">
            <x v="0"/>
          </reference>
          <reference field="2" count="1" selected="0">
            <x v="20"/>
          </reference>
        </references>
      </pivotArea>
    </chartFormat>
    <chartFormat chart="5" format="87" series="1">
      <pivotArea type="data" outline="0" fieldPosition="0">
        <references count="2">
          <reference field="4294967294" count="1" selected="0">
            <x v="0"/>
          </reference>
          <reference field="2"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F6D788-D7FB-4142-B76E-509A625AA074}"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12">
    <pivotField axis="axisRow" showAll="0" measureFilter="1" sortType="descending">
      <items count="26">
        <item x="18"/>
        <item x="1"/>
        <item x="13"/>
        <item x="7"/>
        <item x="4"/>
        <item x="11"/>
        <item x="9"/>
        <item x="22"/>
        <item x="20"/>
        <item x="10"/>
        <item x="16"/>
        <item x="0"/>
        <item x="3"/>
        <item x="15"/>
        <item x="5"/>
        <item x="2"/>
        <item x="23"/>
        <item x="17"/>
        <item x="14"/>
        <item x="24"/>
        <item x="21"/>
        <item x="6"/>
        <item x="12"/>
        <item x="8"/>
        <item x="19"/>
        <item t="default"/>
      </items>
      <autoSortScope>
        <pivotArea dataOnly="0" outline="0" fieldPosition="0">
          <references count="1">
            <reference field="4294967294" count="1" selected="0">
              <x v="0"/>
            </reference>
          </references>
        </pivotArea>
      </autoSortScope>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dataField="1" numFmtId="164" showAll="0"/>
    <pivotField showAll="0"/>
    <pivotField numFmtId="164" showAll="0"/>
    <pivotField showAll="0"/>
    <pivotField showAll="0"/>
    <pivotField showAll="0"/>
    <pivotField showAll="0" defaultSubtotal="0"/>
    <pivotField showAll="0" defaultSubtotal="0">
      <items count="5">
        <item x="0"/>
        <item x="1"/>
        <item x="2"/>
        <item x="3"/>
        <item x="4"/>
      </items>
    </pivotField>
  </pivotFields>
  <rowFields count="1">
    <field x="0"/>
  </rowFields>
  <rowItems count="6">
    <i>
      <x v="19"/>
    </i>
    <i>
      <x v="4"/>
    </i>
    <i>
      <x v="7"/>
    </i>
    <i>
      <x v="8"/>
    </i>
    <i>
      <x v="21"/>
    </i>
    <i t="grand">
      <x/>
    </i>
  </rowItems>
  <colItems count="1">
    <i/>
  </colItems>
  <dataFields count="1">
    <dataField name="Sum of Amount"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F94BFB-31A9-45EB-B8DB-18E988E55631}"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2" firstHeaderRow="1" firstDataRow="1" firstDataCol="1"/>
  <pivotFields count="12">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pivotField dataField="1" numFmtId="164" showAll="0"/>
    <pivotField showAll="0"/>
    <pivotField numFmtId="164" showAll="0"/>
    <pivotField axis="axisRow" showAll="0">
      <items count="9">
        <item x="0"/>
        <item x="4"/>
        <item x="6"/>
        <item x="3"/>
        <item x="7"/>
        <item x="5"/>
        <item x="2"/>
        <item x="1"/>
        <item t="default"/>
      </items>
    </pivotField>
    <pivotField showAll="0"/>
    <pivotField showAll="0"/>
    <pivotField showAll="0" defaultSubtotal="0"/>
    <pivotField showAll="0" defaultSubtotal="0">
      <items count="5">
        <item x="0"/>
        <item x="1"/>
        <item x="2"/>
        <item x="3"/>
        <item x="4"/>
      </items>
    </pivotField>
  </pivotFields>
  <rowFields count="1">
    <field x="7"/>
  </rowFields>
  <rowItems count="9">
    <i>
      <x/>
    </i>
    <i>
      <x v="1"/>
    </i>
    <i>
      <x v="2"/>
    </i>
    <i>
      <x v="3"/>
    </i>
    <i>
      <x v="4"/>
    </i>
    <i>
      <x v="5"/>
    </i>
    <i>
      <x v="6"/>
    </i>
    <i>
      <x v="7"/>
    </i>
    <i t="grand">
      <x/>
    </i>
  </rowItems>
  <colItems count="1">
    <i/>
  </colItems>
  <dataFields count="1">
    <dataField name="Sum of Amount" fld="4" baseField="0" baseItem="0"/>
  </dataFields>
  <chartFormats count="2">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8B64101-1B7D-4D8C-9570-FB3B687BA3C2}" sourceName="Country">
  <pivotTables>
    <pivotTable tabId="11" name="PivotTable5"/>
    <pivotTable tabId="12" name="PivotTable7"/>
    <pivotTable tabId="14" name="PivotTable4"/>
    <pivotTable tabId="13" name="PivotTable2"/>
    <pivotTable tabId="10" name="PivotTable6"/>
  </pivotTables>
  <data>
    <tabular pivotCacheId="942265740">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00EB0F8-D323-4435-AD37-05713F351AF5}" sourceName="Product">
  <pivotTables>
    <pivotTable tabId="11" name="PivotTable5"/>
    <pivotTable tabId="12" name="PivotTable7"/>
    <pivotTable tabId="14" name="PivotTable4"/>
    <pivotTable tabId="13" name="PivotTable2"/>
    <pivotTable tabId="10" name="PivotTable6"/>
  </pivotTables>
  <data>
    <tabular pivotCacheId="942265740">
      <items count="22">
        <i x="6" s="1"/>
        <i x="21" s="1"/>
        <i x="1" s="1"/>
        <i x="4" s="1"/>
        <i x="5" s="1"/>
        <i x="16" s="1"/>
        <i x="19" s="1"/>
        <i x="20" s="1"/>
        <i x="18" s="1"/>
        <i x="9" s="1"/>
        <i x="8" s="1"/>
        <i x="13" s="1"/>
        <i x="15" s="1"/>
        <i x="11" s="1"/>
        <i x="0" s="1"/>
        <i x="7" s="1"/>
        <i x="10" s="1"/>
        <i x="2" s="1"/>
        <i x="17" s="1"/>
        <i x="3" s="1"/>
        <i x="12"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DCCD891-083E-421C-AC81-BF574C80F2F5}" sourceName="Years">
  <pivotTables>
    <pivotTable tabId="11" name="PivotTable5"/>
    <pivotTable tabId="12" name="PivotTable7"/>
    <pivotTable tabId="14" name="PivotTable4"/>
    <pivotTable tabId="13" name="PivotTable2"/>
    <pivotTable tabId="10" name="PivotTable6"/>
  </pivotTables>
  <data>
    <tabular pivotCacheId="94226574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30A2FEE-F198-47DC-9896-3FFA8E06E1AB}" cache="Slicer_Country" caption="Country" rowHeight="257175"/>
  <slicer name="Product" xr10:uid="{35148189-2B07-4AF2-B95A-AAB9C5E0CDAC}" cache="Slicer_Product" caption="Product" rowHeight="257175"/>
  <slicer name="Years" xr10:uid="{BD8C658A-8FCC-4328-AC81-83F07824B698}" cache="Slicer_Years" caption="Year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3283" totalsRowShown="0">
  <autoFilter ref="A1:J3283" xr:uid="{00000000-0009-0000-0100-000001000000}"/>
  <tableColumns count="10">
    <tableColumn id="1" xr3:uid="{00000000-0010-0000-0000-000001000000}" name="Sales Person"/>
    <tableColumn id="2" xr3:uid="{00000000-0010-0000-0000-000002000000}" name="Country"/>
    <tableColumn id="3" xr3:uid="{00000000-0010-0000-0000-000003000000}" name="Product"/>
    <tableColumn id="4" xr3:uid="{00000000-0010-0000-0000-000004000000}" name="Date" dataDxfId="2"/>
    <tableColumn id="5" xr3:uid="{00000000-0010-0000-0000-000005000000}" name="Amount" dataDxfId="1"/>
    <tableColumn id="6" xr3:uid="{00000000-0010-0000-0000-000006000000}" name="Boxes Shipped"/>
    <tableColumn id="7" xr3:uid="{00000000-0010-0000-0000-000007000000}" name="price per box" dataDxfId="0">
      <calculatedColumnFormula>E2/F2</calculatedColumnFormula>
    </tableColumn>
    <tableColumn id="8" xr3:uid="{00000000-0010-0000-0000-000008000000}" name="Month">
      <calculatedColumnFormula>TEXT(D2, "mmmm")</calculatedColumnFormula>
    </tableColumn>
    <tableColumn id="9" xr3:uid="{00000000-0010-0000-0000-000009000000}" name="Quarter">
      <calculatedColumnFormula>"Q" &amp; ROUNDUP(MONTH(D2)/3,0)</calculatedColumnFormula>
    </tableColumn>
    <tableColumn id="10" xr3:uid="{00000000-0010-0000-0000-00000A000000}" name="Profit/Margin">
      <calculatedColumnFormula>IF(E2 &gt; 500, "Large", "Small")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50000"/>
          </a:schemeClr>
        </a:solidFill>
      </a:spPr>
      <a:bodyPr vertOverflow="clip" horzOverflow="clip" rtlCol="0" anchor="ctr"/>
      <a:lstStyle>
        <a:defPPr algn="ctr">
          <a:defRPr sz="2800" b="1" i="0" u="none" strike="noStrike">
            <a:solidFill>
              <a:schemeClr val="tx1">
                <a:lumMod val="50000"/>
                <a:lumOff val="50000"/>
              </a:schemeClr>
            </a:solidFill>
            <a:latin typeface="Sylfaen"/>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E7E3-78AB-4768-8096-778891315FB1}">
  <dimension ref="A3:M8"/>
  <sheetViews>
    <sheetView showGridLines="0" topLeftCell="A47" workbookViewId="0">
      <selection activeCell="F64" sqref="F64:F67"/>
    </sheetView>
  </sheetViews>
  <sheetFormatPr defaultRowHeight="15" x14ac:dyDescent="0.25"/>
  <cols>
    <col min="1" max="1" width="13.5" style="6" bestFit="1" customWidth="1"/>
    <col min="2" max="2" width="14.75" style="6" bestFit="1" customWidth="1"/>
    <col min="3" max="3" width="18.75" style="6" bestFit="1" customWidth="1"/>
    <col min="4" max="4" width="14.625" style="6" bestFit="1" customWidth="1"/>
    <col min="5" max="8" width="9" style="6"/>
    <col min="9" max="9" width="13.5" style="6" bestFit="1" customWidth="1"/>
    <col min="10" max="16384" width="9" style="6"/>
  </cols>
  <sheetData>
    <row r="3" spans="1:13" x14ac:dyDescent="0.25">
      <c r="A3" s="6" t="s">
        <v>64</v>
      </c>
      <c r="B3" s="6" t="s">
        <v>63</v>
      </c>
      <c r="C3" s="6" t="s">
        <v>80</v>
      </c>
      <c r="D3" s="6" t="s">
        <v>79</v>
      </c>
      <c r="I3" s="7">
        <f>GETPIVOTDATA("Sum of Amount",$A$3)</f>
        <v>19791571.859999992</v>
      </c>
      <c r="M3" s="12">
        <f>GETPIVOTDATA("Average of Amount",$A$3)</f>
        <v>6030.3387751371092</v>
      </c>
    </row>
    <row r="4" spans="1:13" x14ac:dyDescent="0.25">
      <c r="A4" s="8" t="s">
        <v>75</v>
      </c>
      <c r="B4" s="9"/>
      <c r="C4" s="9"/>
      <c r="D4" s="10"/>
      <c r="M4" s="13">
        <f>GETPIVOTDATA("YoY Growth %",$A$3,"Years",2023)</f>
        <v>7.4350071357819597E-2</v>
      </c>
    </row>
    <row r="5" spans="1:13" x14ac:dyDescent="0.25">
      <c r="A5" s="8" t="s">
        <v>76</v>
      </c>
      <c r="B5" s="9">
        <v>6183625</v>
      </c>
      <c r="C5" s="9">
        <v>5652.3080438756851</v>
      </c>
      <c r="D5" s="10"/>
    </row>
    <row r="6" spans="1:13" x14ac:dyDescent="0.25">
      <c r="A6" s="8" t="s">
        <v>77</v>
      </c>
      <c r="B6" s="9">
        <v>6643377.9599999972</v>
      </c>
      <c r="C6" s="9">
        <v>6072.5575502742204</v>
      </c>
      <c r="D6" s="10">
        <v>7.4350071357819597E-2</v>
      </c>
      <c r="I6" s="11"/>
    </row>
    <row r="7" spans="1:13" x14ac:dyDescent="0.25">
      <c r="A7" s="8" t="s">
        <v>78</v>
      </c>
      <c r="B7" s="9">
        <v>6964568.8999999957</v>
      </c>
      <c r="C7" s="9">
        <v>6366.1507312614222</v>
      </c>
      <c r="D7" s="10">
        <v>4.8347533729662835E-2</v>
      </c>
    </row>
    <row r="8" spans="1:13" x14ac:dyDescent="0.25">
      <c r="A8" s="8" t="s">
        <v>73</v>
      </c>
      <c r="B8" s="9">
        <v>19791571.859999992</v>
      </c>
      <c r="C8" s="9">
        <v>6030.3387751371092</v>
      </c>
      <c r="D8" s="10"/>
      <c r="H8" s="11"/>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F49B-7D81-4EBB-A7EA-F1237B4FADEC}">
  <dimension ref="A3:B9"/>
  <sheetViews>
    <sheetView topLeftCell="A5" workbookViewId="0">
      <selection activeCell="B10" sqref="A3:B26"/>
    </sheetView>
  </sheetViews>
  <sheetFormatPr defaultRowHeight="15" x14ac:dyDescent="0.25"/>
  <cols>
    <col min="1" max="1" width="16.75" bestFit="1" customWidth="1"/>
    <col min="2" max="2" width="14.75" bestFit="1" customWidth="1"/>
  </cols>
  <sheetData>
    <row r="3" spans="1:2" x14ac:dyDescent="0.25">
      <c r="A3" s="4" t="s">
        <v>64</v>
      </c>
      <c r="B3" t="s">
        <v>63</v>
      </c>
    </row>
    <row r="4" spans="1:2" x14ac:dyDescent="0.25">
      <c r="A4" s="5" t="s">
        <v>30</v>
      </c>
      <c r="B4" s="3">
        <v>996947.96000000043</v>
      </c>
    </row>
    <row r="5" spans="1:2" x14ac:dyDescent="0.25">
      <c r="A5" s="5" t="s">
        <v>13</v>
      </c>
      <c r="B5" s="3">
        <v>1036591.0900000002</v>
      </c>
    </row>
    <row r="6" spans="1:2" x14ac:dyDescent="0.25">
      <c r="A6" s="5" t="s">
        <v>44</v>
      </c>
      <c r="B6" s="3">
        <v>1054257.0000000002</v>
      </c>
    </row>
    <row r="7" spans="1:2" x14ac:dyDescent="0.25">
      <c r="A7" s="5" t="s">
        <v>22</v>
      </c>
      <c r="B7" s="3">
        <v>1087659.3499999992</v>
      </c>
    </row>
    <row r="8" spans="1:2" x14ac:dyDescent="0.25">
      <c r="A8" s="5" t="s">
        <v>16</v>
      </c>
      <c r="B8" s="3">
        <v>1120201.0899999999</v>
      </c>
    </row>
    <row r="9" spans="1:2" x14ac:dyDescent="0.25">
      <c r="A9" s="5" t="s">
        <v>73</v>
      </c>
      <c r="B9" s="3">
        <v>5295656.49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EAB7-3C7F-43E8-B053-1C30F1594503}">
  <dimension ref="A3:B7"/>
  <sheetViews>
    <sheetView workbookViewId="0">
      <selection activeCell="A5" sqref="A5"/>
    </sheetView>
  </sheetViews>
  <sheetFormatPr defaultRowHeight="15" x14ac:dyDescent="0.25"/>
  <cols>
    <col min="1" max="1" width="13.5" bestFit="1" customWidth="1"/>
    <col min="2" max="2" width="14.75" bestFit="1" customWidth="1"/>
  </cols>
  <sheetData>
    <row r="3" spans="1:2" x14ac:dyDescent="0.25">
      <c r="A3" s="4" t="s">
        <v>64</v>
      </c>
      <c r="B3" t="s">
        <v>63</v>
      </c>
    </row>
    <row r="4" spans="1:2" x14ac:dyDescent="0.25">
      <c r="A4" s="5" t="s">
        <v>76</v>
      </c>
      <c r="B4" s="3">
        <v>6183625</v>
      </c>
    </row>
    <row r="5" spans="1:2" x14ac:dyDescent="0.25">
      <c r="A5" s="5" t="s">
        <v>77</v>
      </c>
      <c r="B5" s="3">
        <v>6643377.9599999972</v>
      </c>
    </row>
    <row r="6" spans="1:2" x14ac:dyDescent="0.25">
      <c r="A6" s="5" t="s">
        <v>78</v>
      </c>
      <c r="B6" s="3">
        <v>6964568.8999999957</v>
      </c>
    </row>
    <row r="7" spans="1:2" x14ac:dyDescent="0.25">
      <c r="A7" s="5" t="s">
        <v>73</v>
      </c>
      <c r="B7" s="3">
        <v>19791571.859999992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FBC0-F866-4E48-B9E1-BD90D22AFDE8}">
  <dimension ref="A3:X11"/>
  <sheetViews>
    <sheetView topLeftCell="A8" workbookViewId="0">
      <selection activeCell="H21" sqref="H21"/>
    </sheetView>
  </sheetViews>
  <sheetFormatPr defaultRowHeight="15" x14ac:dyDescent="0.25"/>
  <cols>
    <col min="1" max="1" width="14.75" bestFit="1" customWidth="1"/>
    <col min="2" max="2" width="16" bestFit="1" customWidth="1"/>
    <col min="3" max="3" width="15.25" bestFit="1" customWidth="1"/>
    <col min="4" max="4" width="14.75" bestFit="1" customWidth="1"/>
    <col min="5" max="5" width="17" bestFit="1" customWidth="1"/>
    <col min="6" max="6" width="11.375" bestFit="1" customWidth="1"/>
    <col min="7" max="7" width="14.25" bestFit="1" customWidth="1"/>
    <col min="8" max="8" width="19.625" bestFit="1" customWidth="1"/>
    <col min="9" max="9" width="20" bestFit="1" customWidth="1"/>
    <col min="10" max="10" width="22.375" bestFit="1" customWidth="1"/>
    <col min="11" max="11" width="13.875" bestFit="1" customWidth="1"/>
    <col min="12" max="12" width="11.25" bestFit="1" customWidth="1"/>
    <col min="13" max="13" width="15.875" bestFit="1" customWidth="1"/>
    <col min="14" max="14" width="20.875" bestFit="1" customWidth="1"/>
    <col min="15" max="15" width="11.25" bestFit="1" customWidth="1"/>
    <col min="16" max="16" width="16.125" bestFit="1" customWidth="1"/>
    <col min="17" max="17" width="13.75" bestFit="1" customWidth="1"/>
    <col min="18" max="18" width="20" bestFit="1" customWidth="1"/>
    <col min="19" max="19" width="19.5" bestFit="1" customWidth="1"/>
    <col min="20" max="20" width="16.625" bestFit="1" customWidth="1"/>
    <col min="21" max="21" width="17.75" bestFit="1" customWidth="1"/>
    <col min="22" max="22" width="17.875" bestFit="1" customWidth="1"/>
    <col min="23" max="23" width="11.625" bestFit="1" customWidth="1"/>
    <col min="24" max="24" width="13.625" bestFit="1" customWidth="1"/>
  </cols>
  <sheetData>
    <row r="3" spans="1:24" x14ac:dyDescent="0.25">
      <c r="A3" s="4" t="s">
        <v>63</v>
      </c>
      <c r="B3" s="4" t="s">
        <v>74</v>
      </c>
    </row>
    <row r="4" spans="1:24" x14ac:dyDescent="0.25">
      <c r="A4" s="4" t="s">
        <v>64</v>
      </c>
      <c r="B4" t="s">
        <v>22</v>
      </c>
      <c r="C4" t="s">
        <v>58</v>
      </c>
      <c r="D4" t="s">
        <v>11</v>
      </c>
      <c r="E4" t="s">
        <v>18</v>
      </c>
      <c r="F4" t="s">
        <v>20</v>
      </c>
      <c r="G4" t="s">
        <v>47</v>
      </c>
      <c r="H4" t="s">
        <v>56</v>
      </c>
      <c r="I4" t="s">
        <v>57</v>
      </c>
      <c r="J4" t="s">
        <v>52</v>
      </c>
      <c r="K4" t="s">
        <v>32</v>
      </c>
      <c r="L4" t="s">
        <v>30</v>
      </c>
      <c r="M4" t="s">
        <v>42</v>
      </c>
      <c r="N4" t="s">
        <v>45</v>
      </c>
      <c r="O4" t="s">
        <v>37</v>
      </c>
      <c r="P4" t="s">
        <v>8</v>
      </c>
      <c r="Q4" t="s">
        <v>27</v>
      </c>
      <c r="R4" t="s">
        <v>35</v>
      </c>
      <c r="S4" t="s">
        <v>13</v>
      </c>
      <c r="T4" t="s">
        <v>51</v>
      </c>
      <c r="U4" t="s">
        <v>16</v>
      </c>
      <c r="V4" t="s">
        <v>39</v>
      </c>
      <c r="W4" t="s">
        <v>44</v>
      </c>
      <c r="X4" t="s">
        <v>73</v>
      </c>
    </row>
    <row r="5" spans="1:24" x14ac:dyDescent="0.25">
      <c r="A5" s="5" t="s">
        <v>15</v>
      </c>
      <c r="B5" s="3">
        <v>280066.82</v>
      </c>
      <c r="C5" s="3">
        <v>127540.45999999998</v>
      </c>
      <c r="D5" s="3">
        <v>123398.33000000002</v>
      </c>
      <c r="E5" s="3">
        <v>176247.62</v>
      </c>
      <c r="F5" s="3">
        <v>89658.710000000021</v>
      </c>
      <c r="G5" s="3">
        <v>150814</v>
      </c>
      <c r="H5" s="3">
        <v>185739.43999999994</v>
      </c>
      <c r="I5" s="3">
        <v>128775.09000000001</v>
      </c>
      <c r="J5" s="3">
        <v>119163.18999999999</v>
      </c>
      <c r="K5" s="3">
        <v>165478.55999999997</v>
      </c>
      <c r="L5" s="3">
        <v>208469.73</v>
      </c>
      <c r="M5" s="3">
        <v>167568.73999999996</v>
      </c>
      <c r="N5" s="3">
        <v>149820.03</v>
      </c>
      <c r="O5" s="3">
        <v>197947.30000000005</v>
      </c>
      <c r="P5" s="3">
        <v>160465.4</v>
      </c>
      <c r="Q5" s="3">
        <v>191433.98999999996</v>
      </c>
      <c r="R5" s="3">
        <v>196655.35</v>
      </c>
      <c r="S5" s="3">
        <v>131349.85</v>
      </c>
      <c r="T5" s="3">
        <v>169015.14</v>
      </c>
      <c r="U5" s="3">
        <v>145313.03999999998</v>
      </c>
      <c r="V5" s="3">
        <v>196749.39999999997</v>
      </c>
      <c r="W5" s="3">
        <v>184774.16</v>
      </c>
      <c r="X5" s="3">
        <v>3646444.35</v>
      </c>
    </row>
    <row r="6" spans="1:24" x14ac:dyDescent="0.25">
      <c r="A6" s="5" t="s">
        <v>29</v>
      </c>
      <c r="B6" s="3">
        <v>141804.26999999996</v>
      </c>
      <c r="C6" s="3">
        <v>189698.50999999995</v>
      </c>
      <c r="D6" s="3">
        <v>120293.78</v>
      </c>
      <c r="E6" s="3">
        <v>140413.72</v>
      </c>
      <c r="F6" s="3">
        <v>134870.95000000001</v>
      </c>
      <c r="G6" s="3">
        <v>135514.43000000002</v>
      </c>
      <c r="H6" s="3">
        <v>116561.38</v>
      </c>
      <c r="I6" s="3">
        <v>106229.98</v>
      </c>
      <c r="J6" s="3">
        <v>183459.19</v>
      </c>
      <c r="K6" s="3">
        <v>153041.34000000003</v>
      </c>
      <c r="L6" s="3">
        <v>77787.02</v>
      </c>
      <c r="M6" s="3">
        <v>159492.52999999997</v>
      </c>
      <c r="N6" s="3">
        <v>161162.28</v>
      </c>
      <c r="O6" s="3">
        <v>134345.75</v>
      </c>
      <c r="P6" s="3">
        <v>49971.85</v>
      </c>
      <c r="Q6" s="3">
        <v>164970.88999999998</v>
      </c>
      <c r="R6" s="3">
        <v>117843.72000000003</v>
      </c>
      <c r="S6" s="3">
        <v>199711.91999999998</v>
      </c>
      <c r="T6" s="3">
        <v>41308.060000000005</v>
      </c>
      <c r="U6" s="3">
        <v>218122.4</v>
      </c>
      <c r="V6" s="3">
        <v>185301.81</v>
      </c>
      <c r="W6" s="3">
        <v>146589.87</v>
      </c>
      <c r="X6" s="3">
        <v>3078495.6500000004</v>
      </c>
    </row>
    <row r="7" spans="1:24" x14ac:dyDescent="0.25">
      <c r="A7" s="5" t="s">
        <v>10</v>
      </c>
      <c r="B7" s="3">
        <v>206943.76</v>
      </c>
      <c r="C7" s="3">
        <v>110588.32</v>
      </c>
      <c r="D7" s="3">
        <v>179605.93999999997</v>
      </c>
      <c r="E7" s="3">
        <v>135933.68</v>
      </c>
      <c r="F7" s="3">
        <v>187638.02</v>
      </c>
      <c r="G7" s="3">
        <v>163100.6</v>
      </c>
      <c r="H7" s="3">
        <v>88893.04</v>
      </c>
      <c r="I7" s="3">
        <v>114265.09999999999</v>
      </c>
      <c r="J7" s="3">
        <v>89730.06</v>
      </c>
      <c r="K7" s="3">
        <v>148303.51</v>
      </c>
      <c r="L7" s="3">
        <v>252107.53999999995</v>
      </c>
      <c r="M7" s="3">
        <v>58842.21</v>
      </c>
      <c r="N7" s="3">
        <v>60325.229999999996</v>
      </c>
      <c r="O7" s="3">
        <v>77299.400000000009</v>
      </c>
      <c r="P7" s="3">
        <v>217420.06000000006</v>
      </c>
      <c r="Q7" s="3">
        <v>75316.74000000002</v>
      </c>
      <c r="R7" s="3">
        <v>217251.03</v>
      </c>
      <c r="S7" s="3">
        <v>247607.77999999994</v>
      </c>
      <c r="T7" s="3">
        <v>126311.03000000001</v>
      </c>
      <c r="U7" s="3">
        <v>241770.37</v>
      </c>
      <c r="V7" s="3">
        <v>240993.15999999992</v>
      </c>
      <c r="W7" s="3">
        <v>103484.24999999999</v>
      </c>
      <c r="X7" s="3">
        <v>3343730.8299999991</v>
      </c>
    </row>
    <row r="8" spans="1:24" x14ac:dyDescent="0.25">
      <c r="A8" s="5" t="s">
        <v>21</v>
      </c>
      <c r="B8" s="3">
        <v>114195.93999999999</v>
      </c>
      <c r="C8" s="3">
        <v>116637.66000000002</v>
      </c>
      <c r="D8" s="3">
        <v>215881.58000000002</v>
      </c>
      <c r="E8" s="3">
        <v>104141.19</v>
      </c>
      <c r="F8" s="3">
        <v>177409.92999999996</v>
      </c>
      <c r="G8" s="3">
        <v>93512.63</v>
      </c>
      <c r="H8" s="3">
        <v>146569.54</v>
      </c>
      <c r="I8" s="3">
        <v>109660.73000000001</v>
      </c>
      <c r="J8" s="3">
        <v>66397.55</v>
      </c>
      <c r="K8" s="3">
        <v>101281.46999999999</v>
      </c>
      <c r="L8" s="3">
        <v>190830.28000000003</v>
      </c>
      <c r="M8" s="3">
        <v>150992.70000000001</v>
      </c>
      <c r="N8" s="3">
        <v>161257.90999999997</v>
      </c>
      <c r="O8" s="3">
        <v>117687.41999999998</v>
      </c>
      <c r="P8" s="3">
        <v>277979.24999999994</v>
      </c>
      <c r="Q8" s="3">
        <v>100236.41000000002</v>
      </c>
      <c r="R8" s="3">
        <v>169172.80000000002</v>
      </c>
      <c r="S8" s="3">
        <v>99434.599999999991</v>
      </c>
      <c r="T8" s="3">
        <v>104449.00000000001</v>
      </c>
      <c r="U8" s="3">
        <v>125698.28999999996</v>
      </c>
      <c r="V8" s="3">
        <v>115175.04000000001</v>
      </c>
      <c r="W8" s="3">
        <v>185052.11999999997</v>
      </c>
      <c r="X8" s="3">
        <v>3043654.04</v>
      </c>
    </row>
    <row r="9" spans="1:24" x14ac:dyDescent="0.25">
      <c r="A9" s="5" t="s">
        <v>7</v>
      </c>
      <c r="B9" s="3">
        <v>160112.11999999997</v>
      </c>
      <c r="C9" s="3">
        <v>66751.89</v>
      </c>
      <c r="D9" s="3">
        <v>132181.76000000001</v>
      </c>
      <c r="E9" s="3">
        <v>251626.82000000007</v>
      </c>
      <c r="F9" s="3">
        <v>109266.08</v>
      </c>
      <c r="G9" s="3">
        <v>190853.25000000006</v>
      </c>
      <c r="H9" s="3">
        <v>125906.45999999996</v>
      </c>
      <c r="I9" s="3">
        <v>163661.34999999998</v>
      </c>
      <c r="J9" s="3">
        <v>181114.14</v>
      </c>
      <c r="K9" s="3">
        <v>131735.22</v>
      </c>
      <c r="L9" s="3">
        <v>124547.98999999999</v>
      </c>
      <c r="M9" s="3">
        <v>137068.31</v>
      </c>
      <c r="N9" s="3">
        <v>136823.15999999997</v>
      </c>
      <c r="O9" s="3">
        <v>185300.82999999996</v>
      </c>
      <c r="P9" s="3">
        <v>81764.819999999992</v>
      </c>
      <c r="Q9" s="3">
        <v>134820.93000000002</v>
      </c>
      <c r="R9" s="3">
        <v>80994.860000000015</v>
      </c>
      <c r="S9" s="3">
        <v>252099.20000000001</v>
      </c>
      <c r="T9" s="3">
        <v>139177.54999999999</v>
      </c>
      <c r="U9" s="3">
        <v>244456.77000000002</v>
      </c>
      <c r="V9" s="3">
        <v>118162.52999999998</v>
      </c>
      <c r="W9" s="3">
        <v>216962.86</v>
      </c>
      <c r="X9" s="3">
        <v>3365388.8999999994</v>
      </c>
    </row>
    <row r="10" spans="1:24" x14ac:dyDescent="0.25">
      <c r="A10" s="5" t="s">
        <v>26</v>
      </c>
      <c r="B10" s="3">
        <v>184536.44000000006</v>
      </c>
      <c r="C10" s="3">
        <v>66129.38</v>
      </c>
      <c r="D10" s="3">
        <v>183906.85</v>
      </c>
      <c r="E10" s="3">
        <v>151670.41999999998</v>
      </c>
      <c r="F10" s="3">
        <v>138371.97999999998</v>
      </c>
      <c r="G10" s="3">
        <v>156659.74000000002</v>
      </c>
      <c r="H10" s="3">
        <v>135415.81</v>
      </c>
      <c r="I10" s="3">
        <v>119923.9</v>
      </c>
      <c r="J10" s="3">
        <v>133198.78000000003</v>
      </c>
      <c r="K10" s="3">
        <v>122405.47</v>
      </c>
      <c r="L10" s="3">
        <v>143205.4</v>
      </c>
      <c r="M10" s="3">
        <v>155314.47000000003</v>
      </c>
      <c r="N10" s="3">
        <v>215819.42000000004</v>
      </c>
      <c r="O10" s="3">
        <v>153692.91999999998</v>
      </c>
      <c r="P10" s="3">
        <v>117388.16999999998</v>
      </c>
      <c r="Q10" s="3">
        <v>157291.89000000001</v>
      </c>
      <c r="R10" s="3">
        <v>163427.96999999994</v>
      </c>
      <c r="S10" s="3">
        <v>106387.74</v>
      </c>
      <c r="T10" s="3">
        <v>265127.63</v>
      </c>
      <c r="U10" s="3">
        <v>144840.22</v>
      </c>
      <c r="V10" s="3">
        <v>81749.75</v>
      </c>
      <c r="W10" s="3">
        <v>217393.74000000005</v>
      </c>
      <c r="X10" s="3">
        <v>3313858.0900000003</v>
      </c>
    </row>
    <row r="11" spans="1:24" x14ac:dyDescent="0.25">
      <c r="A11" s="5" t="s">
        <v>73</v>
      </c>
      <c r="B11" s="3">
        <v>1087659.3500000001</v>
      </c>
      <c r="C11" s="3">
        <v>677346.22</v>
      </c>
      <c r="D11" s="3">
        <v>955268.24</v>
      </c>
      <c r="E11" s="3">
        <v>960033.45</v>
      </c>
      <c r="F11" s="3">
        <v>837215.66999999993</v>
      </c>
      <c r="G11" s="3">
        <v>890454.65000000014</v>
      </c>
      <c r="H11" s="3">
        <v>799085.66999999993</v>
      </c>
      <c r="I11" s="3">
        <v>742516.15</v>
      </c>
      <c r="J11" s="3">
        <v>773062.91</v>
      </c>
      <c r="K11" s="3">
        <v>822245.57</v>
      </c>
      <c r="L11" s="3">
        <v>996947.96</v>
      </c>
      <c r="M11" s="3">
        <v>829278.96</v>
      </c>
      <c r="N11" s="3">
        <v>885208.02999999991</v>
      </c>
      <c r="O11" s="3">
        <v>866273.62000000011</v>
      </c>
      <c r="P11" s="3">
        <v>904989.55</v>
      </c>
      <c r="Q11" s="3">
        <v>824070.85000000009</v>
      </c>
      <c r="R11" s="3">
        <v>945345.7300000001</v>
      </c>
      <c r="S11" s="3">
        <v>1036591.0899999999</v>
      </c>
      <c r="T11" s="3">
        <v>845388.41</v>
      </c>
      <c r="U11" s="3">
        <v>1120201.0899999999</v>
      </c>
      <c r="V11" s="3">
        <v>938131.69</v>
      </c>
      <c r="W11" s="3">
        <v>1054257</v>
      </c>
      <c r="X11" s="3">
        <v>19791571.859999996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4858-E58A-4724-9B99-301FB66BD729}">
  <dimension ref="A3:B9"/>
  <sheetViews>
    <sheetView workbookViewId="0">
      <selection activeCell="B3" sqref="B3"/>
    </sheetView>
  </sheetViews>
  <sheetFormatPr defaultRowHeight="15" x14ac:dyDescent="0.25"/>
  <cols>
    <col min="1" max="1" width="14.375" bestFit="1" customWidth="1"/>
    <col min="2" max="3" width="14.75" bestFit="1" customWidth="1"/>
  </cols>
  <sheetData>
    <row r="3" spans="1:2" x14ac:dyDescent="0.25">
      <c r="A3" s="4" t="s">
        <v>64</v>
      </c>
      <c r="B3" t="s">
        <v>63</v>
      </c>
    </row>
    <row r="4" spans="1:2" x14ac:dyDescent="0.25">
      <c r="A4" s="5" t="s">
        <v>55</v>
      </c>
      <c r="B4" s="3">
        <v>1022599.9599999997</v>
      </c>
    </row>
    <row r="5" spans="1:2" x14ac:dyDescent="0.25">
      <c r="A5" s="5" t="s">
        <v>17</v>
      </c>
      <c r="B5" s="3">
        <v>1017204.12</v>
      </c>
    </row>
    <row r="6" spans="1:2" x14ac:dyDescent="0.25">
      <c r="A6" s="5" t="s">
        <v>53</v>
      </c>
      <c r="B6" s="3">
        <v>1010028.7199999996</v>
      </c>
    </row>
    <row r="7" spans="1:2" x14ac:dyDescent="0.25">
      <c r="A7" s="5" t="s">
        <v>49</v>
      </c>
      <c r="B7" s="3">
        <v>1002929.0999999999</v>
      </c>
    </row>
    <row r="8" spans="1:2" x14ac:dyDescent="0.25">
      <c r="A8" s="5" t="s">
        <v>23</v>
      </c>
      <c r="B8" s="3">
        <v>997326.48000000033</v>
      </c>
    </row>
    <row r="9" spans="1:2" x14ac:dyDescent="0.25">
      <c r="A9" s="5" t="s">
        <v>73</v>
      </c>
      <c r="B9" s="3">
        <v>5050088.38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4CBBB-55BB-4958-9063-1973C00BF151}">
  <dimension ref="A3:B12"/>
  <sheetViews>
    <sheetView workbookViewId="0">
      <selection activeCell="A3" sqref="A3:B12"/>
    </sheetView>
  </sheetViews>
  <sheetFormatPr defaultRowHeight="15" x14ac:dyDescent="0.25"/>
  <cols>
    <col min="1" max="1" width="13.5" bestFit="1" customWidth="1"/>
    <col min="2" max="2" width="14.75" bestFit="1" customWidth="1"/>
  </cols>
  <sheetData>
    <row r="3" spans="1:2" x14ac:dyDescent="0.25">
      <c r="A3" s="4" t="s">
        <v>64</v>
      </c>
      <c r="B3" t="s">
        <v>63</v>
      </c>
    </row>
    <row r="4" spans="1:2" x14ac:dyDescent="0.25">
      <c r="A4" s="5" t="s">
        <v>65</v>
      </c>
      <c r="B4" s="3">
        <v>2868712.5899999961</v>
      </c>
    </row>
    <row r="5" spans="1:2" x14ac:dyDescent="0.25">
      <c r="A5" s="5" t="s">
        <v>66</v>
      </c>
      <c r="B5" s="3">
        <v>2232096.9</v>
      </c>
    </row>
    <row r="6" spans="1:2" x14ac:dyDescent="0.25">
      <c r="A6" s="5" t="s">
        <v>67</v>
      </c>
      <c r="B6" s="3">
        <v>2404769.2899999996</v>
      </c>
    </row>
    <row r="7" spans="1:2" x14ac:dyDescent="0.25">
      <c r="A7" s="5" t="s">
        <v>68</v>
      </c>
      <c r="B7" s="3">
        <v>2161927.2200000011</v>
      </c>
    </row>
    <row r="8" spans="1:2" x14ac:dyDescent="0.25">
      <c r="A8" s="5" t="s">
        <v>69</v>
      </c>
      <c r="B8" s="3">
        <v>2415750.5699999998</v>
      </c>
    </row>
    <row r="9" spans="1:2" x14ac:dyDescent="0.25">
      <c r="A9" s="5" t="s">
        <v>70</v>
      </c>
      <c r="B9" s="3">
        <v>2773931.9400000009</v>
      </c>
    </row>
    <row r="10" spans="1:2" x14ac:dyDescent="0.25">
      <c r="A10" s="5" t="s">
        <v>71</v>
      </c>
      <c r="B10" s="3">
        <v>2567532.2900000005</v>
      </c>
    </row>
    <row r="11" spans="1:2" x14ac:dyDescent="0.25">
      <c r="A11" s="5" t="s">
        <v>72</v>
      </c>
      <c r="B11" s="3">
        <v>2366851.06</v>
      </c>
    </row>
    <row r="12" spans="1:2" x14ac:dyDescent="0.25">
      <c r="A12" s="5" t="s">
        <v>73</v>
      </c>
      <c r="B12" s="3">
        <v>19791571.859999996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283"/>
  <sheetViews>
    <sheetView tabSelected="1" workbookViewId="0">
      <pane ySplit="1" topLeftCell="A2" activePane="bottomLeft" state="frozen"/>
      <selection pane="bottomLeft" activeCell="N20" sqref="N20"/>
    </sheetView>
  </sheetViews>
  <sheetFormatPr defaultRowHeight="15" x14ac:dyDescent="0.25"/>
  <cols>
    <col min="1" max="1" width="13.75" customWidth="1"/>
    <col min="2" max="2" width="9.875" customWidth="1"/>
    <col min="3" max="3" width="9.75" customWidth="1"/>
    <col min="4" max="4" width="9" style="1"/>
    <col min="5" max="5" width="10.5" style="2" bestFit="1" customWidth="1"/>
    <col min="6" max="6" width="15.5" customWidth="1"/>
    <col min="7" max="7" width="14.5" customWidth="1"/>
    <col min="9" max="9" width="9.5" customWidth="1"/>
    <col min="10" max="10" width="14.625" customWidth="1"/>
  </cols>
  <sheetData>
    <row r="1" spans="1:10" x14ac:dyDescent="0.25">
      <c r="A1" t="s">
        <v>0</v>
      </c>
      <c r="B1" t="s">
        <v>1</v>
      </c>
      <c r="C1" t="s">
        <v>2</v>
      </c>
      <c r="D1" s="1" t="s">
        <v>3</v>
      </c>
      <c r="E1" s="2" t="s">
        <v>4</v>
      </c>
      <c r="F1" t="s">
        <v>5</v>
      </c>
      <c r="G1" t="s">
        <v>59</v>
      </c>
      <c r="H1" t="s">
        <v>61</v>
      </c>
      <c r="I1" t="s">
        <v>60</v>
      </c>
      <c r="J1" t="s">
        <v>62</v>
      </c>
    </row>
    <row r="2" spans="1:10" x14ac:dyDescent="0.25">
      <c r="A2" t="s">
        <v>6</v>
      </c>
      <c r="B2" t="s">
        <v>7</v>
      </c>
      <c r="C2" t="s">
        <v>8</v>
      </c>
      <c r="D2" s="1">
        <v>44565</v>
      </c>
      <c r="E2" s="2">
        <v>5320</v>
      </c>
      <c r="F2">
        <v>180</v>
      </c>
      <c r="G2" s="2">
        <f>E2/F2</f>
        <v>29.555555555555557</v>
      </c>
      <c r="H2" t="str">
        <f>TEXT(D2, "mmmm")</f>
        <v>January</v>
      </c>
      <c r="I2" t="str">
        <f>"Q" &amp; ROUNDUP(MONTH(D2)/3,0)</f>
        <v>Q1</v>
      </c>
      <c r="J2" t="str">
        <f>IF(E2 &gt; 500, "Large", "Small")</f>
        <v>Large</v>
      </c>
    </row>
    <row r="3" spans="1:10" x14ac:dyDescent="0.25">
      <c r="A3" t="s">
        <v>9</v>
      </c>
      <c r="B3" t="s">
        <v>10</v>
      </c>
      <c r="C3" t="s">
        <v>11</v>
      </c>
      <c r="D3" s="1">
        <v>44774</v>
      </c>
      <c r="E3" s="2">
        <v>7896</v>
      </c>
      <c r="F3">
        <v>94</v>
      </c>
      <c r="G3" s="2">
        <f t="shared" ref="G3:G66" si="0">E3/F3</f>
        <v>84</v>
      </c>
      <c r="H3" t="str">
        <f t="shared" ref="H3:H66" si="1">TEXT(D3, "mmmm")</f>
        <v>August</v>
      </c>
      <c r="I3" t="str">
        <f t="shared" ref="I3:I66" si="2">"Q" &amp; ROUNDUP(MONTH(D3)/3,0)</f>
        <v>Q3</v>
      </c>
      <c r="J3" t="str">
        <f t="shared" ref="J3:J66" si="3">IF(E3 &gt; 500, "Large", "Small")</f>
        <v>Large</v>
      </c>
    </row>
    <row r="4" spans="1:10" x14ac:dyDescent="0.25">
      <c r="A4" t="s">
        <v>12</v>
      </c>
      <c r="B4" t="s">
        <v>10</v>
      </c>
      <c r="C4" t="s">
        <v>13</v>
      </c>
      <c r="D4" s="1">
        <v>44749</v>
      </c>
      <c r="E4" s="2">
        <v>4501</v>
      </c>
      <c r="F4">
        <v>91</v>
      </c>
      <c r="G4" s="2">
        <f t="shared" si="0"/>
        <v>49.46153846153846</v>
      </c>
      <c r="H4" t="str">
        <f t="shared" si="1"/>
        <v>July</v>
      </c>
      <c r="I4" t="str">
        <f t="shared" si="2"/>
        <v>Q3</v>
      </c>
      <c r="J4" t="str">
        <f t="shared" si="3"/>
        <v>Large</v>
      </c>
    </row>
    <row r="5" spans="1:10" x14ac:dyDescent="0.25">
      <c r="A5" t="s">
        <v>14</v>
      </c>
      <c r="B5" t="s">
        <v>15</v>
      </c>
      <c r="C5" t="s">
        <v>13</v>
      </c>
      <c r="D5" s="1">
        <v>44678</v>
      </c>
      <c r="E5" s="2">
        <v>12726</v>
      </c>
      <c r="F5">
        <v>342</v>
      </c>
      <c r="G5" s="2">
        <f t="shared" si="0"/>
        <v>37.210526315789473</v>
      </c>
      <c r="H5" t="str">
        <f t="shared" si="1"/>
        <v>April</v>
      </c>
      <c r="I5" t="str">
        <f t="shared" si="2"/>
        <v>Q2</v>
      </c>
      <c r="J5" t="str">
        <f t="shared" si="3"/>
        <v>Large</v>
      </c>
    </row>
    <row r="6" spans="1:10" x14ac:dyDescent="0.25">
      <c r="A6" t="s">
        <v>6</v>
      </c>
      <c r="B6" t="s">
        <v>7</v>
      </c>
      <c r="C6" t="s">
        <v>13</v>
      </c>
      <c r="D6" s="1">
        <v>44616</v>
      </c>
      <c r="E6" s="2">
        <v>13685</v>
      </c>
      <c r="F6">
        <v>184</v>
      </c>
      <c r="G6" s="2">
        <f t="shared" si="0"/>
        <v>74.375</v>
      </c>
      <c r="H6" t="str">
        <f t="shared" si="1"/>
        <v>February</v>
      </c>
      <c r="I6" t="str">
        <f t="shared" si="2"/>
        <v>Q1</v>
      </c>
      <c r="J6" t="str">
        <f t="shared" si="3"/>
        <v>Large</v>
      </c>
    </row>
    <row r="7" spans="1:10" x14ac:dyDescent="0.25">
      <c r="A7" t="s">
        <v>9</v>
      </c>
      <c r="B7" t="s">
        <v>10</v>
      </c>
      <c r="C7" t="s">
        <v>16</v>
      </c>
      <c r="D7" s="1">
        <v>44718</v>
      </c>
      <c r="E7" s="2">
        <v>5376</v>
      </c>
      <c r="F7">
        <v>38</v>
      </c>
      <c r="G7" s="2">
        <f t="shared" si="0"/>
        <v>141.47368421052633</v>
      </c>
      <c r="H7" t="str">
        <f t="shared" si="1"/>
        <v>June</v>
      </c>
      <c r="I7" t="str">
        <f t="shared" si="2"/>
        <v>Q2</v>
      </c>
      <c r="J7" t="str">
        <f t="shared" si="3"/>
        <v>Large</v>
      </c>
    </row>
    <row r="8" spans="1:10" x14ac:dyDescent="0.25">
      <c r="A8" t="s">
        <v>17</v>
      </c>
      <c r="B8" t="s">
        <v>7</v>
      </c>
      <c r="C8" t="s">
        <v>18</v>
      </c>
      <c r="D8" s="1">
        <v>44586</v>
      </c>
      <c r="E8" s="2">
        <v>13685</v>
      </c>
      <c r="F8">
        <v>176</v>
      </c>
      <c r="G8" s="2">
        <f t="shared" si="0"/>
        <v>77.755681818181813</v>
      </c>
      <c r="H8" t="str">
        <f t="shared" si="1"/>
        <v>January</v>
      </c>
      <c r="I8" t="str">
        <f t="shared" si="2"/>
        <v>Q1</v>
      </c>
      <c r="J8" t="str">
        <f t="shared" si="3"/>
        <v>Large</v>
      </c>
    </row>
    <row r="9" spans="1:10" x14ac:dyDescent="0.25">
      <c r="A9" t="s">
        <v>19</v>
      </c>
      <c r="B9" t="s">
        <v>15</v>
      </c>
      <c r="C9" t="s">
        <v>20</v>
      </c>
      <c r="D9" s="1">
        <v>44644</v>
      </c>
      <c r="E9" s="2">
        <v>3080</v>
      </c>
      <c r="F9">
        <v>73</v>
      </c>
      <c r="G9" s="2">
        <f t="shared" si="0"/>
        <v>42.19178082191781</v>
      </c>
      <c r="H9" t="str">
        <f t="shared" si="1"/>
        <v>March</v>
      </c>
      <c r="I9" t="str">
        <f t="shared" si="2"/>
        <v>Q1</v>
      </c>
      <c r="J9" t="str">
        <f t="shared" si="3"/>
        <v>Large</v>
      </c>
    </row>
    <row r="10" spans="1:10" x14ac:dyDescent="0.25">
      <c r="A10" t="s">
        <v>6</v>
      </c>
      <c r="B10" t="s">
        <v>21</v>
      </c>
      <c r="C10" t="s">
        <v>22</v>
      </c>
      <c r="D10" s="1">
        <v>44671</v>
      </c>
      <c r="E10" s="2">
        <v>3990</v>
      </c>
      <c r="F10">
        <v>59</v>
      </c>
      <c r="G10" s="2">
        <f t="shared" si="0"/>
        <v>67.627118644067792</v>
      </c>
      <c r="H10" t="str">
        <f t="shared" si="1"/>
        <v>April</v>
      </c>
      <c r="I10" t="str">
        <f t="shared" si="2"/>
        <v>Q2</v>
      </c>
      <c r="J10" t="str">
        <f t="shared" si="3"/>
        <v>Large</v>
      </c>
    </row>
    <row r="11" spans="1:10" x14ac:dyDescent="0.25">
      <c r="A11" t="s">
        <v>23</v>
      </c>
      <c r="B11" t="s">
        <v>15</v>
      </c>
      <c r="C11" t="s">
        <v>18</v>
      </c>
      <c r="D11" s="1">
        <v>44746</v>
      </c>
      <c r="E11" s="2">
        <v>2835</v>
      </c>
      <c r="F11">
        <v>102</v>
      </c>
      <c r="G11" s="2">
        <f t="shared" si="0"/>
        <v>27.794117647058822</v>
      </c>
      <c r="H11" t="str">
        <f t="shared" si="1"/>
        <v>July</v>
      </c>
      <c r="I11" t="str">
        <f t="shared" si="2"/>
        <v>Q3</v>
      </c>
      <c r="J11" t="str">
        <f t="shared" si="3"/>
        <v>Large</v>
      </c>
    </row>
    <row r="12" spans="1:10" x14ac:dyDescent="0.25">
      <c r="A12" t="s">
        <v>24</v>
      </c>
      <c r="B12" t="s">
        <v>7</v>
      </c>
      <c r="C12" t="s">
        <v>16</v>
      </c>
      <c r="D12" s="1">
        <v>44574</v>
      </c>
      <c r="E12" s="2">
        <v>4704</v>
      </c>
      <c r="F12">
        <v>62</v>
      </c>
      <c r="G12" s="2">
        <f t="shared" si="0"/>
        <v>75.870967741935488</v>
      </c>
      <c r="H12" t="str">
        <f t="shared" si="1"/>
        <v>January</v>
      </c>
      <c r="I12" t="str">
        <f t="shared" si="2"/>
        <v>Q1</v>
      </c>
      <c r="J12" t="str">
        <f t="shared" si="3"/>
        <v>Large</v>
      </c>
    </row>
    <row r="13" spans="1:10" x14ac:dyDescent="0.25">
      <c r="A13" t="s">
        <v>25</v>
      </c>
      <c r="B13" t="s">
        <v>26</v>
      </c>
      <c r="C13" t="s">
        <v>27</v>
      </c>
      <c r="D13" s="1">
        <v>44630</v>
      </c>
      <c r="E13" s="2">
        <v>3703</v>
      </c>
      <c r="F13">
        <v>11</v>
      </c>
      <c r="G13" s="2">
        <f t="shared" si="0"/>
        <v>336.63636363636363</v>
      </c>
      <c r="H13" t="str">
        <f t="shared" si="1"/>
        <v>March</v>
      </c>
      <c r="I13" t="str">
        <f t="shared" si="2"/>
        <v>Q1</v>
      </c>
      <c r="J13" t="str">
        <f t="shared" si="3"/>
        <v>Large</v>
      </c>
    </row>
    <row r="14" spans="1:10" x14ac:dyDescent="0.25">
      <c r="A14" t="s">
        <v>28</v>
      </c>
      <c r="B14" t="s">
        <v>29</v>
      </c>
      <c r="C14" t="s">
        <v>30</v>
      </c>
      <c r="D14" s="1">
        <v>44574</v>
      </c>
      <c r="E14" s="2">
        <v>1442</v>
      </c>
      <c r="F14">
        <v>286</v>
      </c>
      <c r="G14" s="2">
        <f t="shared" si="0"/>
        <v>5.0419580419580416</v>
      </c>
      <c r="H14" t="str">
        <f t="shared" si="1"/>
        <v>January</v>
      </c>
      <c r="I14" t="str">
        <f t="shared" si="2"/>
        <v>Q1</v>
      </c>
      <c r="J14" t="str">
        <f t="shared" si="3"/>
        <v>Large</v>
      </c>
    </row>
    <row r="15" spans="1:10" x14ac:dyDescent="0.25">
      <c r="A15" t="s">
        <v>31</v>
      </c>
      <c r="B15" t="s">
        <v>21</v>
      </c>
      <c r="C15" t="s">
        <v>32</v>
      </c>
      <c r="D15" s="1">
        <v>44770</v>
      </c>
      <c r="E15" s="2">
        <v>168</v>
      </c>
      <c r="F15">
        <v>156</v>
      </c>
      <c r="G15" s="2">
        <f t="shared" si="0"/>
        <v>1.0769230769230769</v>
      </c>
      <c r="H15" t="str">
        <f t="shared" si="1"/>
        <v>July</v>
      </c>
      <c r="I15" t="str">
        <f t="shared" si="2"/>
        <v>Q3</v>
      </c>
      <c r="J15" t="str">
        <f t="shared" si="3"/>
        <v>Small</v>
      </c>
    </row>
    <row r="16" spans="1:10" x14ac:dyDescent="0.25">
      <c r="A16" t="s">
        <v>33</v>
      </c>
      <c r="B16" t="s">
        <v>21</v>
      </c>
      <c r="C16" t="s">
        <v>13</v>
      </c>
      <c r="D16" s="1">
        <v>44776</v>
      </c>
      <c r="E16" s="2">
        <v>8379</v>
      </c>
      <c r="F16">
        <v>173</v>
      </c>
      <c r="G16" s="2">
        <f t="shared" si="0"/>
        <v>48.433526011560694</v>
      </c>
      <c r="H16" t="str">
        <f t="shared" si="1"/>
        <v>August</v>
      </c>
      <c r="I16" t="str">
        <f t="shared" si="2"/>
        <v>Q3</v>
      </c>
      <c r="J16" t="str">
        <f t="shared" si="3"/>
        <v>Large</v>
      </c>
    </row>
    <row r="17" spans="1:10" x14ac:dyDescent="0.25">
      <c r="A17" t="s">
        <v>34</v>
      </c>
      <c r="B17" t="s">
        <v>15</v>
      </c>
      <c r="C17" t="s">
        <v>35</v>
      </c>
      <c r="D17" s="1">
        <v>44587</v>
      </c>
      <c r="E17" s="2">
        <v>6790</v>
      </c>
      <c r="F17">
        <v>356</v>
      </c>
      <c r="G17" s="2">
        <f t="shared" si="0"/>
        <v>19.073033707865168</v>
      </c>
      <c r="H17" t="str">
        <f t="shared" si="1"/>
        <v>January</v>
      </c>
      <c r="I17" t="str">
        <f t="shared" si="2"/>
        <v>Q1</v>
      </c>
      <c r="J17" t="str">
        <f t="shared" si="3"/>
        <v>Large</v>
      </c>
    </row>
    <row r="18" spans="1:10" x14ac:dyDescent="0.25">
      <c r="A18" t="s">
        <v>9</v>
      </c>
      <c r="B18" t="s">
        <v>29</v>
      </c>
      <c r="C18" t="s">
        <v>35</v>
      </c>
      <c r="D18" s="1">
        <v>44606</v>
      </c>
      <c r="E18" s="2">
        <v>4067</v>
      </c>
      <c r="F18">
        <v>42</v>
      </c>
      <c r="G18" s="2">
        <f t="shared" si="0"/>
        <v>96.833333333333329</v>
      </c>
      <c r="H18" t="str">
        <f t="shared" si="1"/>
        <v>February</v>
      </c>
      <c r="I18" t="str">
        <f t="shared" si="2"/>
        <v>Q1</v>
      </c>
      <c r="J18" t="str">
        <f t="shared" si="3"/>
        <v>Large</v>
      </c>
    </row>
    <row r="19" spans="1:10" x14ac:dyDescent="0.25">
      <c r="A19" t="s">
        <v>36</v>
      </c>
      <c r="B19" t="s">
        <v>26</v>
      </c>
      <c r="C19" t="s">
        <v>16</v>
      </c>
      <c r="D19" s="1">
        <v>44656</v>
      </c>
      <c r="E19" s="2">
        <v>3017</v>
      </c>
      <c r="F19">
        <v>140</v>
      </c>
      <c r="G19" s="2">
        <f t="shared" si="0"/>
        <v>21.55</v>
      </c>
      <c r="H19" t="str">
        <f t="shared" si="1"/>
        <v>April</v>
      </c>
      <c r="I19" t="str">
        <f t="shared" si="2"/>
        <v>Q2</v>
      </c>
      <c r="J19" t="str">
        <f t="shared" si="3"/>
        <v>Large</v>
      </c>
    </row>
    <row r="20" spans="1:10" x14ac:dyDescent="0.25">
      <c r="A20" t="s">
        <v>34</v>
      </c>
      <c r="B20" t="s">
        <v>29</v>
      </c>
      <c r="C20" t="s">
        <v>37</v>
      </c>
      <c r="D20" s="1">
        <v>44608</v>
      </c>
      <c r="E20" s="2">
        <v>8799</v>
      </c>
      <c r="F20">
        <v>250</v>
      </c>
      <c r="G20" s="2">
        <f t="shared" si="0"/>
        <v>35.195999999999998</v>
      </c>
      <c r="H20" t="str">
        <f t="shared" si="1"/>
        <v>February</v>
      </c>
      <c r="I20" t="str">
        <f t="shared" si="2"/>
        <v>Q1</v>
      </c>
      <c r="J20" t="str">
        <f t="shared" si="3"/>
        <v>Large</v>
      </c>
    </row>
    <row r="21" spans="1:10" x14ac:dyDescent="0.25">
      <c r="A21" t="s">
        <v>38</v>
      </c>
      <c r="B21" t="s">
        <v>7</v>
      </c>
      <c r="C21" t="s">
        <v>11</v>
      </c>
      <c r="D21" s="1">
        <v>44720</v>
      </c>
      <c r="E21" s="2">
        <v>1085</v>
      </c>
      <c r="F21">
        <v>172</v>
      </c>
      <c r="G21" s="2">
        <f t="shared" si="0"/>
        <v>6.308139534883721</v>
      </c>
      <c r="H21" t="str">
        <f t="shared" si="1"/>
        <v>June</v>
      </c>
      <c r="I21" t="str">
        <f t="shared" si="2"/>
        <v>Q2</v>
      </c>
      <c r="J21" t="str">
        <f t="shared" si="3"/>
        <v>Large</v>
      </c>
    </row>
    <row r="22" spans="1:10" x14ac:dyDescent="0.25">
      <c r="A22" t="s">
        <v>23</v>
      </c>
      <c r="B22" t="s">
        <v>15</v>
      </c>
      <c r="C22" t="s">
        <v>30</v>
      </c>
      <c r="D22" s="1">
        <v>44739</v>
      </c>
      <c r="E22" s="2">
        <v>6888</v>
      </c>
      <c r="F22">
        <v>88</v>
      </c>
      <c r="G22" s="2">
        <f t="shared" si="0"/>
        <v>78.272727272727266</v>
      </c>
      <c r="H22" t="str">
        <f t="shared" si="1"/>
        <v>June</v>
      </c>
      <c r="I22" t="str">
        <f t="shared" si="2"/>
        <v>Q2</v>
      </c>
      <c r="J22" t="str">
        <f t="shared" si="3"/>
        <v>Large</v>
      </c>
    </row>
    <row r="23" spans="1:10" x14ac:dyDescent="0.25">
      <c r="A23" t="s">
        <v>19</v>
      </c>
      <c r="B23" t="s">
        <v>26</v>
      </c>
      <c r="C23" t="s">
        <v>39</v>
      </c>
      <c r="D23" s="1">
        <v>44609</v>
      </c>
      <c r="E23" s="2">
        <v>1267</v>
      </c>
      <c r="F23">
        <v>157</v>
      </c>
      <c r="G23" s="2">
        <f t="shared" si="0"/>
        <v>8.0700636942675157</v>
      </c>
      <c r="H23" t="str">
        <f t="shared" si="1"/>
        <v>February</v>
      </c>
      <c r="I23" t="str">
        <f t="shared" si="2"/>
        <v>Q1</v>
      </c>
      <c r="J23" t="str">
        <f t="shared" si="3"/>
        <v>Large</v>
      </c>
    </row>
    <row r="24" spans="1:10" x14ac:dyDescent="0.25">
      <c r="A24" t="s">
        <v>33</v>
      </c>
      <c r="B24" t="s">
        <v>26</v>
      </c>
      <c r="C24" t="s">
        <v>20</v>
      </c>
      <c r="D24" s="1">
        <v>44711</v>
      </c>
      <c r="E24" s="2">
        <v>4753</v>
      </c>
      <c r="F24">
        <v>163</v>
      </c>
      <c r="G24" s="2">
        <f t="shared" si="0"/>
        <v>29.159509202453989</v>
      </c>
      <c r="H24" t="str">
        <f t="shared" si="1"/>
        <v>May</v>
      </c>
      <c r="I24" t="str">
        <f t="shared" si="2"/>
        <v>Q2</v>
      </c>
      <c r="J24" t="str">
        <f t="shared" si="3"/>
        <v>Large</v>
      </c>
    </row>
    <row r="25" spans="1:10" x14ac:dyDescent="0.25">
      <c r="A25" t="s">
        <v>40</v>
      </c>
      <c r="B25" t="s">
        <v>7</v>
      </c>
      <c r="C25" t="s">
        <v>32</v>
      </c>
      <c r="D25" s="1">
        <v>44634</v>
      </c>
      <c r="E25" s="2">
        <v>3003</v>
      </c>
      <c r="F25">
        <v>113</v>
      </c>
      <c r="G25" s="2">
        <f t="shared" si="0"/>
        <v>26.575221238938052</v>
      </c>
      <c r="H25" t="str">
        <f t="shared" si="1"/>
        <v>March</v>
      </c>
      <c r="I25" t="str">
        <f t="shared" si="2"/>
        <v>Q1</v>
      </c>
      <c r="J25" t="str">
        <f t="shared" si="3"/>
        <v>Large</v>
      </c>
    </row>
    <row r="26" spans="1:10" x14ac:dyDescent="0.25">
      <c r="A26" t="s">
        <v>41</v>
      </c>
      <c r="B26" t="s">
        <v>15</v>
      </c>
      <c r="C26" t="s">
        <v>30</v>
      </c>
      <c r="D26" s="1">
        <v>44620</v>
      </c>
      <c r="E26" s="2">
        <v>7672</v>
      </c>
      <c r="F26">
        <v>115</v>
      </c>
      <c r="G26" s="2">
        <f t="shared" si="0"/>
        <v>66.713043478260872</v>
      </c>
      <c r="H26" t="str">
        <f t="shared" si="1"/>
        <v>February</v>
      </c>
      <c r="I26" t="str">
        <f t="shared" si="2"/>
        <v>Q1</v>
      </c>
      <c r="J26" t="str">
        <f t="shared" si="3"/>
        <v>Large</v>
      </c>
    </row>
    <row r="27" spans="1:10" x14ac:dyDescent="0.25">
      <c r="A27" t="s">
        <v>31</v>
      </c>
      <c r="B27" t="s">
        <v>10</v>
      </c>
      <c r="C27" t="s">
        <v>42</v>
      </c>
      <c r="D27" s="1">
        <v>44587</v>
      </c>
      <c r="E27" s="2">
        <v>168</v>
      </c>
      <c r="F27">
        <v>321</v>
      </c>
      <c r="G27" s="2">
        <f t="shared" si="0"/>
        <v>0.52336448598130836</v>
      </c>
      <c r="H27" t="str">
        <f t="shared" si="1"/>
        <v>January</v>
      </c>
      <c r="I27" t="str">
        <f t="shared" si="2"/>
        <v>Q1</v>
      </c>
      <c r="J27" t="str">
        <f t="shared" si="3"/>
        <v>Small</v>
      </c>
    </row>
    <row r="28" spans="1:10" x14ac:dyDescent="0.25">
      <c r="A28" t="s">
        <v>36</v>
      </c>
      <c r="B28" t="s">
        <v>29</v>
      </c>
      <c r="C28" t="s">
        <v>39</v>
      </c>
      <c r="D28" s="1">
        <v>44601</v>
      </c>
      <c r="E28" s="2">
        <v>1652</v>
      </c>
      <c r="F28">
        <v>186</v>
      </c>
      <c r="G28" s="2">
        <f t="shared" si="0"/>
        <v>8.8817204301075261</v>
      </c>
      <c r="H28" t="str">
        <f t="shared" si="1"/>
        <v>February</v>
      </c>
      <c r="I28" t="str">
        <f t="shared" si="2"/>
        <v>Q1</v>
      </c>
      <c r="J28" t="str">
        <f t="shared" si="3"/>
        <v>Large</v>
      </c>
    </row>
    <row r="29" spans="1:10" x14ac:dyDescent="0.25">
      <c r="A29" t="s">
        <v>40</v>
      </c>
      <c r="B29" t="s">
        <v>26</v>
      </c>
      <c r="C29" t="s">
        <v>30</v>
      </c>
      <c r="D29" s="1">
        <v>44749</v>
      </c>
      <c r="E29" s="2">
        <v>4025</v>
      </c>
      <c r="F29">
        <v>112</v>
      </c>
      <c r="G29" s="2">
        <f t="shared" si="0"/>
        <v>35.9375</v>
      </c>
      <c r="H29" t="str">
        <f t="shared" si="1"/>
        <v>July</v>
      </c>
      <c r="I29" t="str">
        <f t="shared" si="2"/>
        <v>Q3</v>
      </c>
      <c r="J29" t="str">
        <f t="shared" si="3"/>
        <v>Large</v>
      </c>
    </row>
    <row r="30" spans="1:10" x14ac:dyDescent="0.25">
      <c r="A30" t="s">
        <v>43</v>
      </c>
      <c r="B30" t="s">
        <v>21</v>
      </c>
      <c r="C30" t="s">
        <v>44</v>
      </c>
      <c r="D30" s="1">
        <v>44747</v>
      </c>
      <c r="E30" s="2">
        <v>9492</v>
      </c>
      <c r="F30">
        <v>151</v>
      </c>
      <c r="G30" s="2">
        <f t="shared" si="0"/>
        <v>62.860927152317878</v>
      </c>
      <c r="H30" t="str">
        <f t="shared" si="1"/>
        <v>July</v>
      </c>
      <c r="I30" t="str">
        <f t="shared" si="2"/>
        <v>Q3</v>
      </c>
      <c r="J30" t="str">
        <f t="shared" si="3"/>
        <v>Large</v>
      </c>
    </row>
    <row r="31" spans="1:10" x14ac:dyDescent="0.25">
      <c r="A31" t="s">
        <v>43</v>
      </c>
      <c r="B31" t="s">
        <v>21</v>
      </c>
      <c r="C31" t="s">
        <v>45</v>
      </c>
      <c r="D31" s="1">
        <v>44727</v>
      </c>
      <c r="E31" s="2">
        <v>5061</v>
      </c>
      <c r="F31">
        <v>301</v>
      </c>
      <c r="G31" s="2">
        <f t="shared" si="0"/>
        <v>16.813953488372093</v>
      </c>
      <c r="H31" t="str">
        <f t="shared" si="1"/>
        <v>June</v>
      </c>
      <c r="I31" t="str">
        <f t="shared" si="2"/>
        <v>Q2</v>
      </c>
      <c r="J31" t="str">
        <f t="shared" si="3"/>
        <v>Large</v>
      </c>
    </row>
    <row r="32" spans="1:10" x14ac:dyDescent="0.25">
      <c r="A32" t="s">
        <v>9</v>
      </c>
      <c r="B32" t="s">
        <v>21</v>
      </c>
      <c r="C32" t="s">
        <v>11</v>
      </c>
      <c r="D32" s="1">
        <v>44705</v>
      </c>
      <c r="E32" s="2">
        <v>1722</v>
      </c>
      <c r="F32">
        <v>121</v>
      </c>
      <c r="G32" s="2">
        <f t="shared" si="0"/>
        <v>14.231404958677686</v>
      </c>
      <c r="H32" t="str">
        <f t="shared" si="1"/>
        <v>May</v>
      </c>
      <c r="I32" t="str">
        <f t="shared" si="2"/>
        <v>Q2</v>
      </c>
      <c r="J32" t="str">
        <f t="shared" si="3"/>
        <v>Large</v>
      </c>
    </row>
    <row r="33" spans="1:10" x14ac:dyDescent="0.25">
      <c r="A33" t="s">
        <v>24</v>
      </c>
      <c r="B33" t="s">
        <v>7</v>
      </c>
      <c r="C33" t="s">
        <v>18</v>
      </c>
      <c r="D33" s="1">
        <v>44741</v>
      </c>
      <c r="E33" s="2">
        <v>12446</v>
      </c>
      <c r="F33">
        <v>150</v>
      </c>
      <c r="G33" s="2">
        <f t="shared" si="0"/>
        <v>82.973333333333329</v>
      </c>
      <c r="H33" t="str">
        <f t="shared" si="1"/>
        <v>June</v>
      </c>
      <c r="I33" t="str">
        <f t="shared" si="2"/>
        <v>Q2</v>
      </c>
      <c r="J33" t="str">
        <f t="shared" si="3"/>
        <v>Large</v>
      </c>
    </row>
    <row r="34" spans="1:10" x14ac:dyDescent="0.25">
      <c r="A34" t="s">
        <v>46</v>
      </c>
      <c r="B34" t="s">
        <v>15</v>
      </c>
      <c r="C34" t="s">
        <v>45</v>
      </c>
      <c r="D34" s="1">
        <v>44692</v>
      </c>
      <c r="E34" s="2">
        <v>4284</v>
      </c>
      <c r="F34">
        <v>94</v>
      </c>
      <c r="G34" s="2">
        <f t="shared" si="0"/>
        <v>45.574468085106382</v>
      </c>
      <c r="H34" t="str">
        <f t="shared" si="1"/>
        <v>May</v>
      </c>
      <c r="I34" t="str">
        <f t="shared" si="2"/>
        <v>Q2</v>
      </c>
      <c r="J34" t="str">
        <f t="shared" si="3"/>
        <v>Large</v>
      </c>
    </row>
    <row r="35" spans="1:10" x14ac:dyDescent="0.25">
      <c r="A35" t="s">
        <v>31</v>
      </c>
      <c r="B35" t="s">
        <v>7</v>
      </c>
      <c r="C35" t="s">
        <v>47</v>
      </c>
      <c r="D35" s="1">
        <v>44742</v>
      </c>
      <c r="E35" s="2">
        <v>6839</v>
      </c>
      <c r="F35">
        <v>133</v>
      </c>
      <c r="G35" s="2">
        <f t="shared" si="0"/>
        <v>51.421052631578945</v>
      </c>
      <c r="H35" t="str">
        <f t="shared" si="1"/>
        <v>June</v>
      </c>
      <c r="I35" t="str">
        <f t="shared" si="2"/>
        <v>Q2</v>
      </c>
      <c r="J35" t="str">
        <f t="shared" si="3"/>
        <v>Large</v>
      </c>
    </row>
    <row r="36" spans="1:10" x14ac:dyDescent="0.25">
      <c r="A36" t="s">
        <v>48</v>
      </c>
      <c r="B36" t="s">
        <v>29</v>
      </c>
      <c r="C36" t="s">
        <v>20</v>
      </c>
      <c r="D36" s="1">
        <v>44692</v>
      </c>
      <c r="E36" s="2">
        <v>2163</v>
      </c>
      <c r="F36">
        <v>70</v>
      </c>
      <c r="G36" s="2">
        <f t="shared" si="0"/>
        <v>30.9</v>
      </c>
      <c r="H36" t="str">
        <f t="shared" si="1"/>
        <v>May</v>
      </c>
      <c r="I36" t="str">
        <f t="shared" si="2"/>
        <v>Q2</v>
      </c>
      <c r="J36" t="str">
        <f t="shared" si="3"/>
        <v>Large</v>
      </c>
    </row>
    <row r="37" spans="1:10" x14ac:dyDescent="0.25">
      <c r="A37" t="s">
        <v>36</v>
      </c>
      <c r="B37" t="s">
        <v>26</v>
      </c>
      <c r="C37" t="s">
        <v>45</v>
      </c>
      <c r="D37" s="1">
        <v>44764</v>
      </c>
      <c r="E37" s="2">
        <v>9583</v>
      </c>
      <c r="F37">
        <v>315</v>
      </c>
      <c r="G37" s="2">
        <f t="shared" si="0"/>
        <v>30.422222222222221</v>
      </c>
      <c r="H37" t="str">
        <f t="shared" si="1"/>
        <v>July</v>
      </c>
      <c r="I37" t="str">
        <f t="shared" si="2"/>
        <v>Q3</v>
      </c>
      <c r="J37" t="str">
        <f t="shared" si="3"/>
        <v>Large</v>
      </c>
    </row>
    <row r="38" spans="1:10" x14ac:dyDescent="0.25">
      <c r="A38" t="s">
        <v>48</v>
      </c>
      <c r="B38" t="s">
        <v>7</v>
      </c>
      <c r="C38" t="s">
        <v>22</v>
      </c>
      <c r="D38" s="1">
        <v>44797</v>
      </c>
      <c r="E38" s="2">
        <v>2653</v>
      </c>
      <c r="F38">
        <v>314</v>
      </c>
      <c r="G38" s="2">
        <f t="shared" si="0"/>
        <v>8.4490445859872612</v>
      </c>
      <c r="H38" t="str">
        <f t="shared" si="1"/>
        <v>August</v>
      </c>
      <c r="I38" t="str">
        <f t="shared" si="2"/>
        <v>Q3</v>
      </c>
      <c r="J38" t="str">
        <f t="shared" si="3"/>
        <v>Large</v>
      </c>
    </row>
    <row r="39" spans="1:10" x14ac:dyDescent="0.25">
      <c r="A39" t="s">
        <v>49</v>
      </c>
      <c r="B39" t="s">
        <v>21</v>
      </c>
      <c r="C39" t="s">
        <v>20</v>
      </c>
      <c r="D39" s="1">
        <v>44749</v>
      </c>
      <c r="E39" s="2">
        <v>147</v>
      </c>
      <c r="F39">
        <v>72</v>
      </c>
      <c r="G39" s="2">
        <f t="shared" si="0"/>
        <v>2.0416666666666665</v>
      </c>
      <c r="H39" t="str">
        <f t="shared" si="1"/>
        <v>July</v>
      </c>
      <c r="I39" t="str">
        <f t="shared" si="2"/>
        <v>Q3</v>
      </c>
      <c r="J39" t="str">
        <f t="shared" si="3"/>
        <v>Small</v>
      </c>
    </row>
    <row r="40" spans="1:10" x14ac:dyDescent="0.25">
      <c r="A40" t="s">
        <v>50</v>
      </c>
      <c r="B40" t="s">
        <v>15</v>
      </c>
      <c r="C40" t="s">
        <v>11</v>
      </c>
      <c r="D40" s="1">
        <v>44700</v>
      </c>
      <c r="E40" s="2">
        <v>3654</v>
      </c>
      <c r="F40">
        <v>14</v>
      </c>
      <c r="G40" s="2">
        <f t="shared" si="0"/>
        <v>261</v>
      </c>
      <c r="H40" t="str">
        <f t="shared" si="1"/>
        <v>May</v>
      </c>
      <c r="I40" t="str">
        <f t="shared" si="2"/>
        <v>Q2</v>
      </c>
      <c r="J40" t="str">
        <f t="shared" si="3"/>
        <v>Large</v>
      </c>
    </row>
    <row r="41" spans="1:10" x14ac:dyDescent="0.25">
      <c r="A41" t="s">
        <v>31</v>
      </c>
      <c r="B41" t="s">
        <v>10</v>
      </c>
      <c r="C41" t="s">
        <v>45</v>
      </c>
      <c r="D41" s="1">
        <v>44746</v>
      </c>
      <c r="E41" s="2">
        <v>2443</v>
      </c>
      <c r="F41">
        <v>581</v>
      </c>
      <c r="G41" s="2">
        <f t="shared" si="0"/>
        <v>4.2048192771084336</v>
      </c>
      <c r="H41" t="str">
        <f t="shared" si="1"/>
        <v>July</v>
      </c>
      <c r="I41" t="str">
        <f t="shared" si="2"/>
        <v>Q3</v>
      </c>
      <c r="J41" t="str">
        <f t="shared" si="3"/>
        <v>Large</v>
      </c>
    </row>
    <row r="42" spans="1:10" x14ac:dyDescent="0.25">
      <c r="A42" t="s">
        <v>49</v>
      </c>
      <c r="B42" t="s">
        <v>26</v>
      </c>
      <c r="C42" t="s">
        <v>20</v>
      </c>
      <c r="D42" s="1">
        <v>44714</v>
      </c>
      <c r="E42" s="2">
        <v>938</v>
      </c>
      <c r="F42">
        <v>16</v>
      </c>
      <c r="G42" s="2">
        <f t="shared" si="0"/>
        <v>58.625</v>
      </c>
      <c r="H42" t="str">
        <f t="shared" si="1"/>
        <v>June</v>
      </c>
      <c r="I42" t="str">
        <f t="shared" si="2"/>
        <v>Q2</v>
      </c>
      <c r="J42" t="str">
        <f t="shared" si="3"/>
        <v>Large</v>
      </c>
    </row>
    <row r="43" spans="1:10" x14ac:dyDescent="0.25">
      <c r="A43" t="s">
        <v>31</v>
      </c>
      <c r="B43" t="s">
        <v>26</v>
      </c>
      <c r="C43" t="s">
        <v>51</v>
      </c>
      <c r="D43" s="1">
        <v>44666</v>
      </c>
      <c r="E43" s="2">
        <v>14749</v>
      </c>
      <c r="F43">
        <v>354</v>
      </c>
      <c r="G43" s="2">
        <f t="shared" si="0"/>
        <v>41.663841807909606</v>
      </c>
      <c r="H43" t="str">
        <f t="shared" si="1"/>
        <v>April</v>
      </c>
      <c r="I43" t="str">
        <f t="shared" si="2"/>
        <v>Q2</v>
      </c>
      <c r="J43" t="str">
        <f t="shared" si="3"/>
        <v>Large</v>
      </c>
    </row>
    <row r="44" spans="1:10" x14ac:dyDescent="0.25">
      <c r="A44" t="s">
        <v>28</v>
      </c>
      <c r="B44" t="s">
        <v>29</v>
      </c>
      <c r="C44" t="s">
        <v>52</v>
      </c>
      <c r="D44" s="1">
        <v>44753</v>
      </c>
      <c r="E44" s="2">
        <v>4781</v>
      </c>
      <c r="F44">
        <v>241</v>
      </c>
      <c r="G44" s="2">
        <f t="shared" si="0"/>
        <v>19.838174273858922</v>
      </c>
      <c r="H44" t="str">
        <f t="shared" si="1"/>
        <v>July</v>
      </c>
      <c r="I44" t="str">
        <f t="shared" si="2"/>
        <v>Q3</v>
      </c>
      <c r="J44" t="str">
        <f t="shared" si="3"/>
        <v>Large</v>
      </c>
    </row>
    <row r="45" spans="1:10" x14ac:dyDescent="0.25">
      <c r="A45" t="s">
        <v>48</v>
      </c>
      <c r="B45" t="s">
        <v>10</v>
      </c>
      <c r="C45" t="s">
        <v>39</v>
      </c>
      <c r="D45" s="1">
        <v>44615</v>
      </c>
      <c r="E45" s="2">
        <v>6307</v>
      </c>
      <c r="F45">
        <v>142</v>
      </c>
      <c r="G45" s="2">
        <f t="shared" si="0"/>
        <v>44.41549295774648</v>
      </c>
      <c r="H45" t="str">
        <f t="shared" si="1"/>
        <v>February</v>
      </c>
      <c r="I45" t="str">
        <f t="shared" si="2"/>
        <v>Q1</v>
      </c>
      <c r="J45" t="str">
        <f t="shared" si="3"/>
        <v>Large</v>
      </c>
    </row>
    <row r="46" spans="1:10" x14ac:dyDescent="0.25">
      <c r="A46" t="s">
        <v>53</v>
      </c>
      <c r="B46" t="s">
        <v>29</v>
      </c>
      <c r="C46" t="s">
        <v>47</v>
      </c>
      <c r="D46" s="1">
        <v>44795</v>
      </c>
      <c r="E46" s="2">
        <v>7602</v>
      </c>
      <c r="F46">
        <v>102</v>
      </c>
      <c r="G46" s="2">
        <f t="shared" si="0"/>
        <v>74.529411764705884</v>
      </c>
      <c r="H46" t="str">
        <f t="shared" si="1"/>
        <v>August</v>
      </c>
      <c r="I46" t="str">
        <f t="shared" si="2"/>
        <v>Q3</v>
      </c>
      <c r="J46" t="str">
        <f t="shared" si="3"/>
        <v>Large</v>
      </c>
    </row>
    <row r="47" spans="1:10" x14ac:dyDescent="0.25">
      <c r="A47" t="s">
        <v>41</v>
      </c>
      <c r="B47" t="s">
        <v>26</v>
      </c>
      <c r="C47" t="s">
        <v>13</v>
      </c>
      <c r="D47" s="1">
        <v>44608</v>
      </c>
      <c r="E47" s="2">
        <v>6790</v>
      </c>
      <c r="F47">
        <v>188</v>
      </c>
      <c r="G47" s="2">
        <f t="shared" si="0"/>
        <v>36.117021276595743</v>
      </c>
      <c r="H47" t="str">
        <f t="shared" si="1"/>
        <v>February</v>
      </c>
      <c r="I47" t="str">
        <f t="shared" si="2"/>
        <v>Q1</v>
      </c>
      <c r="J47" t="str">
        <f t="shared" si="3"/>
        <v>Large</v>
      </c>
    </row>
    <row r="48" spans="1:10" x14ac:dyDescent="0.25">
      <c r="A48" t="s">
        <v>9</v>
      </c>
      <c r="B48" t="s">
        <v>26</v>
      </c>
      <c r="C48" t="s">
        <v>22</v>
      </c>
      <c r="D48" s="1">
        <v>44574</v>
      </c>
      <c r="E48" s="2">
        <v>9737</v>
      </c>
      <c r="F48">
        <v>160</v>
      </c>
      <c r="G48" s="2">
        <f t="shared" si="0"/>
        <v>60.856250000000003</v>
      </c>
      <c r="H48" t="str">
        <f t="shared" si="1"/>
        <v>January</v>
      </c>
      <c r="I48" t="str">
        <f t="shared" si="2"/>
        <v>Q1</v>
      </c>
      <c r="J48" t="str">
        <f t="shared" si="3"/>
        <v>Large</v>
      </c>
    </row>
    <row r="49" spans="1:10" x14ac:dyDescent="0.25">
      <c r="A49" t="s">
        <v>38</v>
      </c>
      <c r="B49" t="s">
        <v>15</v>
      </c>
      <c r="C49" t="s">
        <v>37</v>
      </c>
      <c r="D49" s="1">
        <v>44606</v>
      </c>
      <c r="E49" s="2">
        <v>6979</v>
      </c>
      <c r="F49">
        <v>18</v>
      </c>
      <c r="G49" s="2">
        <f t="shared" si="0"/>
        <v>387.72222222222223</v>
      </c>
      <c r="H49" t="str">
        <f t="shared" si="1"/>
        <v>February</v>
      </c>
      <c r="I49" t="str">
        <f t="shared" si="2"/>
        <v>Q1</v>
      </c>
      <c r="J49" t="str">
        <f t="shared" si="3"/>
        <v>Large</v>
      </c>
    </row>
    <row r="50" spans="1:10" x14ac:dyDescent="0.25">
      <c r="A50" t="s">
        <v>36</v>
      </c>
      <c r="B50" t="s">
        <v>10</v>
      </c>
      <c r="C50" t="s">
        <v>30</v>
      </c>
      <c r="D50" s="1">
        <v>44722</v>
      </c>
      <c r="E50" s="2">
        <v>4382</v>
      </c>
      <c r="F50">
        <v>303</v>
      </c>
      <c r="G50" s="2">
        <f t="shared" si="0"/>
        <v>14.462046204620462</v>
      </c>
      <c r="H50" t="str">
        <f t="shared" si="1"/>
        <v>June</v>
      </c>
      <c r="I50" t="str">
        <f t="shared" si="2"/>
        <v>Q2</v>
      </c>
      <c r="J50" t="str">
        <f t="shared" si="3"/>
        <v>Large</v>
      </c>
    </row>
    <row r="51" spans="1:10" x14ac:dyDescent="0.25">
      <c r="A51" t="s">
        <v>38</v>
      </c>
      <c r="B51" t="s">
        <v>10</v>
      </c>
      <c r="C51" t="s">
        <v>42</v>
      </c>
      <c r="D51" s="1">
        <v>44749</v>
      </c>
      <c r="E51" s="2">
        <v>5243</v>
      </c>
      <c r="F51">
        <v>176</v>
      </c>
      <c r="G51" s="2">
        <f t="shared" si="0"/>
        <v>29.789772727272727</v>
      </c>
      <c r="H51" t="str">
        <f t="shared" si="1"/>
        <v>July</v>
      </c>
      <c r="I51" t="str">
        <f t="shared" si="2"/>
        <v>Q3</v>
      </c>
      <c r="J51" t="str">
        <f t="shared" si="3"/>
        <v>Large</v>
      </c>
    </row>
    <row r="52" spans="1:10" x14ac:dyDescent="0.25">
      <c r="A52" t="s">
        <v>38</v>
      </c>
      <c r="B52" t="s">
        <v>29</v>
      </c>
      <c r="C52" t="s">
        <v>47</v>
      </c>
      <c r="D52" s="1">
        <v>44644</v>
      </c>
      <c r="E52" s="2">
        <v>4865</v>
      </c>
      <c r="F52">
        <v>70</v>
      </c>
      <c r="G52" s="2">
        <f t="shared" si="0"/>
        <v>69.5</v>
      </c>
      <c r="H52" t="str">
        <f t="shared" si="1"/>
        <v>March</v>
      </c>
      <c r="I52" t="str">
        <f t="shared" si="2"/>
        <v>Q1</v>
      </c>
      <c r="J52" t="str">
        <f t="shared" si="3"/>
        <v>Large</v>
      </c>
    </row>
    <row r="53" spans="1:10" x14ac:dyDescent="0.25">
      <c r="A53" t="s">
        <v>23</v>
      </c>
      <c r="B53" t="s">
        <v>15</v>
      </c>
      <c r="C53" t="s">
        <v>42</v>
      </c>
      <c r="D53" s="1">
        <v>44718</v>
      </c>
      <c r="E53" s="2">
        <v>8575</v>
      </c>
      <c r="F53">
        <v>23</v>
      </c>
      <c r="G53" s="2">
        <f t="shared" si="0"/>
        <v>372.82608695652175</v>
      </c>
      <c r="H53" t="str">
        <f t="shared" si="1"/>
        <v>June</v>
      </c>
      <c r="I53" t="str">
        <f t="shared" si="2"/>
        <v>Q2</v>
      </c>
      <c r="J53" t="str">
        <f t="shared" si="3"/>
        <v>Large</v>
      </c>
    </row>
    <row r="54" spans="1:10" x14ac:dyDescent="0.25">
      <c r="A54" t="s">
        <v>54</v>
      </c>
      <c r="B54" t="s">
        <v>15</v>
      </c>
      <c r="C54" t="s">
        <v>32</v>
      </c>
      <c r="D54" s="1">
        <v>44761</v>
      </c>
      <c r="E54" s="2">
        <v>91</v>
      </c>
      <c r="F54">
        <v>135</v>
      </c>
      <c r="G54" s="2">
        <f t="shared" si="0"/>
        <v>0.67407407407407405</v>
      </c>
      <c r="H54" t="str">
        <f t="shared" si="1"/>
        <v>July</v>
      </c>
      <c r="I54" t="str">
        <f t="shared" si="2"/>
        <v>Q3</v>
      </c>
      <c r="J54" t="str">
        <f t="shared" si="3"/>
        <v>Small</v>
      </c>
    </row>
    <row r="55" spans="1:10" x14ac:dyDescent="0.25">
      <c r="A55" t="s">
        <v>34</v>
      </c>
      <c r="B55" t="s">
        <v>26</v>
      </c>
      <c r="C55" t="s">
        <v>51</v>
      </c>
      <c r="D55" s="1">
        <v>44670</v>
      </c>
      <c r="E55" s="2">
        <v>14798</v>
      </c>
      <c r="F55">
        <v>83</v>
      </c>
      <c r="G55" s="2">
        <f t="shared" si="0"/>
        <v>178.28915662650601</v>
      </c>
      <c r="H55" t="str">
        <f t="shared" si="1"/>
        <v>April</v>
      </c>
      <c r="I55" t="str">
        <f t="shared" si="2"/>
        <v>Q2</v>
      </c>
      <c r="J55" t="str">
        <f t="shared" si="3"/>
        <v>Large</v>
      </c>
    </row>
    <row r="56" spans="1:10" x14ac:dyDescent="0.25">
      <c r="A56" t="s">
        <v>33</v>
      </c>
      <c r="B56" t="s">
        <v>10</v>
      </c>
      <c r="C56" t="s">
        <v>11</v>
      </c>
      <c r="D56" s="1">
        <v>44761</v>
      </c>
      <c r="E56" s="2">
        <v>2205</v>
      </c>
      <c r="F56">
        <v>179</v>
      </c>
      <c r="G56" s="2">
        <f t="shared" si="0"/>
        <v>12.318435754189943</v>
      </c>
      <c r="H56" t="str">
        <f t="shared" si="1"/>
        <v>July</v>
      </c>
      <c r="I56" t="str">
        <f t="shared" si="2"/>
        <v>Q3</v>
      </c>
      <c r="J56" t="str">
        <f t="shared" si="3"/>
        <v>Large</v>
      </c>
    </row>
    <row r="57" spans="1:10" x14ac:dyDescent="0.25">
      <c r="A57" t="s">
        <v>6</v>
      </c>
      <c r="B57" t="s">
        <v>29</v>
      </c>
      <c r="C57" t="s">
        <v>32</v>
      </c>
      <c r="D57" s="1">
        <v>44757</v>
      </c>
      <c r="E57" s="2">
        <v>441</v>
      </c>
      <c r="F57">
        <v>24</v>
      </c>
      <c r="G57" s="2">
        <f t="shared" si="0"/>
        <v>18.375</v>
      </c>
      <c r="H57" t="str">
        <f t="shared" si="1"/>
        <v>July</v>
      </c>
      <c r="I57" t="str">
        <f t="shared" si="2"/>
        <v>Q3</v>
      </c>
      <c r="J57" t="str">
        <f t="shared" si="3"/>
        <v>Small</v>
      </c>
    </row>
    <row r="58" spans="1:10" x14ac:dyDescent="0.25">
      <c r="A58" t="s">
        <v>55</v>
      </c>
      <c r="B58" t="s">
        <v>21</v>
      </c>
      <c r="C58" t="s">
        <v>39</v>
      </c>
      <c r="D58" s="1">
        <v>44606</v>
      </c>
      <c r="E58" s="2">
        <v>3556</v>
      </c>
      <c r="F58">
        <v>18</v>
      </c>
      <c r="G58" s="2">
        <f t="shared" si="0"/>
        <v>197.55555555555554</v>
      </c>
      <c r="H58" t="str">
        <f t="shared" si="1"/>
        <v>February</v>
      </c>
      <c r="I58" t="str">
        <f t="shared" si="2"/>
        <v>Q1</v>
      </c>
      <c r="J58" t="str">
        <f t="shared" si="3"/>
        <v>Large</v>
      </c>
    </row>
    <row r="59" spans="1:10" x14ac:dyDescent="0.25">
      <c r="A59" t="s">
        <v>23</v>
      </c>
      <c r="B59" t="s">
        <v>29</v>
      </c>
      <c r="C59" t="s">
        <v>18</v>
      </c>
      <c r="D59" s="1">
        <v>44699</v>
      </c>
      <c r="E59" s="2">
        <v>16793</v>
      </c>
      <c r="F59">
        <v>416</v>
      </c>
      <c r="G59" s="2">
        <f t="shared" si="0"/>
        <v>40.36778846153846</v>
      </c>
      <c r="H59" t="str">
        <f t="shared" si="1"/>
        <v>May</v>
      </c>
      <c r="I59" t="str">
        <f t="shared" si="2"/>
        <v>Q2</v>
      </c>
      <c r="J59" t="str">
        <f t="shared" si="3"/>
        <v>Large</v>
      </c>
    </row>
    <row r="60" spans="1:10" x14ac:dyDescent="0.25">
      <c r="A60" t="s">
        <v>25</v>
      </c>
      <c r="B60" t="s">
        <v>15</v>
      </c>
      <c r="C60" t="s">
        <v>42</v>
      </c>
      <c r="D60" s="1">
        <v>44742</v>
      </c>
      <c r="E60" s="2">
        <v>15421</v>
      </c>
      <c r="F60">
        <v>55</v>
      </c>
      <c r="G60" s="2">
        <f t="shared" si="0"/>
        <v>280.38181818181818</v>
      </c>
      <c r="H60" t="str">
        <f t="shared" si="1"/>
        <v>June</v>
      </c>
      <c r="I60" t="str">
        <f t="shared" si="2"/>
        <v>Q2</v>
      </c>
      <c r="J60" t="str">
        <f t="shared" si="3"/>
        <v>Large</v>
      </c>
    </row>
    <row r="61" spans="1:10" x14ac:dyDescent="0.25">
      <c r="A61" t="s">
        <v>48</v>
      </c>
      <c r="B61" t="s">
        <v>15</v>
      </c>
      <c r="C61" t="s">
        <v>22</v>
      </c>
      <c r="D61" s="1">
        <v>44714</v>
      </c>
      <c r="E61" s="2">
        <v>4438</v>
      </c>
      <c r="F61">
        <v>227</v>
      </c>
      <c r="G61" s="2">
        <f t="shared" si="0"/>
        <v>19.550660792951543</v>
      </c>
      <c r="H61" t="str">
        <f t="shared" si="1"/>
        <v>June</v>
      </c>
      <c r="I61" t="str">
        <f t="shared" si="2"/>
        <v>Q2</v>
      </c>
      <c r="J61" t="str">
        <f t="shared" si="3"/>
        <v>Large</v>
      </c>
    </row>
    <row r="62" spans="1:10" x14ac:dyDescent="0.25">
      <c r="A62" t="s">
        <v>48</v>
      </c>
      <c r="B62" t="s">
        <v>15</v>
      </c>
      <c r="C62" t="s">
        <v>32</v>
      </c>
      <c r="D62" s="1">
        <v>44740</v>
      </c>
      <c r="E62" s="2">
        <v>1603</v>
      </c>
      <c r="F62">
        <v>48</v>
      </c>
      <c r="G62" s="2">
        <f t="shared" si="0"/>
        <v>33.395833333333336</v>
      </c>
      <c r="H62" t="str">
        <f t="shared" si="1"/>
        <v>June</v>
      </c>
      <c r="I62" t="str">
        <f t="shared" si="2"/>
        <v>Q2</v>
      </c>
      <c r="J62" t="str">
        <f t="shared" si="3"/>
        <v>Large</v>
      </c>
    </row>
    <row r="63" spans="1:10" x14ac:dyDescent="0.25">
      <c r="A63" t="s">
        <v>33</v>
      </c>
      <c r="B63" t="s">
        <v>15</v>
      </c>
      <c r="C63" t="s">
        <v>35</v>
      </c>
      <c r="D63" s="1">
        <v>44697</v>
      </c>
      <c r="E63" s="2">
        <v>273</v>
      </c>
      <c r="F63">
        <v>174</v>
      </c>
      <c r="G63" s="2">
        <f t="shared" si="0"/>
        <v>1.5689655172413792</v>
      </c>
      <c r="H63" t="str">
        <f t="shared" si="1"/>
        <v>May</v>
      </c>
      <c r="I63" t="str">
        <f t="shared" si="2"/>
        <v>Q2</v>
      </c>
      <c r="J63" t="str">
        <f t="shared" si="3"/>
        <v>Small</v>
      </c>
    </row>
    <row r="64" spans="1:10" x14ac:dyDescent="0.25">
      <c r="A64" t="s">
        <v>49</v>
      </c>
      <c r="B64" t="s">
        <v>29</v>
      </c>
      <c r="C64" t="s">
        <v>56</v>
      </c>
      <c r="D64" s="1">
        <v>44707</v>
      </c>
      <c r="E64" s="2">
        <v>3073</v>
      </c>
      <c r="F64">
        <v>302</v>
      </c>
      <c r="G64" s="2">
        <f t="shared" si="0"/>
        <v>10.175496688741722</v>
      </c>
      <c r="H64" t="str">
        <f t="shared" si="1"/>
        <v>May</v>
      </c>
      <c r="I64" t="str">
        <f t="shared" si="2"/>
        <v>Q2</v>
      </c>
      <c r="J64" t="str">
        <f t="shared" si="3"/>
        <v>Large</v>
      </c>
    </row>
    <row r="65" spans="1:10" x14ac:dyDescent="0.25">
      <c r="A65" t="s">
        <v>31</v>
      </c>
      <c r="B65" t="s">
        <v>10</v>
      </c>
      <c r="C65" t="s">
        <v>47</v>
      </c>
      <c r="D65" s="1">
        <v>44748</v>
      </c>
      <c r="E65" s="2">
        <v>6090</v>
      </c>
      <c r="F65">
        <v>149</v>
      </c>
      <c r="G65" s="2">
        <f t="shared" si="0"/>
        <v>40.872483221476507</v>
      </c>
      <c r="H65" t="str">
        <f t="shared" si="1"/>
        <v>July</v>
      </c>
      <c r="I65" t="str">
        <f t="shared" si="2"/>
        <v>Q3</v>
      </c>
      <c r="J65" t="str">
        <f t="shared" si="3"/>
        <v>Large</v>
      </c>
    </row>
    <row r="66" spans="1:10" x14ac:dyDescent="0.25">
      <c r="A66" t="s">
        <v>17</v>
      </c>
      <c r="B66" t="s">
        <v>10</v>
      </c>
      <c r="C66" t="s">
        <v>18</v>
      </c>
      <c r="D66" s="1">
        <v>44708</v>
      </c>
      <c r="E66" s="2">
        <v>10255</v>
      </c>
      <c r="F66">
        <v>11</v>
      </c>
      <c r="G66" s="2">
        <f t="shared" si="0"/>
        <v>932.27272727272725</v>
      </c>
      <c r="H66" t="str">
        <f t="shared" si="1"/>
        <v>May</v>
      </c>
      <c r="I66" t="str">
        <f t="shared" si="2"/>
        <v>Q2</v>
      </c>
      <c r="J66" t="str">
        <f t="shared" si="3"/>
        <v>Large</v>
      </c>
    </row>
    <row r="67" spans="1:10" x14ac:dyDescent="0.25">
      <c r="A67" t="s">
        <v>46</v>
      </c>
      <c r="B67" t="s">
        <v>15</v>
      </c>
      <c r="C67" t="s">
        <v>57</v>
      </c>
      <c r="D67" s="1">
        <v>44665</v>
      </c>
      <c r="E67" s="2">
        <v>2030</v>
      </c>
      <c r="F67">
        <v>11</v>
      </c>
      <c r="G67" s="2">
        <f t="shared" ref="G67:G130" si="4">E67/F67</f>
        <v>184.54545454545453</v>
      </c>
      <c r="H67" t="str">
        <f t="shared" ref="H67:H130" si="5">TEXT(D67, "mmmm")</f>
        <v>April</v>
      </c>
      <c r="I67" t="str">
        <f t="shared" ref="I67:I130" si="6">"Q" &amp; ROUNDUP(MONTH(D67)/3,0)</f>
        <v>Q2</v>
      </c>
      <c r="J67" t="str">
        <f t="shared" ref="J67:J130" si="7">IF(E67 &gt; 500, "Large", "Small")</f>
        <v>Large</v>
      </c>
    </row>
    <row r="68" spans="1:10" x14ac:dyDescent="0.25">
      <c r="A68" t="s">
        <v>9</v>
      </c>
      <c r="B68" t="s">
        <v>15</v>
      </c>
      <c r="C68" t="s">
        <v>35</v>
      </c>
      <c r="D68" s="1">
        <v>44783</v>
      </c>
      <c r="E68" s="2">
        <v>19453</v>
      </c>
      <c r="F68">
        <v>14</v>
      </c>
      <c r="G68" s="2">
        <f t="shared" si="4"/>
        <v>1389.5</v>
      </c>
      <c r="H68" t="str">
        <f t="shared" si="5"/>
        <v>August</v>
      </c>
      <c r="I68" t="str">
        <f t="shared" si="6"/>
        <v>Q3</v>
      </c>
      <c r="J68" t="str">
        <f t="shared" si="7"/>
        <v>Large</v>
      </c>
    </row>
    <row r="69" spans="1:10" x14ac:dyDescent="0.25">
      <c r="A69" t="s">
        <v>50</v>
      </c>
      <c r="B69" t="s">
        <v>10</v>
      </c>
      <c r="C69" t="s">
        <v>22</v>
      </c>
      <c r="D69" s="1">
        <v>44746</v>
      </c>
      <c r="E69" s="2">
        <v>9275</v>
      </c>
      <c r="F69">
        <v>411</v>
      </c>
      <c r="G69" s="2">
        <f t="shared" si="4"/>
        <v>22.566909975669098</v>
      </c>
      <c r="H69" t="str">
        <f t="shared" si="5"/>
        <v>July</v>
      </c>
      <c r="I69" t="str">
        <f t="shared" si="6"/>
        <v>Q3</v>
      </c>
      <c r="J69" t="str">
        <f t="shared" si="7"/>
        <v>Large</v>
      </c>
    </row>
    <row r="70" spans="1:10" x14ac:dyDescent="0.25">
      <c r="A70" t="s">
        <v>17</v>
      </c>
      <c r="B70" t="s">
        <v>10</v>
      </c>
      <c r="C70" t="s">
        <v>35</v>
      </c>
      <c r="D70" s="1">
        <v>44750</v>
      </c>
      <c r="E70" s="2">
        <v>6181</v>
      </c>
      <c r="F70">
        <v>56</v>
      </c>
      <c r="G70" s="2">
        <f t="shared" si="4"/>
        <v>110.375</v>
      </c>
      <c r="H70" t="str">
        <f t="shared" si="5"/>
        <v>July</v>
      </c>
      <c r="I70" t="str">
        <f t="shared" si="6"/>
        <v>Q3</v>
      </c>
      <c r="J70" t="str">
        <f t="shared" si="7"/>
        <v>Large</v>
      </c>
    </row>
    <row r="71" spans="1:10" x14ac:dyDescent="0.25">
      <c r="A71" t="s">
        <v>14</v>
      </c>
      <c r="B71" t="s">
        <v>26</v>
      </c>
      <c r="C71" t="s">
        <v>13</v>
      </c>
      <c r="D71" s="1">
        <v>44764</v>
      </c>
      <c r="E71" s="2">
        <v>9037</v>
      </c>
      <c r="F71">
        <v>102</v>
      </c>
      <c r="G71" s="2">
        <f t="shared" si="4"/>
        <v>88.598039215686271</v>
      </c>
      <c r="H71" t="str">
        <f t="shared" si="5"/>
        <v>July</v>
      </c>
      <c r="I71" t="str">
        <f t="shared" si="6"/>
        <v>Q3</v>
      </c>
      <c r="J71" t="str">
        <f t="shared" si="7"/>
        <v>Large</v>
      </c>
    </row>
    <row r="72" spans="1:10" x14ac:dyDescent="0.25">
      <c r="A72" t="s">
        <v>12</v>
      </c>
      <c r="B72" t="s">
        <v>26</v>
      </c>
      <c r="C72" t="s">
        <v>52</v>
      </c>
      <c r="D72" s="1">
        <v>44622</v>
      </c>
      <c r="E72" s="2">
        <v>12313</v>
      </c>
      <c r="F72">
        <v>103</v>
      </c>
      <c r="G72" s="2">
        <f t="shared" si="4"/>
        <v>119.54368932038835</v>
      </c>
      <c r="H72" t="str">
        <f t="shared" si="5"/>
        <v>March</v>
      </c>
      <c r="I72" t="str">
        <f t="shared" si="6"/>
        <v>Q1</v>
      </c>
      <c r="J72" t="str">
        <f t="shared" si="7"/>
        <v>Large</v>
      </c>
    </row>
    <row r="73" spans="1:10" x14ac:dyDescent="0.25">
      <c r="A73" t="s">
        <v>12</v>
      </c>
      <c r="B73" t="s">
        <v>7</v>
      </c>
      <c r="C73" t="s">
        <v>47</v>
      </c>
      <c r="D73" s="1">
        <v>44571</v>
      </c>
      <c r="E73" s="2">
        <v>5642</v>
      </c>
      <c r="F73">
        <v>9</v>
      </c>
      <c r="G73" s="2">
        <f t="shared" si="4"/>
        <v>626.88888888888891</v>
      </c>
      <c r="H73" t="str">
        <f t="shared" si="5"/>
        <v>January</v>
      </c>
      <c r="I73" t="str">
        <f t="shared" si="6"/>
        <v>Q1</v>
      </c>
      <c r="J73" t="str">
        <f t="shared" si="7"/>
        <v>Large</v>
      </c>
    </row>
    <row r="74" spans="1:10" x14ac:dyDescent="0.25">
      <c r="A74" t="s">
        <v>6</v>
      </c>
      <c r="B74" t="s">
        <v>21</v>
      </c>
      <c r="C74" t="s">
        <v>44</v>
      </c>
      <c r="D74" s="1">
        <v>44631</v>
      </c>
      <c r="E74" s="2">
        <v>2800</v>
      </c>
      <c r="F74">
        <v>241</v>
      </c>
      <c r="G74" s="2">
        <f t="shared" si="4"/>
        <v>11.618257261410788</v>
      </c>
      <c r="H74" t="str">
        <f t="shared" si="5"/>
        <v>March</v>
      </c>
      <c r="I74" t="str">
        <f t="shared" si="6"/>
        <v>Q1</v>
      </c>
      <c r="J74" t="str">
        <f t="shared" si="7"/>
        <v>Large</v>
      </c>
    </row>
    <row r="75" spans="1:10" x14ac:dyDescent="0.25">
      <c r="A75" t="s">
        <v>48</v>
      </c>
      <c r="B75" t="s">
        <v>21</v>
      </c>
      <c r="C75" t="s">
        <v>13</v>
      </c>
      <c r="D75" s="1">
        <v>44732</v>
      </c>
      <c r="E75" s="2">
        <v>959</v>
      </c>
      <c r="F75">
        <v>265</v>
      </c>
      <c r="G75" s="2">
        <f t="shared" si="4"/>
        <v>3.6188679245283017</v>
      </c>
      <c r="H75" t="str">
        <f t="shared" si="5"/>
        <v>June</v>
      </c>
      <c r="I75" t="str">
        <f t="shared" si="6"/>
        <v>Q2</v>
      </c>
      <c r="J75" t="str">
        <f t="shared" si="7"/>
        <v>Large</v>
      </c>
    </row>
    <row r="76" spans="1:10" x14ac:dyDescent="0.25">
      <c r="A76" t="s">
        <v>9</v>
      </c>
      <c r="B76" t="s">
        <v>7</v>
      </c>
      <c r="C76" t="s">
        <v>35</v>
      </c>
      <c r="D76" s="1">
        <v>44799</v>
      </c>
      <c r="E76" s="2">
        <v>2002</v>
      </c>
      <c r="F76">
        <v>214</v>
      </c>
      <c r="G76" s="2">
        <f t="shared" si="4"/>
        <v>9.3551401869158877</v>
      </c>
      <c r="H76" t="str">
        <f t="shared" si="5"/>
        <v>August</v>
      </c>
      <c r="I76" t="str">
        <f t="shared" si="6"/>
        <v>Q3</v>
      </c>
      <c r="J76" t="str">
        <f t="shared" si="7"/>
        <v>Large</v>
      </c>
    </row>
    <row r="77" spans="1:10" x14ac:dyDescent="0.25">
      <c r="A77" t="s">
        <v>36</v>
      </c>
      <c r="B77" t="s">
        <v>29</v>
      </c>
      <c r="C77" t="s">
        <v>37</v>
      </c>
      <c r="D77" s="1">
        <v>44755</v>
      </c>
      <c r="E77" s="2">
        <v>609</v>
      </c>
      <c r="F77">
        <v>32</v>
      </c>
      <c r="G77" s="2">
        <f t="shared" si="4"/>
        <v>19.03125</v>
      </c>
      <c r="H77" t="str">
        <f t="shared" si="5"/>
        <v>July</v>
      </c>
      <c r="I77" t="str">
        <f t="shared" si="6"/>
        <v>Q3</v>
      </c>
      <c r="J77" t="str">
        <f t="shared" si="7"/>
        <v>Large</v>
      </c>
    </row>
    <row r="78" spans="1:10" x14ac:dyDescent="0.25">
      <c r="A78" t="s">
        <v>50</v>
      </c>
      <c r="B78" t="s">
        <v>26</v>
      </c>
      <c r="C78" t="s">
        <v>39</v>
      </c>
      <c r="D78" s="1">
        <v>44603</v>
      </c>
      <c r="E78" s="2">
        <v>1274</v>
      </c>
      <c r="F78">
        <v>244</v>
      </c>
      <c r="G78" s="2">
        <f t="shared" si="4"/>
        <v>5.221311475409836</v>
      </c>
      <c r="H78" t="str">
        <f t="shared" si="5"/>
        <v>February</v>
      </c>
      <c r="I78" t="str">
        <f t="shared" si="6"/>
        <v>Q1</v>
      </c>
      <c r="J78" t="str">
        <f t="shared" si="7"/>
        <v>Large</v>
      </c>
    </row>
    <row r="79" spans="1:10" x14ac:dyDescent="0.25">
      <c r="A79" t="s">
        <v>33</v>
      </c>
      <c r="B79" t="s">
        <v>26</v>
      </c>
      <c r="C79" t="s">
        <v>27</v>
      </c>
      <c r="D79" s="1">
        <v>44588</v>
      </c>
      <c r="E79" s="2">
        <v>7595</v>
      </c>
      <c r="F79">
        <v>181</v>
      </c>
      <c r="G79" s="2">
        <f t="shared" si="4"/>
        <v>41.961325966850829</v>
      </c>
      <c r="H79" t="str">
        <f t="shared" si="5"/>
        <v>January</v>
      </c>
      <c r="I79" t="str">
        <f t="shared" si="6"/>
        <v>Q1</v>
      </c>
      <c r="J79" t="str">
        <f t="shared" si="7"/>
        <v>Large</v>
      </c>
    </row>
    <row r="80" spans="1:10" x14ac:dyDescent="0.25">
      <c r="A80" t="s">
        <v>9</v>
      </c>
      <c r="B80" t="s">
        <v>7</v>
      </c>
      <c r="C80" t="s">
        <v>18</v>
      </c>
      <c r="D80" s="1">
        <v>44592</v>
      </c>
      <c r="E80" s="2">
        <v>4725</v>
      </c>
      <c r="F80">
        <v>137</v>
      </c>
      <c r="G80" s="2">
        <f t="shared" si="4"/>
        <v>34.489051094890513</v>
      </c>
      <c r="H80" t="str">
        <f t="shared" si="5"/>
        <v>January</v>
      </c>
      <c r="I80" t="str">
        <f t="shared" si="6"/>
        <v>Q1</v>
      </c>
      <c r="J80" t="str">
        <f t="shared" si="7"/>
        <v>Large</v>
      </c>
    </row>
    <row r="81" spans="1:10" x14ac:dyDescent="0.25">
      <c r="A81" t="s">
        <v>50</v>
      </c>
      <c r="B81" t="s">
        <v>26</v>
      </c>
      <c r="C81" t="s">
        <v>44</v>
      </c>
      <c r="D81" s="1">
        <v>44791</v>
      </c>
      <c r="E81" s="2">
        <v>9681</v>
      </c>
      <c r="F81">
        <v>24</v>
      </c>
      <c r="G81" s="2">
        <f t="shared" si="4"/>
        <v>403.375</v>
      </c>
      <c r="H81" t="str">
        <f t="shared" si="5"/>
        <v>August</v>
      </c>
      <c r="I81" t="str">
        <f t="shared" si="6"/>
        <v>Q3</v>
      </c>
      <c r="J81" t="str">
        <f t="shared" si="7"/>
        <v>Large</v>
      </c>
    </row>
    <row r="82" spans="1:10" x14ac:dyDescent="0.25">
      <c r="A82" t="s">
        <v>48</v>
      </c>
      <c r="B82" t="s">
        <v>26</v>
      </c>
      <c r="C82" t="s">
        <v>51</v>
      </c>
      <c r="D82" s="1">
        <v>44742</v>
      </c>
      <c r="E82" s="2">
        <v>14504</v>
      </c>
      <c r="F82">
        <v>21</v>
      </c>
      <c r="G82" s="2">
        <f t="shared" si="4"/>
        <v>690.66666666666663</v>
      </c>
      <c r="H82" t="str">
        <f t="shared" si="5"/>
        <v>June</v>
      </c>
      <c r="I82" t="str">
        <f t="shared" si="6"/>
        <v>Q2</v>
      </c>
      <c r="J82" t="str">
        <f t="shared" si="7"/>
        <v>Large</v>
      </c>
    </row>
    <row r="83" spans="1:10" x14ac:dyDescent="0.25">
      <c r="A83" t="s">
        <v>54</v>
      </c>
      <c r="B83" t="s">
        <v>15</v>
      </c>
      <c r="C83" t="s">
        <v>42</v>
      </c>
      <c r="D83" s="1">
        <v>44796</v>
      </c>
      <c r="E83" s="2">
        <v>280</v>
      </c>
      <c r="F83">
        <v>311</v>
      </c>
      <c r="G83" s="2">
        <f t="shared" si="4"/>
        <v>0.90032154340836013</v>
      </c>
      <c r="H83" t="str">
        <f t="shared" si="5"/>
        <v>August</v>
      </c>
      <c r="I83" t="str">
        <f t="shared" si="6"/>
        <v>Q3</v>
      </c>
      <c r="J83" t="str">
        <f t="shared" si="7"/>
        <v>Small</v>
      </c>
    </row>
    <row r="84" spans="1:10" x14ac:dyDescent="0.25">
      <c r="A84" t="s">
        <v>23</v>
      </c>
      <c r="B84" t="s">
        <v>21</v>
      </c>
      <c r="C84" t="s">
        <v>8</v>
      </c>
      <c r="D84" s="1">
        <v>44774</v>
      </c>
      <c r="E84" s="2">
        <v>63</v>
      </c>
      <c r="F84">
        <v>181</v>
      </c>
      <c r="G84" s="2">
        <f t="shared" si="4"/>
        <v>0.34806629834254144</v>
      </c>
      <c r="H84" t="str">
        <f t="shared" si="5"/>
        <v>August</v>
      </c>
      <c r="I84" t="str">
        <f t="shared" si="6"/>
        <v>Q3</v>
      </c>
      <c r="J84" t="str">
        <f t="shared" si="7"/>
        <v>Small</v>
      </c>
    </row>
    <row r="85" spans="1:10" x14ac:dyDescent="0.25">
      <c r="A85" t="s">
        <v>36</v>
      </c>
      <c r="B85" t="s">
        <v>21</v>
      </c>
      <c r="C85" t="s">
        <v>20</v>
      </c>
      <c r="D85" s="1">
        <v>44706</v>
      </c>
      <c r="E85" s="2">
        <v>8001</v>
      </c>
      <c r="F85">
        <v>10</v>
      </c>
      <c r="G85" s="2">
        <f t="shared" si="4"/>
        <v>800.1</v>
      </c>
      <c r="H85" t="str">
        <f t="shared" si="5"/>
        <v>May</v>
      </c>
      <c r="I85" t="str">
        <f t="shared" si="6"/>
        <v>Q2</v>
      </c>
      <c r="J85" t="str">
        <f t="shared" si="7"/>
        <v>Large</v>
      </c>
    </row>
    <row r="86" spans="1:10" x14ac:dyDescent="0.25">
      <c r="A86" t="s">
        <v>36</v>
      </c>
      <c r="B86" t="s">
        <v>29</v>
      </c>
      <c r="C86" t="s">
        <v>35</v>
      </c>
      <c r="D86" s="1">
        <v>44571</v>
      </c>
      <c r="E86" s="2">
        <v>4032</v>
      </c>
      <c r="F86">
        <v>82</v>
      </c>
      <c r="G86" s="2">
        <f t="shared" si="4"/>
        <v>49.170731707317074</v>
      </c>
      <c r="H86" t="str">
        <f t="shared" si="5"/>
        <v>January</v>
      </c>
      <c r="I86" t="str">
        <f t="shared" si="6"/>
        <v>Q1</v>
      </c>
      <c r="J86" t="str">
        <f t="shared" si="7"/>
        <v>Large</v>
      </c>
    </row>
    <row r="87" spans="1:10" x14ac:dyDescent="0.25">
      <c r="A87" t="s">
        <v>43</v>
      </c>
      <c r="B87" t="s">
        <v>15</v>
      </c>
      <c r="C87" t="s">
        <v>58</v>
      </c>
      <c r="D87" s="1">
        <v>44599</v>
      </c>
      <c r="E87" s="2">
        <v>5859</v>
      </c>
      <c r="F87">
        <v>108</v>
      </c>
      <c r="G87" s="2">
        <f t="shared" si="4"/>
        <v>54.25</v>
      </c>
      <c r="H87" t="str">
        <f t="shared" si="5"/>
        <v>February</v>
      </c>
      <c r="I87" t="str">
        <f t="shared" si="6"/>
        <v>Q1</v>
      </c>
      <c r="J87" t="str">
        <f t="shared" si="7"/>
        <v>Large</v>
      </c>
    </row>
    <row r="88" spans="1:10" x14ac:dyDescent="0.25">
      <c r="A88" t="s">
        <v>31</v>
      </c>
      <c r="B88" t="s">
        <v>26</v>
      </c>
      <c r="C88" t="s">
        <v>27</v>
      </c>
      <c r="D88" s="1">
        <v>44693</v>
      </c>
      <c r="E88" s="2">
        <v>11095</v>
      </c>
      <c r="F88">
        <v>401</v>
      </c>
      <c r="G88" s="2">
        <f t="shared" si="4"/>
        <v>27.668329177057355</v>
      </c>
      <c r="H88" t="str">
        <f t="shared" si="5"/>
        <v>May</v>
      </c>
      <c r="I88" t="str">
        <f t="shared" si="6"/>
        <v>Q2</v>
      </c>
      <c r="J88" t="str">
        <f t="shared" si="7"/>
        <v>Large</v>
      </c>
    </row>
    <row r="89" spans="1:10" x14ac:dyDescent="0.25">
      <c r="A89" t="s">
        <v>53</v>
      </c>
      <c r="B89" t="s">
        <v>15</v>
      </c>
      <c r="C89" t="s">
        <v>39</v>
      </c>
      <c r="D89" s="1">
        <v>44627</v>
      </c>
      <c r="E89" s="2">
        <v>7182</v>
      </c>
      <c r="F89">
        <v>408</v>
      </c>
      <c r="G89" s="2">
        <f t="shared" si="4"/>
        <v>17.602941176470587</v>
      </c>
      <c r="H89" t="str">
        <f t="shared" si="5"/>
        <v>March</v>
      </c>
      <c r="I89" t="str">
        <f t="shared" si="6"/>
        <v>Q1</v>
      </c>
      <c r="J89" t="str">
        <f t="shared" si="7"/>
        <v>Large</v>
      </c>
    </row>
    <row r="90" spans="1:10" x14ac:dyDescent="0.25">
      <c r="A90" t="s">
        <v>43</v>
      </c>
      <c r="B90" t="s">
        <v>15</v>
      </c>
      <c r="C90" t="s">
        <v>11</v>
      </c>
      <c r="D90" s="1">
        <v>44656</v>
      </c>
      <c r="E90" s="2">
        <v>6881</v>
      </c>
      <c r="F90">
        <v>420</v>
      </c>
      <c r="G90" s="2">
        <f t="shared" si="4"/>
        <v>16.383333333333333</v>
      </c>
      <c r="H90" t="str">
        <f t="shared" si="5"/>
        <v>April</v>
      </c>
      <c r="I90" t="str">
        <f t="shared" si="6"/>
        <v>Q2</v>
      </c>
      <c r="J90" t="str">
        <f t="shared" si="7"/>
        <v>Large</v>
      </c>
    </row>
    <row r="91" spans="1:10" x14ac:dyDescent="0.25">
      <c r="A91" t="s">
        <v>48</v>
      </c>
      <c r="B91" t="s">
        <v>29</v>
      </c>
      <c r="C91" t="s">
        <v>57</v>
      </c>
      <c r="D91" s="1">
        <v>44564</v>
      </c>
      <c r="E91" s="2">
        <v>7154</v>
      </c>
      <c r="F91">
        <v>348</v>
      </c>
      <c r="G91" s="2">
        <f t="shared" si="4"/>
        <v>20.557471264367816</v>
      </c>
      <c r="H91" t="str">
        <f t="shared" si="5"/>
        <v>January</v>
      </c>
      <c r="I91" t="str">
        <f t="shared" si="6"/>
        <v>Q1</v>
      </c>
      <c r="J91" t="str">
        <f t="shared" si="7"/>
        <v>Large</v>
      </c>
    </row>
    <row r="92" spans="1:10" x14ac:dyDescent="0.25">
      <c r="A92" t="s">
        <v>43</v>
      </c>
      <c r="B92" t="s">
        <v>7</v>
      </c>
      <c r="C92" t="s">
        <v>30</v>
      </c>
      <c r="D92" s="1">
        <v>44644</v>
      </c>
      <c r="E92" s="2">
        <v>6188</v>
      </c>
      <c r="F92">
        <v>270</v>
      </c>
      <c r="G92" s="2">
        <f t="shared" si="4"/>
        <v>22.918518518518518</v>
      </c>
      <c r="H92" t="str">
        <f t="shared" si="5"/>
        <v>March</v>
      </c>
      <c r="I92" t="str">
        <f t="shared" si="6"/>
        <v>Q1</v>
      </c>
      <c r="J92" t="str">
        <f t="shared" si="7"/>
        <v>Large</v>
      </c>
    </row>
    <row r="93" spans="1:10" x14ac:dyDescent="0.25">
      <c r="A93" t="s">
        <v>53</v>
      </c>
      <c r="B93" t="s">
        <v>10</v>
      </c>
      <c r="C93" t="s">
        <v>51</v>
      </c>
      <c r="D93" s="1">
        <v>44749</v>
      </c>
      <c r="E93" s="2">
        <v>4221</v>
      </c>
      <c r="F93">
        <v>9</v>
      </c>
      <c r="G93" s="2">
        <f t="shared" si="4"/>
        <v>469</v>
      </c>
      <c r="H93" t="str">
        <f t="shared" si="5"/>
        <v>July</v>
      </c>
      <c r="I93" t="str">
        <f t="shared" si="6"/>
        <v>Q3</v>
      </c>
      <c r="J93" t="str">
        <f t="shared" si="7"/>
        <v>Large</v>
      </c>
    </row>
    <row r="94" spans="1:10" x14ac:dyDescent="0.25">
      <c r="A94" t="s">
        <v>9</v>
      </c>
      <c r="B94" t="s">
        <v>26</v>
      </c>
      <c r="C94" t="s">
        <v>20</v>
      </c>
      <c r="D94" s="1">
        <v>44768</v>
      </c>
      <c r="E94" s="2">
        <v>630</v>
      </c>
      <c r="F94">
        <v>264</v>
      </c>
      <c r="G94" s="2">
        <f t="shared" si="4"/>
        <v>2.3863636363636362</v>
      </c>
      <c r="H94" t="str">
        <f t="shared" si="5"/>
        <v>July</v>
      </c>
      <c r="I94" t="str">
        <f t="shared" si="6"/>
        <v>Q3</v>
      </c>
      <c r="J94" t="str">
        <f t="shared" si="7"/>
        <v>Large</v>
      </c>
    </row>
    <row r="95" spans="1:10" x14ac:dyDescent="0.25">
      <c r="A95" t="s">
        <v>46</v>
      </c>
      <c r="B95" t="s">
        <v>15</v>
      </c>
      <c r="C95" t="s">
        <v>35</v>
      </c>
      <c r="D95" s="1">
        <v>44749</v>
      </c>
      <c r="E95" s="2">
        <v>1743</v>
      </c>
      <c r="F95">
        <v>111</v>
      </c>
      <c r="G95" s="2">
        <f t="shared" si="4"/>
        <v>15.702702702702704</v>
      </c>
      <c r="H95" t="str">
        <f t="shared" si="5"/>
        <v>July</v>
      </c>
      <c r="I95" t="str">
        <f t="shared" si="6"/>
        <v>Q3</v>
      </c>
      <c r="J95" t="str">
        <f t="shared" si="7"/>
        <v>Large</v>
      </c>
    </row>
    <row r="96" spans="1:10" x14ac:dyDescent="0.25">
      <c r="A96" t="s">
        <v>31</v>
      </c>
      <c r="B96" t="s">
        <v>29</v>
      </c>
      <c r="C96" t="s">
        <v>22</v>
      </c>
      <c r="D96" s="1">
        <v>44757</v>
      </c>
      <c r="E96" s="2">
        <v>2919</v>
      </c>
      <c r="F96">
        <v>65</v>
      </c>
      <c r="G96" s="2">
        <f t="shared" si="4"/>
        <v>44.907692307692308</v>
      </c>
      <c r="H96" t="str">
        <f t="shared" si="5"/>
        <v>July</v>
      </c>
      <c r="I96" t="str">
        <f t="shared" si="6"/>
        <v>Q3</v>
      </c>
      <c r="J96" t="str">
        <f t="shared" si="7"/>
        <v>Large</v>
      </c>
    </row>
    <row r="97" spans="1:10" x14ac:dyDescent="0.25">
      <c r="A97" t="s">
        <v>36</v>
      </c>
      <c r="B97" t="s">
        <v>21</v>
      </c>
      <c r="C97" t="s">
        <v>27</v>
      </c>
      <c r="D97" s="1">
        <v>44652</v>
      </c>
      <c r="E97" s="2">
        <v>49</v>
      </c>
      <c r="F97">
        <v>97</v>
      </c>
      <c r="G97" s="2">
        <f t="shared" si="4"/>
        <v>0.50515463917525771</v>
      </c>
      <c r="H97" t="str">
        <f t="shared" si="5"/>
        <v>April</v>
      </c>
      <c r="I97" t="str">
        <f t="shared" si="6"/>
        <v>Q2</v>
      </c>
      <c r="J97" t="str">
        <f t="shared" si="7"/>
        <v>Small</v>
      </c>
    </row>
    <row r="98" spans="1:10" x14ac:dyDescent="0.25">
      <c r="A98" t="s">
        <v>34</v>
      </c>
      <c r="B98" t="s">
        <v>15</v>
      </c>
      <c r="C98" t="s">
        <v>30</v>
      </c>
      <c r="D98" s="1">
        <v>44732</v>
      </c>
      <c r="E98" s="2">
        <v>1827</v>
      </c>
      <c r="F98">
        <v>6</v>
      </c>
      <c r="G98" s="2">
        <f t="shared" si="4"/>
        <v>304.5</v>
      </c>
      <c r="H98" t="str">
        <f t="shared" si="5"/>
        <v>June</v>
      </c>
      <c r="I98" t="str">
        <f t="shared" si="6"/>
        <v>Q2</v>
      </c>
      <c r="J98" t="str">
        <f t="shared" si="7"/>
        <v>Large</v>
      </c>
    </row>
    <row r="99" spans="1:10" x14ac:dyDescent="0.25">
      <c r="A99" t="s">
        <v>49</v>
      </c>
      <c r="B99" t="s">
        <v>7</v>
      </c>
      <c r="C99" t="s">
        <v>42</v>
      </c>
      <c r="D99" s="1">
        <v>44741</v>
      </c>
      <c r="E99" s="2">
        <v>13006</v>
      </c>
      <c r="F99">
        <v>482</v>
      </c>
      <c r="G99" s="2">
        <f t="shared" si="4"/>
        <v>26.983402489626556</v>
      </c>
      <c r="H99" t="str">
        <f t="shared" si="5"/>
        <v>June</v>
      </c>
      <c r="I99" t="str">
        <f t="shared" si="6"/>
        <v>Q2</v>
      </c>
      <c r="J99" t="str">
        <f t="shared" si="7"/>
        <v>Large</v>
      </c>
    </row>
    <row r="100" spans="1:10" x14ac:dyDescent="0.25">
      <c r="A100" t="s">
        <v>33</v>
      </c>
      <c r="B100" t="s">
        <v>26</v>
      </c>
      <c r="C100" t="s">
        <v>22</v>
      </c>
      <c r="D100" s="1">
        <v>44727</v>
      </c>
      <c r="E100" s="2">
        <v>1064</v>
      </c>
      <c r="F100">
        <v>106</v>
      </c>
      <c r="G100" s="2">
        <f t="shared" si="4"/>
        <v>10.037735849056604</v>
      </c>
      <c r="H100" t="str">
        <f t="shared" si="5"/>
        <v>June</v>
      </c>
      <c r="I100" t="str">
        <f t="shared" si="6"/>
        <v>Q2</v>
      </c>
      <c r="J100" t="str">
        <f t="shared" si="7"/>
        <v>Large</v>
      </c>
    </row>
    <row r="101" spans="1:10" x14ac:dyDescent="0.25">
      <c r="A101" t="s">
        <v>40</v>
      </c>
      <c r="B101" t="s">
        <v>26</v>
      </c>
      <c r="C101" t="s">
        <v>20</v>
      </c>
      <c r="D101" s="1">
        <v>44659</v>
      </c>
      <c r="E101" s="2">
        <v>11571</v>
      </c>
      <c r="F101">
        <v>180</v>
      </c>
      <c r="G101" s="2">
        <f t="shared" si="4"/>
        <v>64.283333333333331</v>
      </c>
      <c r="H101" t="str">
        <f t="shared" si="5"/>
        <v>April</v>
      </c>
      <c r="I101" t="str">
        <f t="shared" si="6"/>
        <v>Q2</v>
      </c>
      <c r="J101" t="str">
        <f t="shared" si="7"/>
        <v>Large</v>
      </c>
    </row>
    <row r="102" spans="1:10" x14ac:dyDescent="0.25">
      <c r="A102" t="s">
        <v>43</v>
      </c>
      <c r="B102" t="s">
        <v>15</v>
      </c>
      <c r="C102" t="s">
        <v>51</v>
      </c>
      <c r="D102" s="1">
        <v>44634</v>
      </c>
      <c r="E102" s="2">
        <v>5740</v>
      </c>
      <c r="F102">
        <v>31</v>
      </c>
      <c r="G102" s="2">
        <f t="shared" si="4"/>
        <v>185.16129032258064</v>
      </c>
      <c r="H102" t="str">
        <f t="shared" si="5"/>
        <v>March</v>
      </c>
      <c r="I102" t="str">
        <f t="shared" si="6"/>
        <v>Q1</v>
      </c>
      <c r="J102" t="str">
        <f t="shared" si="7"/>
        <v>Large</v>
      </c>
    </row>
    <row r="103" spans="1:10" x14ac:dyDescent="0.25">
      <c r="A103" t="s">
        <v>48</v>
      </c>
      <c r="B103" t="s">
        <v>26</v>
      </c>
      <c r="C103" t="s">
        <v>42</v>
      </c>
      <c r="D103" s="1">
        <v>44757</v>
      </c>
      <c r="E103" s="2">
        <v>1456</v>
      </c>
      <c r="F103">
        <v>359</v>
      </c>
      <c r="G103" s="2">
        <f t="shared" si="4"/>
        <v>4.0557103064066853</v>
      </c>
      <c r="H103" t="str">
        <f t="shared" si="5"/>
        <v>July</v>
      </c>
      <c r="I103" t="str">
        <f t="shared" si="6"/>
        <v>Q3</v>
      </c>
      <c r="J103" t="str">
        <f t="shared" si="7"/>
        <v>Large</v>
      </c>
    </row>
    <row r="104" spans="1:10" x14ac:dyDescent="0.25">
      <c r="A104" t="s">
        <v>49</v>
      </c>
      <c r="B104" t="s">
        <v>10</v>
      </c>
      <c r="C104" t="s">
        <v>30</v>
      </c>
      <c r="D104" s="1">
        <v>44670</v>
      </c>
      <c r="E104" s="2">
        <v>5334</v>
      </c>
      <c r="F104">
        <v>80</v>
      </c>
      <c r="G104" s="2">
        <f t="shared" si="4"/>
        <v>66.674999999999997</v>
      </c>
      <c r="H104" t="str">
        <f t="shared" si="5"/>
        <v>April</v>
      </c>
      <c r="I104" t="str">
        <f t="shared" si="6"/>
        <v>Q2</v>
      </c>
      <c r="J104" t="str">
        <f t="shared" si="7"/>
        <v>Large</v>
      </c>
    </row>
    <row r="105" spans="1:10" x14ac:dyDescent="0.25">
      <c r="A105" t="s">
        <v>33</v>
      </c>
      <c r="B105" t="s">
        <v>26</v>
      </c>
      <c r="C105" t="s">
        <v>18</v>
      </c>
      <c r="D105" s="1">
        <v>44648</v>
      </c>
      <c r="E105" s="2">
        <v>4151</v>
      </c>
      <c r="F105">
        <v>296</v>
      </c>
      <c r="G105" s="2">
        <f t="shared" si="4"/>
        <v>14.023648648648649</v>
      </c>
      <c r="H105" t="str">
        <f t="shared" si="5"/>
        <v>March</v>
      </c>
      <c r="I105" t="str">
        <f t="shared" si="6"/>
        <v>Q1</v>
      </c>
      <c r="J105" t="str">
        <f t="shared" si="7"/>
        <v>Large</v>
      </c>
    </row>
    <row r="106" spans="1:10" x14ac:dyDescent="0.25">
      <c r="A106" t="s">
        <v>23</v>
      </c>
      <c r="B106" t="s">
        <v>29</v>
      </c>
      <c r="C106" t="s">
        <v>39</v>
      </c>
      <c r="D106" s="1">
        <v>44624</v>
      </c>
      <c r="E106" s="2">
        <v>8106</v>
      </c>
      <c r="F106">
        <v>101</v>
      </c>
      <c r="G106" s="2">
        <f t="shared" si="4"/>
        <v>80.257425742574256</v>
      </c>
      <c r="H106" t="str">
        <f t="shared" si="5"/>
        <v>March</v>
      </c>
      <c r="I106" t="str">
        <f t="shared" si="6"/>
        <v>Q1</v>
      </c>
      <c r="J106" t="str">
        <f t="shared" si="7"/>
        <v>Large</v>
      </c>
    </row>
    <row r="107" spans="1:10" x14ac:dyDescent="0.25">
      <c r="A107" t="s">
        <v>31</v>
      </c>
      <c r="B107" t="s">
        <v>21</v>
      </c>
      <c r="C107" t="s">
        <v>58</v>
      </c>
      <c r="D107" s="1">
        <v>44775</v>
      </c>
      <c r="E107" s="2">
        <v>126</v>
      </c>
      <c r="F107">
        <v>40</v>
      </c>
      <c r="G107" s="2">
        <f t="shared" si="4"/>
        <v>3.15</v>
      </c>
      <c r="H107" t="str">
        <f t="shared" si="5"/>
        <v>August</v>
      </c>
      <c r="I107" t="str">
        <f t="shared" si="6"/>
        <v>Q3</v>
      </c>
      <c r="J107" t="str">
        <f t="shared" si="7"/>
        <v>Small</v>
      </c>
    </row>
    <row r="108" spans="1:10" x14ac:dyDescent="0.25">
      <c r="A108" t="s">
        <v>40</v>
      </c>
      <c r="B108" t="s">
        <v>7</v>
      </c>
      <c r="C108" t="s">
        <v>39</v>
      </c>
      <c r="D108" s="1">
        <v>44798</v>
      </c>
      <c r="E108" s="2">
        <v>4697</v>
      </c>
      <c r="F108">
        <v>42</v>
      </c>
      <c r="G108" s="2">
        <f t="shared" si="4"/>
        <v>111.83333333333333</v>
      </c>
      <c r="H108" t="str">
        <f t="shared" si="5"/>
        <v>August</v>
      </c>
      <c r="I108" t="str">
        <f t="shared" si="6"/>
        <v>Q3</v>
      </c>
      <c r="J108" t="str">
        <f t="shared" si="7"/>
        <v>Large</v>
      </c>
    </row>
    <row r="109" spans="1:10" x14ac:dyDescent="0.25">
      <c r="A109" t="s">
        <v>33</v>
      </c>
      <c r="B109" t="s">
        <v>26</v>
      </c>
      <c r="C109" t="s">
        <v>47</v>
      </c>
      <c r="D109" s="1">
        <v>44617</v>
      </c>
      <c r="E109" s="2">
        <v>7798</v>
      </c>
      <c r="F109">
        <v>167</v>
      </c>
      <c r="G109" s="2">
        <f t="shared" si="4"/>
        <v>46.694610778443113</v>
      </c>
      <c r="H109" t="str">
        <f t="shared" si="5"/>
        <v>February</v>
      </c>
      <c r="I109" t="str">
        <f t="shared" si="6"/>
        <v>Q1</v>
      </c>
      <c r="J109" t="str">
        <f t="shared" si="7"/>
        <v>Large</v>
      </c>
    </row>
    <row r="110" spans="1:10" x14ac:dyDescent="0.25">
      <c r="A110" t="s">
        <v>49</v>
      </c>
      <c r="B110" t="s">
        <v>10</v>
      </c>
      <c r="C110" t="s">
        <v>27</v>
      </c>
      <c r="D110" s="1">
        <v>44719</v>
      </c>
      <c r="E110" s="2">
        <v>9408</v>
      </c>
      <c r="F110">
        <v>138</v>
      </c>
      <c r="G110" s="2">
        <f t="shared" si="4"/>
        <v>68.173913043478265</v>
      </c>
      <c r="H110" t="str">
        <f t="shared" si="5"/>
        <v>June</v>
      </c>
      <c r="I110" t="str">
        <f t="shared" si="6"/>
        <v>Q2</v>
      </c>
      <c r="J110" t="str">
        <f t="shared" si="7"/>
        <v>Large</v>
      </c>
    </row>
    <row r="111" spans="1:10" x14ac:dyDescent="0.25">
      <c r="A111" t="s">
        <v>14</v>
      </c>
      <c r="B111" t="s">
        <v>10</v>
      </c>
      <c r="C111" t="s">
        <v>39</v>
      </c>
      <c r="D111" s="1">
        <v>44663</v>
      </c>
      <c r="E111" s="2">
        <v>1939</v>
      </c>
      <c r="F111">
        <v>520</v>
      </c>
      <c r="G111" s="2">
        <f t="shared" si="4"/>
        <v>3.7288461538461539</v>
      </c>
      <c r="H111" t="str">
        <f t="shared" si="5"/>
        <v>April</v>
      </c>
      <c r="I111" t="str">
        <f t="shared" si="6"/>
        <v>Q2</v>
      </c>
      <c r="J111" t="str">
        <f t="shared" si="7"/>
        <v>Large</v>
      </c>
    </row>
    <row r="112" spans="1:10" x14ac:dyDescent="0.25">
      <c r="A112" t="s">
        <v>55</v>
      </c>
      <c r="B112" t="s">
        <v>10</v>
      </c>
      <c r="C112" t="s">
        <v>39</v>
      </c>
      <c r="D112" s="1">
        <v>44748</v>
      </c>
      <c r="E112" s="2">
        <v>10906</v>
      </c>
      <c r="F112">
        <v>94</v>
      </c>
      <c r="G112" s="2">
        <f t="shared" si="4"/>
        <v>116.02127659574468</v>
      </c>
      <c r="H112" t="str">
        <f t="shared" si="5"/>
        <v>July</v>
      </c>
      <c r="I112" t="str">
        <f t="shared" si="6"/>
        <v>Q3</v>
      </c>
      <c r="J112" t="str">
        <f t="shared" si="7"/>
        <v>Large</v>
      </c>
    </row>
    <row r="113" spans="1:10" x14ac:dyDescent="0.25">
      <c r="A113" t="s">
        <v>49</v>
      </c>
      <c r="B113" t="s">
        <v>7</v>
      </c>
      <c r="C113" t="s">
        <v>16</v>
      </c>
      <c r="D113" s="1">
        <v>44580</v>
      </c>
      <c r="E113" s="2">
        <v>5929</v>
      </c>
      <c r="F113">
        <v>175</v>
      </c>
      <c r="G113" s="2">
        <f t="shared" si="4"/>
        <v>33.880000000000003</v>
      </c>
      <c r="H113" t="str">
        <f t="shared" si="5"/>
        <v>January</v>
      </c>
      <c r="I113" t="str">
        <f t="shared" si="6"/>
        <v>Q1</v>
      </c>
      <c r="J113" t="str">
        <f t="shared" si="7"/>
        <v>Large</v>
      </c>
    </row>
    <row r="114" spans="1:10" x14ac:dyDescent="0.25">
      <c r="A114" t="s">
        <v>53</v>
      </c>
      <c r="B114" t="s">
        <v>15</v>
      </c>
      <c r="C114" t="s">
        <v>42</v>
      </c>
      <c r="D114" s="1">
        <v>44566</v>
      </c>
      <c r="E114" s="2">
        <v>5579</v>
      </c>
      <c r="F114">
        <v>92</v>
      </c>
      <c r="G114" s="2">
        <f t="shared" si="4"/>
        <v>60.641304347826086</v>
      </c>
      <c r="H114" t="str">
        <f t="shared" si="5"/>
        <v>January</v>
      </c>
      <c r="I114" t="str">
        <f t="shared" si="6"/>
        <v>Q1</v>
      </c>
      <c r="J114" t="str">
        <f t="shared" si="7"/>
        <v>Large</v>
      </c>
    </row>
    <row r="115" spans="1:10" x14ac:dyDescent="0.25">
      <c r="A115" t="s">
        <v>53</v>
      </c>
      <c r="B115" t="s">
        <v>29</v>
      </c>
      <c r="C115" t="s">
        <v>58</v>
      </c>
      <c r="D115" s="1">
        <v>44585</v>
      </c>
      <c r="E115" s="2">
        <v>10927</v>
      </c>
      <c r="F115">
        <v>141</v>
      </c>
      <c r="G115" s="2">
        <f t="shared" si="4"/>
        <v>77.496453900709213</v>
      </c>
      <c r="H115" t="str">
        <f t="shared" si="5"/>
        <v>January</v>
      </c>
      <c r="I115" t="str">
        <f t="shared" si="6"/>
        <v>Q1</v>
      </c>
      <c r="J115" t="str">
        <f t="shared" si="7"/>
        <v>Large</v>
      </c>
    </row>
    <row r="116" spans="1:10" x14ac:dyDescent="0.25">
      <c r="A116" t="s">
        <v>46</v>
      </c>
      <c r="B116" t="s">
        <v>15</v>
      </c>
      <c r="C116" t="s">
        <v>32</v>
      </c>
      <c r="D116" s="1">
        <v>44657</v>
      </c>
      <c r="E116" s="2">
        <v>623</v>
      </c>
      <c r="F116">
        <v>283</v>
      </c>
      <c r="G116" s="2">
        <f t="shared" si="4"/>
        <v>2.2014134275618376</v>
      </c>
      <c r="H116" t="str">
        <f t="shared" si="5"/>
        <v>April</v>
      </c>
      <c r="I116" t="str">
        <f t="shared" si="6"/>
        <v>Q2</v>
      </c>
      <c r="J116" t="str">
        <f t="shared" si="7"/>
        <v>Large</v>
      </c>
    </row>
    <row r="117" spans="1:10" x14ac:dyDescent="0.25">
      <c r="A117" t="s">
        <v>19</v>
      </c>
      <c r="B117" t="s">
        <v>15</v>
      </c>
      <c r="C117" t="s">
        <v>42</v>
      </c>
      <c r="D117" s="1">
        <v>44727</v>
      </c>
      <c r="E117" s="2">
        <v>6013</v>
      </c>
      <c r="F117">
        <v>21</v>
      </c>
      <c r="G117" s="2">
        <f t="shared" si="4"/>
        <v>286.33333333333331</v>
      </c>
      <c r="H117" t="str">
        <f t="shared" si="5"/>
        <v>June</v>
      </c>
      <c r="I117" t="str">
        <f t="shared" si="6"/>
        <v>Q2</v>
      </c>
      <c r="J117" t="str">
        <f t="shared" si="7"/>
        <v>Large</v>
      </c>
    </row>
    <row r="118" spans="1:10" x14ac:dyDescent="0.25">
      <c r="A118" t="s">
        <v>12</v>
      </c>
      <c r="B118" t="s">
        <v>29</v>
      </c>
      <c r="C118" t="s">
        <v>56</v>
      </c>
      <c r="D118" s="1">
        <v>44589</v>
      </c>
      <c r="E118" s="2">
        <v>1505</v>
      </c>
      <c r="F118">
        <v>47</v>
      </c>
      <c r="G118" s="2">
        <f t="shared" si="4"/>
        <v>32.021276595744681</v>
      </c>
      <c r="H118" t="str">
        <f t="shared" si="5"/>
        <v>January</v>
      </c>
      <c r="I118" t="str">
        <f t="shared" si="6"/>
        <v>Q1</v>
      </c>
      <c r="J118" t="str">
        <f t="shared" si="7"/>
        <v>Large</v>
      </c>
    </row>
    <row r="119" spans="1:10" x14ac:dyDescent="0.25">
      <c r="A119" t="s">
        <v>49</v>
      </c>
      <c r="B119" t="s">
        <v>10</v>
      </c>
      <c r="C119" t="s">
        <v>57</v>
      </c>
      <c r="D119" s="1">
        <v>44636</v>
      </c>
      <c r="E119" s="2">
        <v>476</v>
      </c>
      <c r="F119">
        <v>125</v>
      </c>
      <c r="G119" s="2">
        <f t="shared" si="4"/>
        <v>3.8079999999999998</v>
      </c>
      <c r="H119" t="str">
        <f t="shared" si="5"/>
        <v>March</v>
      </c>
      <c r="I119" t="str">
        <f t="shared" si="6"/>
        <v>Q1</v>
      </c>
      <c r="J119" t="str">
        <f t="shared" si="7"/>
        <v>Small</v>
      </c>
    </row>
    <row r="120" spans="1:10" x14ac:dyDescent="0.25">
      <c r="A120" t="s">
        <v>24</v>
      </c>
      <c r="B120" t="s">
        <v>15</v>
      </c>
      <c r="C120" t="s">
        <v>32</v>
      </c>
      <c r="D120" s="1">
        <v>44613</v>
      </c>
      <c r="E120" s="2">
        <v>11550</v>
      </c>
      <c r="F120">
        <v>396</v>
      </c>
      <c r="G120" s="2">
        <f t="shared" si="4"/>
        <v>29.166666666666668</v>
      </c>
      <c r="H120" t="str">
        <f t="shared" si="5"/>
        <v>February</v>
      </c>
      <c r="I120" t="str">
        <f t="shared" si="6"/>
        <v>Q1</v>
      </c>
      <c r="J120" t="str">
        <f t="shared" si="7"/>
        <v>Large</v>
      </c>
    </row>
    <row r="121" spans="1:10" x14ac:dyDescent="0.25">
      <c r="A121" t="s">
        <v>49</v>
      </c>
      <c r="B121" t="s">
        <v>26</v>
      </c>
      <c r="C121" t="s">
        <v>45</v>
      </c>
      <c r="D121" s="1">
        <v>44608</v>
      </c>
      <c r="E121" s="2">
        <v>17318</v>
      </c>
      <c r="F121">
        <v>87</v>
      </c>
      <c r="G121" s="2">
        <f t="shared" si="4"/>
        <v>199.05747126436782</v>
      </c>
      <c r="H121" t="str">
        <f t="shared" si="5"/>
        <v>February</v>
      </c>
      <c r="I121" t="str">
        <f t="shared" si="6"/>
        <v>Q1</v>
      </c>
      <c r="J121" t="str">
        <f t="shared" si="7"/>
        <v>Large</v>
      </c>
    </row>
    <row r="122" spans="1:10" x14ac:dyDescent="0.25">
      <c r="A122" t="s">
        <v>6</v>
      </c>
      <c r="B122" t="s">
        <v>29</v>
      </c>
      <c r="C122" t="s">
        <v>39</v>
      </c>
      <c r="D122" s="1">
        <v>44574</v>
      </c>
      <c r="E122" s="2">
        <v>1848</v>
      </c>
      <c r="F122">
        <v>27</v>
      </c>
      <c r="G122" s="2">
        <f t="shared" si="4"/>
        <v>68.444444444444443</v>
      </c>
      <c r="H122" t="str">
        <f t="shared" si="5"/>
        <v>January</v>
      </c>
      <c r="I122" t="str">
        <f t="shared" si="6"/>
        <v>Q1</v>
      </c>
      <c r="J122" t="str">
        <f t="shared" si="7"/>
        <v>Large</v>
      </c>
    </row>
    <row r="123" spans="1:10" x14ac:dyDescent="0.25">
      <c r="A123" t="s">
        <v>49</v>
      </c>
      <c r="B123" t="s">
        <v>15</v>
      </c>
      <c r="C123" t="s">
        <v>30</v>
      </c>
      <c r="D123" s="1">
        <v>44643</v>
      </c>
      <c r="E123" s="2">
        <v>7273</v>
      </c>
      <c r="F123">
        <v>547</v>
      </c>
      <c r="G123" s="2">
        <f t="shared" si="4"/>
        <v>13.296160877513712</v>
      </c>
      <c r="H123" t="str">
        <f t="shared" si="5"/>
        <v>March</v>
      </c>
      <c r="I123" t="str">
        <f t="shared" si="6"/>
        <v>Q1</v>
      </c>
      <c r="J123" t="str">
        <f t="shared" si="7"/>
        <v>Large</v>
      </c>
    </row>
    <row r="124" spans="1:10" x14ac:dyDescent="0.25">
      <c r="A124" t="s">
        <v>38</v>
      </c>
      <c r="B124" t="s">
        <v>29</v>
      </c>
      <c r="C124" t="s">
        <v>39</v>
      </c>
      <c r="D124" s="1">
        <v>44728</v>
      </c>
      <c r="E124" s="2">
        <v>854</v>
      </c>
      <c r="F124">
        <v>118</v>
      </c>
      <c r="G124" s="2">
        <f t="shared" si="4"/>
        <v>7.2372881355932206</v>
      </c>
      <c r="H124" t="str">
        <f t="shared" si="5"/>
        <v>June</v>
      </c>
      <c r="I124" t="str">
        <f t="shared" si="6"/>
        <v>Q2</v>
      </c>
      <c r="J124" t="str">
        <f t="shared" si="7"/>
        <v>Large</v>
      </c>
    </row>
    <row r="125" spans="1:10" x14ac:dyDescent="0.25">
      <c r="A125" t="s">
        <v>17</v>
      </c>
      <c r="B125" t="s">
        <v>10</v>
      </c>
      <c r="C125" t="s">
        <v>51</v>
      </c>
      <c r="D125" s="1">
        <v>44665</v>
      </c>
      <c r="E125" s="2">
        <v>6832</v>
      </c>
      <c r="F125">
        <v>46</v>
      </c>
      <c r="G125" s="2">
        <f t="shared" si="4"/>
        <v>148.52173913043478</v>
      </c>
      <c r="H125" t="str">
        <f t="shared" si="5"/>
        <v>April</v>
      </c>
      <c r="I125" t="str">
        <f t="shared" si="6"/>
        <v>Q2</v>
      </c>
      <c r="J125" t="str">
        <f t="shared" si="7"/>
        <v>Large</v>
      </c>
    </row>
    <row r="126" spans="1:10" x14ac:dyDescent="0.25">
      <c r="A126" t="s">
        <v>49</v>
      </c>
      <c r="B126" t="s">
        <v>7</v>
      </c>
      <c r="C126" t="s">
        <v>30</v>
      </c>
      <c r="D126" s="1">
        <v>44586</v>
      </c>
      <c r="E126" s="2">
        <v>4606</v>
      </c>
      <c r="F126">
        <v>57</v>
      </c>
      <c r="G126" s="2">
        <f t="shared" si="4"/>
        <v>80.807017543859644</v>
      </c>
      <c r="H126" t="str">
        <f t="shared" si="5"/>
        <v>January</v>
      </c>
      <c r="I126" t="str">
        <f t="shared" si="6"/>
        <v>Q1</v>
      </c>
      <c r="J126" t="str">
        <f t="shared" si="7"/>
        <v>Large</v>
      </c>
    </row>
    <row r="127" spans="1:10" x14ac:dyDescent="0.25">
      <c r="A127" t="s">
        <v>14</v>
      </c>
      <c r="B127" t="s">
        <v>10</v>
      </c>
      <c r="C127" t="s">
        <v>47</v>
      </c>
      <c r="D127" s="1">
        <v>44631</v>
      </c>
      <c r="E127" s="2">
        <v>4466</v>
      </c>
      <c r="F127">
        <v>22</v>
      </c>
      <c r="G127" s="2">
        <f t="shared" si="4"/>
        <v>203</v>
      </c>
      <c r="H127" t="str">
        <f t="shared" si="5"/>
        <v>March</v>
      </c>
      <c r="I127" t="str">
        <f t="shared" si="6"/>
        <v>Q1</v>
      </c>
      <c r="J127" t="str">
        <f t="shared" si="7"/>
        <v>Large</v>
      </c>
    </row>
    <row r="128" spans="1:10" x14ac:dyDescent="0.25">
      <c r="A128" t="s">
        <v>54</v>
      </c>
      <c r="B128" t="s">
        <v>7</v>
      </c>
      <c r="C128" t="s">
        <v>47</v>
      </c>
      <c r="D128" s="1">
        <v>44770</v>
      </c>
      <c r="E128" s="2">
        <v>16114</v>
      </c>
      <c r="F128">
        <v>96</v>
      </c>
      <c r="G128" s="2">
        <f t="shared" si="4"/>
        <v>167.85416666666666</v>
      </c>
      <c r="H128" t="str">
        <f t="shared" si="5"/>
        <v>July</v>
      </c>
      <c r="I128" t="str">
        <f t="shared" si="6"/>
        <v>Q3</v>
      </c>
      <c r="J128" t="str">
        <f t="shared" si="7"/>
        <v>Large</v>
      </c>
    </row>
    <row r="129" spans="1:10" x14ac:dyDescent="0.25">
      <c r="A129" t="s">
        <v>33</v>
      </c>
      <c r="B129" t="s">
        <v>21</v>
      </c>
      <c r="C129" t="s">
        <v>20</v>
      </c>
      <c r="D129" s="1">
        <v>44629</v>
      </c>
      <c r="E129" s="2">
        <v>1561</v>
      </c>
      <c r="F129">
        <v>44</v>
      </c>
      <c r="G129" s="2">
        <f t="shared" si="4"/>
        <v>35.477272727272727</v>
      </c>
      <c r="H129" t="str">
        <f t="shared" si="5"/>
        <v>March</v>
      </c>
      <c r="I129" t="str">
        <f t="shared" si="6"/>
        <v>Q1</v>
      </c>
      <c r="J129" t="str">
        <f t="shared" si="7"/>
        <v>Large</v>
      </c>
    </row>
    <row r="130" spans="1:10" x14ac:dyDescent="0.25">
      <c r="A130" t="s">
        <v>40</v>
      </c>
      <c r="B130" t="s">
        <v>15</v>
      </c>
      <c r="C130" t="s">
        <v>27</v>
      </c>
      <c r="D130" s="1">
        <v>44740</v>
      </c>
      <c r="E130" s="2">
        <v>8897</v>
      </c>
      <c r="F130">
        <v>188</v>
      </c>
      <c r="G130" s="2">
        <f t="shared" si="4"/>
        <v>47.324468085106382</v>
      </c>
      <c r="H130" t="str">
        <f t="shared" si="5"/>
        <v>June</v>
      </c>
      <c r="I130" t="str">
        <f t="shared" si="6"/>
        <v>Q2</v>
      </c>
      <c r="J130" t="str">
        <f t="shared" si="7"/>
        <v>Large</v>
      </c>
    </row>
    <row r="131" spans="1:10" x14ac:dyDescent="0.25">
      <c r="A131" t="s">
        <v>33</v>
      </c>
      <c r="B131" t="s">
        <v>15</v>
      </c>
      <c r="C131" t="s">
        <v>37</v>
      </c>
      <c r="D131" s="1">
        <v>44770</v>
      </c>
      <c r="E131" s="2">
        <v>2464</v>
      </c>
      <c r="F131">
        <v>387</v>
      </c>
      <c r="G131" s="2">
        <f t="shared" ref="G131:G194" si="8">E131/F131</f>
        <v>6.3669250645994833</v>
      </c>
      <c r="H131" t="str">
        <f t="shared" ref="H131:H194" si="9">TEXT(D131, "mmmm")</f>
        <v>July</v>
      </c>
      <c r="I131" t="str">
        <f t="shared" ref="I131:I194" si="10">"Q" &amp; ROUNDUP(MONTH(D131)/3,0)</f>
        <v>Q3</v>
      </c>
      <c r="J131" t="str">
        <f t="shared" ref="J131:J194" si="11">IF(E131 &gt; 500, "Large", "Small")</f>
        <v>Large</v>
      </c>
    </row>
    <row r="132" spans="1:10" x14ac:dyDescent="0.25">
      <c r="A132" t="s">
        <v>49</v>
      </c>
      <c r="B132" t="s">
        <v>29</v>
      </c>
      <c r="C132" t="s">
        <v>18</v>
      </c>
      <c r="D132" s="1">
        <v>44788</v>
      </c>
      <c r="E132" s="2">
        <v>4830</v>
      </c>
      <c r="F132">
        <v>50</v>
      </c>
      <c r="G132" s="2">
        <f t="shared" si="8"/>
        <v>96.6</v>
      </c>
      <c r="H132" t="str">
        <f t="shared" si="9"/>
        <v>August</v>
      </c>
      <c r="I132" t="str">
        <f t="shared" si="10"/>
        <v>Q3</v>
      </c>
      <c r="J132" t="str">
        <f t="shared" si="11"/>
        <v>Large</v>
      </c>
    </row>
    <row r="133" spans="1:10" x14ac:dyDescent="0.25">
      <c r="A133" t="s">
        <v>41</v>
      </c>
      <c r="B133" t="s">
        <v>15</v>
      </c>
      <c r="C133" t="s">
        <v>45</v>
      </c>
      <c r="D133" s="1">
        <v>44573</v>
      </c>
      <c r="E133" s="2">
        <v>2765</v>
      </c>
      <c r="F133">
        <v>264</v>
      </c>
      <c r="G133" s="2">
        <f t="shared" si="8"/>
        <v>10.473484848484848</v>
      </c>
      <c r="H133" t="str">
        <f t="shared" si="9"/>
        <v>January</v>
      </c>
      <c r="I133" t="str">
        <f t="shared" si="10"/>
        <v>Q1</v>
      </c>
      <c r="J133" t="str">
        <f t="shared" si="11"/>
        <v>Large</v>
      </c>
    </row>
    <row r="134" spans="1:10" x14ac:dyDescent="0.25">
      <c r="A134" t="s">
        <v>34</v>
      </c>
      <c r="B134" t="s">
        <v>21</v>
      </c>
      <c r="C134" t="s">
        <v>44</v>
      </c>
      <c r="D134" s="1">
        <v>44644</v>
      </c>
      <c r="E134" s="2">
        <v>7126</v>
      </c>
      <c r="F134">
        <v>7</v>
      </c>
      <c r="G134" s="2">
        <f t="shared" si="8"/>
        <v>1018</v>
      </c>
      <c r="H134" t="str">
        <f t="shared" si="9"/>
        <v>March</v>
      </c>
      <c r="I134" t="str">
        <f t="shared" si="10"/>
        <v>Q1</v>
      </c>
      <c r="J134" t="str">
        <f t="shared" si="11"/>
        <v>Large</v>
      </c>
    </row>
    <row r="135" spans="1:10" x14ac:dyDescent="0.25">
      <c r="A135" t="s">
        <v>9</v>
      </c>
      <c r="B135" t="s">
        <v>7</v>
      </c>
      <c r="C135" t="s">
        <v>37</v>
      </c>
      <c r="D135" s="1">
        <v>44767</v>
      </c>
      <c r="E135" s="2">
        <v>4263</v>
      </c>
      <c r="F135">
        <v>90</v>
      </c>
      <c r="G135" s="2">
        <f t="shared" si="8"/>
        <v>47.366666666666667</v>
      </c>
      <c r="H135" t="str">
        <f t="shared" si="9"/>
        <v>July</v>
      </c>
      <c r="I135" t="str">
        <f t="shared" si="10"/>
        <v>Q3</v>
      </c>
      <c r="J135" t="str">
        <f t="shared" si="11"/>
        <v>Large</v>
      </c>
    </row>
    <row r="136" spans="1:10" x14ac:dyDescent="0.25">
      <c r="A136" t="s">
        <v>17</v>
      </c>
      <c r="B136" t="s">
        <v>29</v>
      </c>
      <c r="C136" t="s">
        <v>18</v>
      </c>
      <c r="D136" s="1">
        <v>44774</v>
      </c>
      <c r="E136" s="2">
        <v>3605</v>
      </c>
      <c r="F136">
        <v>403</v>
      </c>
      <c r="G136" s="2">
        <f t="shared" si="8"/>
        <v>8.9454094292803976</v>
      </c>
      <c r="H136" t="str">
        <f t="shared" si="9"/>
        <v>August</v>
      </c>
      <c r="I136" t="str">
        <f t="shared" si="10"/>
        <v>Q3</v>
      </c>
      <c r="J136" t="str">
        <f t="shared" si="11"/>
        <v>Large</v>
      </c>
    </row>
    <row r="137" spans="1:10" x14ac:dyDescent="0.25">
      <c r="A137" t="s">
        <v>9</v>
      </c>
      <c r="B137" t="s">
        <v>10</v>
      </c>
      <c r="C137" t="s">
        <v>35</v>
      </c>
      <c r="D137" s="1">
        <v>44697</v>
      </c>
      <c r="E137" s="2">
        <v>19929</v>
      </c>
      <c r="F137">
        <v>174</v>
      </c>
      <c r="G137" s="2">
        <f t="shared" si="8"/>
        <v>114.53448275862068</v>
      </c>
      <c r="H137" t="str">
        <f t="shared" si="9"/>
        <v>May</v>
      </c>
      <c r="I137" t="str">
        <f t="shared" si="10"/>
        <v>Q2</v>
      </c>
      <c r="J137" t="str">
        <f t="shared" si="11"/>
        <v>Large</v>
      </c>
    </row>
    <row r="138" spans="1:10" x14ac:dyDescent="0.25">
      <c r="A138" t="s">
        <v>36</v>
      </c>
      <c r="B138" t="s">
        <v>10</v>
      </c>
      <c r="C138" t="s">
        <v>16</v>
      </c>
      <c r="D138" s="1">
        <v>44783</v>
      </c>
      <c r="E138" s="2">
        <v>5103</v>
      </c>
      <c r="F138">
        <v>140</v>
      </c>
      <c r="G138" s="2">
        <f t="shared" si="8"/>
        <v>36.450000000000003</v>
      </c>
      <c r="H138" t="str">
        <f t="shared" si="9"/>
        <v>August</v>
      </c>
      <c r="I138" t="str">
        <f t="shared" si="10"/>
        <v>Q3</v>
      </c>
      <c r="J138" t="str">
        <f t="shared" si="11"/>
        <v>Large</v>
      </c>
    </row>
    <row r="139" spans="1:10" x14ac:dyDescent="0.25">
      <c r="A139" t="s">
        <v>14</v>
      </c>
      <c r="B139" t="s">
        <v>10</v>
      </c>
      <c r="C139" t="s">
        <v>30</v>
      </c>
      <c r="D139" s="1">
        <v>44566</v>
      </c>
      <c r="E139" s="2">
        <v>2541</v>
      </c>
      <c r="F139">
        <v>27</v>
      </c>
      <c r="G139" s="2">
        <f t="shared" si="8"/>
        <v>94.111111111111114</v>
      </c>
      <c r="H139" t="str">
        <f t="shared" si="9"/>
        <v>January</v>
      </c>
      <c r="I139" t="str">
        <f t="shared" si="10"/>
        <v>Q1</v>
      </c>
      <c r="J139" t="str">
        <f t="shared" si="11"/>
        <v>Large</v>
      </c>
    </row>
    <row r="140" spans="1:10" x14ac:dyDescent="0.25">
      <c r="A140" t="s">
        <v>55</v>
      </c>
      <c r="B140" t="s">
        <v>7</v>
      </c>
      <c r="C140" t="s">
        <v>16</v>
      </c>
      <c r="D140" s="1">
        <v>44753</v>
      </c>
      <c r="E140" s="2">
        <v>5663</v>
      </c>
      <c r="F140">
        <v>110</v>
      </c>
      <c r="G140" s="2">
        <f t="shared" si="8"/>
        <v>51.481818181818184</v>
      </c>
      <c r="H140" t="str">
        <f t="shared" si="9"/>
        <v>July</v>
      </c>
      <c r="I140" t="str">
        <f t="shared" si="10"/>
        <v>Q3</v>
      </c>
      <c r="J140" t="str">
        <f t="shared" si="11"/>
        <v>Large</v>
      </c>
    </row>
    <row r="141" spans="1:10" x14ac:dyDescent="0.25">
      <c r="A141" t="s">
        <v>46</v>
      </c>
      <c r="B141" t="s">
        <v>26</v>
      </c>
      <c r="C141" t="s">
        <v>20</v>
      </c>
      <c r="D141" s="1">
        <v>44676</v>
      </c>
      <c r="E141" s="2">
        <v>392</v>
      </c>
      <c r="F141">
        <v>30</v>
      </c>
      <c r="G141" s="2">
        <f t="shared" si="8"/>
        <v>13.066666666666666</v>
      </c>
      <c r="H141" t="str">
        <f t="shared" si="9"/>
        <v>April</v>
      </c>
      <c r="I141" t="str">
        <f t="shared" si="10"/>
        <v>Q2</v>
      </c>
      <c r="J141" t="str">
        <f t="shared" si="11"/>
        <v>Small</v>
      </c>
    </row>
    <row r="142" spans="1:10" x14ac:dyDescent="0.25">
      <c r="A142" t="s">
        <v>12</v>
      </c>
      <c r="B142" t="s">
        <v>21</v>
      </c>
      <c r="C142" t="s">
        <v>42</v>
      </c>
      <c r="D142" s="1">
        <v>44655</v>
      </c>
      <c r="E142" s="2">
        <v>10976</v>
      </c>
      <c r="F142">
        <v>121</v>
      </c>
      <c r="G142" s="2">
        <f t="shared" si="8"/>
        <v>90.710743801652896</v>
      </c>
      <c r="H142" t="str">
        <f t="shared" si="9"/>
        <v>April</v>
      </c>
      <c r="I142" t="str">
        <f t="shared" si="10"/>
        <v>Q2</v>
      </c>
      <c r="J142" t="str">
        <f t="shared" si="11"/>
        <v>Large</v>
      </c>
    </row>
    <row r="143" spans="1:10" x14ac:dyDescent="0.25">
      <c r="A143" t="s">
        <v>25</v>
      </c>
      <c r="B143" t="s">
        <v>26</v>
      </c>
      <c r="C143" t="s">
        <v>51</v>
      </c>
      <c r="D143" s="1">
        <v>44663</v>
      </c>
      <c r="E143" s="2">
        <v>9282</v>
      </c>
      <c r="F143">
        <v>101</v>
      </c>
      <c r="G143" s="2">
        <f t="shared" si="8"/>
        <v>91.900990099009903</v>
      </c>
      <c r="H143" t="str">
        <f t="shared" si="9"/>
        <v>April</v>
      </c>
      <c r="I143" t="str">
        <f t="shared" si="10"/>
        <v>Q2</v>
      </c>
      <c r="J143" t="str">
        <f t="shared" si="11"/>
        <v>Large</v>
      </c>
    </row>
    <row r="144" spans="1:10" x14ac:dyDescent="0.25">
      <c r="A144" t="s">
        <v>46</v>
      </c>
      <c r="B144" t="s">
        <v>21</v>
      </c>
      <c r="C144" t="s">
        <v>11</v>
      </c>
      <c r="D144" s="1">
        <v>44775</v>
      </c>
      <c r="E144" s="2">
        <v>1827</v>
      </c>
      <c r="F144">
        <v>117</v>
      </c>
      <c r="G144" s="2">
        <f t="shared" si="8"/>
        <v>15.615384615384615</v>
      </c>
      <c r="H144" t="str">
        <f t="shared" si="9"/>
        <v>August</v>
      </c>
      <c r="I144" t="str">
        <f t="shared" si="10"/>
        <v>Q3</v>
      </c>
      <c r="J144" t="str">
        <f t="shared" si="11"/>
        <v>Large</v>
      </c>
    </row>
    <row r="145" spans="1:10" x14ac:dyDescent="0.25">
      <c r="A145" t="s">
        <v>12</v>
      </c>
      <c r="B145" t="s">
        <v>21</v>
      </c>
      <c r="C145" t="s">
        <v>45</v>
      </c>
      <c r="D145" s="1">
        <v>44740</v>
      </c>
      <c r="E145" s="2">
        <v>8267</v>
      </c>
      <c r="F145">
        <v>272</v>
      </c>
      <c r="G145" s="2">
        <f t="shared" si="8"/>
        <v>30.393382352941178</v>
      </c>
      <c r="H145" t="str">
        <f t="shared" si="9"/>
        <v>June</v>
      </c>
      <c r="I145" t="str">
        <f t="shared" si="10"/>
        <v>Q2</v>
      </c>
      <c r="J145" t="str">
        <f t="shared" si="11"/>
        <v>Large</v>
      </c>
    </row>
    <row r="146" spans="1:10" x14ac:dyDescent="0.25">
      <c r="A146" t="s">
        <v>55</v>
      </c>
      <c r="B146" t="s">
        <v>15</v>
      </c>
      <c r="C146" t="s">
        <v>30</v>
      </c>
      <c r="D146" s="1">
        <v>44747</v>
      </c>
      <c r="E146" s="2">
        <v>4116</v>
      </c>
      <c r="F146">
        <v>128</v>
      </c>
      <c r="G146" s="2">
        <f t="shared" si="8"/>
        <v>32.15625</v>
      </c>
      <c r="H146" t="str">
        <f t="shared" si="9"/>
        <v>July</v>
      </c>
      <c r="I146" t="str">
        <f t="shared" si="10"/>
        <v>Q3</v>
      </c>
      <c r="J146" t="str">
        <f t="shared" si="11"/>
        <v>Large</v>
      </c>
    </row>
    <row r="147" spans="1:10" x14ac:dyDescent="0.25">
      <c r="A147" t="s">
        <v>24</v>
      </c>
      <c r="B147" t="s">
        <v>21</v>
      </c>
      <c r="C147" t="s">
        <v>52</v>
      </c>
      <c r="D147" s="1">
        <v>44719</v>
      </c>
      <c r="E147" s="2">
        <v>2093</v>
      </c>
      <c r="F147">
        <v>45</v>
      </c>
      <c r="G147" s="2">
        <f t="shared" si="8"/>
        <v>46.511111111111113</v>
      </c>
      <c r="H147" t="str">
        <f t="shared" si="9"/>
        <v>June</v>
      </c>
      <c r="I147" t="str">
        <f t="shared" si="10"/>
        <v>Q2</v>
      </c>
      <c r="J147" t="str">
        <f t="shared" si="11"/>
        <v>Large</v>
      </c>
    </row>
    <row r="148" spans="1:10" x14ac:dyDescent="0.25">
      <c r="A148" t="s">
        <v>23</v>
      </c>
      <c r="B148" t="s">
        <v>21</v>
      </c>
      <c r="C148" t="s">
        <v>16</v>
      </c>
      <c r="D148" s="1">
        <v>44579</v>
      </c>
      <c r="E148" s="2">
        <v>1015</v>
      </c>
      <c r="F148">
        <v>27</v>
      </c>
      <c r="G148" s="2">
        <f t="shared" si="8"/>
        <v>37.592592592592595</v>
      </c>
      <c r="H148" t="str">
        <f t="shared" si="9"/>
        <v>January</v>
      </c>
      <c r="I148" t="str">
        <f t="shared" si="10"/>
        <v>Q1</v>
      </c>
      <c r="J148" t="str">
        <f t="shared" si="11"/>
        <v>Large</v>
      </c>
    </row>
    <row r="149" spans="1:10" x14ac:dyDescent="0.25">
      <c r="A149" t="s">
        <v>23</v>
      </c>
      <c r="B149" t="s">
        <v>15</v>
      </c>
      <c r="C149" t="s">
        <v>56</v>
      </c>
      <c r="D149" s="1">
        <v>44565</v>
      </c>
      <c r="E149" s="2">
        <v>12516</v>
      </c>
      <c r="F149">
        <v>212</v>
      </c>
      <c r="G149" s="2">
        <f t="shared" si="8"/>
        <v>59.037735849056602</v>
      </c>
      <c r="H149" t="str">
        <f t="shared" si="9"/>
        <v>January</v>
      </c>
      <c r="I149" t="str">
        <f t="shared" si="10"/>
        <v>Q1</v>
      </c>
      <c r="J149" t="str">
        <f t="shared" si="11"/>
        <v>Large</v>
      </c>
    </row>
    <row r="150" spans="1:10" x14ac:dyDescent="0.25">
      <c r="A150" t="s">
        <v>43</v>
      </c>
      <c r="B150" t="s">
        <v>15</v>
      </c>
      <c r="C150" t="s">
        <v>18</v>
      </c>
      <c r="D150" s="1">
        <v>44592</v>
      </c>
      <c r="E150" s="2">
        <v>2758</v>
      </c>
      <c r="F150">
        <v>18</v>
      </c>
      <c r="G150" s="2">
        <f t="shared" si="8"/>
        <v>153.22222222222223</v>
      </c>
      <c r="H150" t="str">
        <f t="shared" si="9"/>
        <v>January</v>
      </c>
      <c r="I150" t="str">
        <f t="shared" si="10"/>
        <v>Q1</v>
      </c>
      <c r="J150" t="str">
        <f t="shared" si="11"/>
        <v>Large</v>
      </c>
    </row>
    <row r="151" spans="1:10" x14ac:dyDescent="0.25">
      <c r="A151" t="s">
        <v>49</v>
      </c>
      <c r="B151" t="s">
        <v>10</v>
      </c>
      <c r="C151" t="s">
        <v>47</v>
      </c>
      <c r="D151" s="1">
        <v>44634</v>
      </c>
      <c r="E151" s="2">
        <v>3297</v>
      </c>
      <c r="F151">
        <v>149</v>
      </c>
      <c r="G151" s="2">
        <f t="shared" si="8"/>
        <v>22.127516778523489</v>
      </c>
      <c r="H151" t="str">
        <f t="shared" si="9"/>
        <v>March</v>
      </c>
      <c r="I151" t="str">
        <f t="shared" si="10"/>
        <v>Q1</v>
      </c>
      <c r="J151" t="str">
        <f t="shared" si="11"/>
        <v>Large</v>
      </c>
    </row>
    <row r="152" spans="1:10" x14ac:dyDescent="0.25">
      <c r="A152" t="s">
        <v>50</v>
      </c>
      <c r="B152" t="s">
        <v>15</v>
      </c>
      <c r="C152" t="s">
        <v>58</v>
      </c>
      <c r="D152" s="1">
        <v>44680</v>
      </c>
      <c r="E152" s="2">
        <v>6048</v>
      </c>
      <c r="F152">
        <v>477</v>
      </c>
      <c r="G152" s="2">
        <f t="shared" si="8"/>
        <v>12.679245283018869</v>
      </c>
      <c r="H152" t="str">
        <f t="shared" si="9"/>
        <v>April</v>
      </c>
      <c r="I152" t="str">
        <f t="shared" si="10"/>
        <v>Q2</v>
      </c>
      <c r="J152" t="str">
        <f t="shared" si="11"/>
        <v>Large</v>
      </c>
    </row>
    <row r="153" spans="1:10" x14ac:dyDescent="0.25">
      <c r="A153" t="s">
        <v>17</v>
      </c>
      <c r="B153" t="s">
        <v>10</v>
      </c>
      <c r="C153" t="s">
        <v>16</v>
      </c>
      <c r="D153" s="1">
        <v>44599</v>
      </c>
      <c r="E153" s="2">
        <v>10101</v>
      </c>
      <c r="F153">
        <v>108</v>
      </c>
      <c r="G153" s="2">
        <f t="shared" si="8"/>
        <v>93.527777777777771</v>
      </c>
      <c r="H153" t="str">
        <f t="shared" si="9"/>
        <v>February</v>
      </c>
      <c r="I153" t="str">
        <f t="shared" si="10"/>
        <v>Q1</v>
      </c>
      <c r="J153" t="str">
        <f t="shared" si="11"/>
        <v>Large</v>
      </c>
    </row>
    <row r="154" spans="1:10" x14ac:dyDescent="0.25">
      <c r="A154" t="s">
        <v>41</v>
      </c>
      <c r="B154" t="s">
        <v>7</v>
      </c>
      <c r="C154" t="s">
        <v>35</v>
      </c>
      <c r="D154" s="1">
        <v>44651</v>
      </c>
      <c r="E154" s="2">
        <v>2282</v>
      </c>
      <c r="F154">
        <v>178</v>
      </c>
      <c r="G154" s="2">
        <f t="shared" si="8"/>
        <v>12.820224719101123</v>
      </c>
      <c r="H154" t="str">
        <f t="shared" si="9"/>
        <v>March</v>
      </c>
      <c r="I154" t="str">
        <f t="shared" si="10"/>
        <v>Q1</v>
      </c>
      <c r="J154" t="str">
        <f t="shared" si="11"/>
        <v>Large</v>
      </c>
    </row>
    <row r="155" spans="1:10" x14ac:dyDescent="0.25">
      <c r="A155" t="s">
        <v>33</v>
      </c>
      <c r="B155" t="s">
        <v>10</v>
      </c>
      <c r="C155" t="s">
        <v>57</v>
      </c>
      <c r="D155" s="1">
        <v>44636</v>
      </c>
      <c r="E155" s="2">
        <v>4361</v>
      </c>
      <c r="F155">
        <v>81</v>
      </c>
      <c r="G155" s="2">
        <f t="shared" si="8"/>
        <v>53.839506172839506</v>
      </c>
      <c r="H155" t="str">
        <f t="shared" si="9"/>
        <v>March</v>
      </c>
      <c r="I155" t="str">
        <f t="shared" si="10"/>
        <v>Q1</v>
      </c>
      <c r="J155" t="str">
        <f t="shared" si="11"/>
        <v>Large</v>
      </c>
    </row>
    <row r="156" spans="1:10" x14ac:dyDescent="0.25">
      <c r="A156" t="s">
        <v>31</v>
      </c>
      <c r="B156" t="s">
        <v>7</v>
      </c>
      <c r="C156" t="s">
        <v>30</v>
      </c>
      <c r="D156" s="1">
        <v>44586</v>
      </c>
      <c r="E156" s="2">
        <v>7798</v>
      </c>
      <c r="F156">
        <v>196</v>
      </c>
      <c r="G156" s="2">
        <f t="shared" si="8"/>
        <v>39.785714285714285</v>
      </c>
      <c r="H156" t="str">
        <f t="shared" si="9"/>
        <v>January</v>
      </c>
      <c r="I156" t="str">
        <f t="shared" si="10"/>
        <v>Q1</v>
      </c>
      <c r="J156" t="str">
        <f t="shared" si="11"/>
        <v>Large</v>
      </c>
    </row>
    <row r="157" spans="1:10" x14ac:dyDescent="0.25">
      <c r="A157" t="s">
        <v>9</v>
      </c>
      <c r="B157" t="s">
        <v>10</v>
      </c>
      <c r="C157" t="s">
        <v>56</v>
      </c>
      <c r="D157" s="1">
        <v>44732</v>
      </c>
      <c r="E157" s="2">
        <v>3052</v>
      </c>
      <c r="F157">
        <v>447</v>
      </c>
      <c r="G157" s="2">
        <f t="shared" si="8"/>
        <v>6.8277404921700224</v>
      </c>
      <c r="H157" t="str">
        <f t="shared" si="9"/>
        <v>June</v>
      </c>
      <c r="I157" t="str">
        <f t="shared" si="10"/>
        <v>Q2</v>
      </c>
      <c r="J157" t="str">
        <f t="shared" si="11"/>
        <v>Large</v>
      </c>
    </row>
    <row r="158" spans="1:10" x14ac:dyDescent="0.25">
      <c r="A158" t="s">
        <v>12</v>
      </c>
      <c r="B158" t="s">
        <v>7</v>
      </c>
      <c r="C158" t="s">
        <v>20</v>
      </c>
      <c r="D158" s="1">
        <v>44649</v>
      </c>
      <c r="E158" s="2">
        <v>8029</v>
      </c>
      <c r="F158">
        <v>175</v>
      </c>
      <c r="G158" s="2">
        <f t="shared" si="8"/>
        <v>45.88</v>
      </c>
      <c r="H158" t="str">
        <f t="shared" si="9"/>
        <v>March</v>
      </c>
      <c r="I158" t="str">
        <f t="shared" si="10"/>
        <v>Q1</v>
      </c>
      <c r="J158" t="str">
        <f t="shared" si="11"/>
        <v>Large</v>
      </c>
    </row>
    <row r="159" spans="1:10" x14ac:dyDescent="0.25">
      <c r="A159" t="s">
        <v>38</v>
      </c>
      <c r="B159" t="s">
        <v>15</v>
      </c>
      <c r="C159" t="s">
        <v>27</v>
      </c>
      <c r="D159" s="1">
        <v>44754</v>
      </c>
      <c r="E159" s="2">
        <v>854</v>
      </c>
      <c r="F159">
        <v>136</v>
      </c>
      <c r="G159" s="2">
        <f t="shared" si="8"/>
        <v>6.2794117647058822</v>
      </c>
      <c r="H159" t="str">
        <f t="shared" si="9"/>
        <v>July</v>
      </c>
      <c r="I159" t="str">
        <f t="shared" si="10"/>
        <v>Q3</v>
      </c>
      <c r="J159" t="str">
        <f t="shared" si="11"/>
        <v>Large</v>
      </c>
    </row>
    <row r="160" spans="1:10" x14ac:dyDescent="0.25">
      <c r="A160" t="s">
        <v>6</v>
      </c>
      <c r="B160" t="s">
        <v>29</v>
      </c>
      <c r="C160" t="s">
        <v>16</v>
      </c>
      <c r="D160" s="1">
        <v>44753</v>
      </c>
      <c r="E160" s="2">
        <v>5460</v>
      </c>
      <c r="F160">
        <v>138</v>
      </c>
      <c r="G160" s="2">
        <f t="shared" si="8"/>
        <v>39.565217391304351</v>
      </c>
      <c r="H160" t="str">
        <f t="shared" si="9"/>
        <v>July</v>
      </c>
      <c r="I160" t="str">
        <f t="shared" si="10"/>
        <v>Q3</v>
      </c>
      <c r="J160" t="str">
        <f t="shared" si="11"/>
        <v>Large</v>
      </c>
    </row>
    <row r="161" spans="1:10" x14ac:dyDescent="0.25">
      <c r="A161" t="s">
        <v>31</v>
      </c>
      <c r="B161" t="s">
        <v>29</v>
      </c>
      <c r="C161" t="s">
        <v>16</v>
      </c>
      <c r="D161" s="1">
        <v>44580</v>
      </c>
      <c r="E161" s="2">
        <v>3017</v>
      </c>
      <c r="F161">
        <v>184</v>
      </c>
      <c r="G161" s="2">
        <f t="shared" si="8"/>
        <v>16.396739130434781</v>
      </c>
      <c r="H161" t="str">
        <f t="shared" si="9"/>
        <v>January</v>
      </c>
      <c r="I161" t="str">
        <f t="shared" si="10"/>
        <v>Q1</v>
      </c>
      <c r="J161" t="str">
        <f t="shared" si="11"/>
        <v>Large</v>
      </c>
    </row>
    <row r="162" spans="1:10" x14ac:dyDescent="0.25">
      <c r="A162" t="s">
        <v>48</v>
      </c>
      <c r="B162" t="s">
        <v>26</v>
      </c>
      <c r="C162" t="s">
        <v>11</v>
      </c>
      <c r="D162" s="1">
        <v>44656</v>
      </c>
      <c r="E162" s="2">
        <v>8911</v>
      </c>
      <c r="F162">
        <v>82</v>
      </c>
      <c r="G162" s="2">
        <f t="shared" si="8"/>
        <v>108.67073170731707</v>
      </c>
      <c r="H162" t="str">
        <f t="shared" si="9"/>
        <v>April</v>
      </c>
      <c r="I162" t="str">
        <f t="shared" si="10"/>
        <v>Q2</v>
      </c>
      <c r="J162" t="str">
        <f t="shared" si="11"/>
        <v>Large</v>
      </c>
    </row>
    <row r="163" spans="1:10" x14ac:dyDescent="0.25">
      <c r="A163" t="s">
        <v>6</v>
      </c>
      <c r="B163" t="s">
        <v>29</v>
      </c>
      <c r="C163" t="s">
        <v>37</v>
      </c>
      <c r="D163" s="1">
        <v>44613</v>
      </c>
      <c r="E163" s="2">
        <v>7203</v>
      </c>
      <c r="F163">
        <v>12</v>
      </c>
      <c r="G163" s="2">
        <f t="shared" si="8"/>
        <v>600.25</v>
      </c>
      <c r="H163" t="str">
        <f t="shared" si="9"/>
        <v>February</v>
      </c>
      <c r="I163" t="str">
        <f t="shared" si="10"/>
        <v>Q1</v>
      </c>
      <c r="J163" t="str">
        <f t="shared" si="11"/>
        <v>Large</v>
      </c>
    </row>
    <row r="164" spans="1:10" x14ac:dyDescent="0.25">
      <c r="A164" t="s">
        <v>24</v>
      </c>
      <c r="B164" t="s">
        <v>21</v>
      </c>
      <c r="C164" t="s">
        <v>57</v>
      </c>
      <c r="D164" s="1">
        <v>44701</v>
      </c>
      <c r="E164" s="2">
        <v>13083</v>
      </c>
      <c r="F164">
        <v>14</v>
      </c>
      <c r="G164" s="2">
        <f t="shared" si="8"/>
        <v>934.5</v>
      </c>
      <c r="H164" t="str">
        <f t="shared" si="9"/>
        <v>May</v>
      </c>
      <c r="I164" t="str">
        <f t="shared" si="10"/>
        <v>Q2</v>
      </c>
      <c r="J164" t="str">
        <f t="shared" si="11"/>
        <v>Large</v>
      </c>
    </row>
    <row r="165" spans="1:10" x14ac:dyDescent="0.25">
      <c r="A165" t="s">
        <v>28</v>
      </c>
      <c r="B165" t="s">
        <v>15</v>
      </c>
      <c r="C165" t="s">
        <v>37</v>
      </c>
      <c r="D165" s="1">
        <v>44771</v>
      </c>
      <c r="E165" s="2">
        <v>2779</v>
      </c>
      <c r="F165">
        <v>104</v>
      </c>
      <c r="G165" s="2">
        <f t="shared" si="8"/>
        <v>26.721153846153847</v>
      </c>
      <c r="H165" t="str">
        <f t="shared" si="9"/>
        <v>July</v>
      </c>
      <c r="I165" t="str">
        <f t="shared" si="10"/>
        <v>Q3</v>
      </c>
      <c r="J165" t="str">
        <f t="shared" si="11"/>
        <v>Large</v>
      </c>
    </row>
    <row r="166" spans="1:10" x14ac:dyDescent="0.25">
      <c r="A166" t="s">
        <v>25</v>
      </c>
      <c r="B166" t="s">
        <v>26</v>
      </c>
      <c r="C166" t="s">
        <v>42</v>
      </c>
      <c r="D166" s="1">
        <v>44589</v>
      </c>
      <c r="E166" s="2">
        <v>9058</v>
      </c>
      <c r="F166">
        <v>46</v>
      </c>
      <c r="G166" s="2">
        <f t="shared" si="8"/>
        <v>196.91304347826087</v>
      </c>
      <c r="H166" t="str">
        <f t="shared" si="9"/>
        <v>January</v>
      </c>
      <c r="I166" t="str">
        <f t="shared" si="10"/>
        <v>Q1</v>
      </c>
      <c r="J166" t="str">
        <f t="shared" si="11"/>
        <v>Large</v>
      </c>
    </row>
    <row r="167" spans="1:10" x14ac:dyDescent="0.25">
      <c r="A167" t="s">
        <v>33</v>
      </c>
      <c r="B167" t="s">
        <v>7</v>
      </c>
      <c r="C167" t="s">
        <v>57</v>
      </c>
      <c r="D167" s="1">
        <v>44761</v>
      </c>
      <c r="E167" s="2">
        <v>3549</v>
      </c>
      <c r="F167">
        <v>112</v>
      </c>
      <c r="G167" s="2">
        <f t="shared" si="8"/>
        <v>31.6875</v>
      </c>
      <c r="H167" t="str">
        <f t="shared" si="9"/>
        <v>July</v>
      </c>
      <c r="I167" t="str">
        <f t="shared" si="10"/>
        <v>Q3</v>
      </c>
      <c r="J167" t="str">
        <f t="shared" si="11"/>
        <v>Large</v>
      </c>
    </row>
    <row r="168" spans="1:10" x14ac:dyDescent="0.25">
      <c r="A168" t="s">
        <v>28</v>
      </c>
      <c r="B168" t="s">
        <v>21</v>
      </c>
      <c r="C168" t="s">
        <v>45</v>
      </c>
      <c r="D168" s="1">
        <v>44664</v>
      </c>
      <c r="E168" s="2">
        <v>9436</v>
      </c>
      <c r="F168">
        <v>11</v>
      </c>
      <c r="G168" s="2">
        <f t="shared" si="8"/>
        <v>857.81818181818187</v>
      </c>
      <c r="H168" t="str">
        <f t="shared" si="9"/>
        <v>April</v>
      </c>
      <c r="I168" t="str">
        <f t="shared" si="10"/>
        <v>Q2</v>
      </c>
      <c r="J168" t="str">
        <f t="shared" si="11"/>
        <v>Large</v>
      </c>
    </row>
    <row r="169" spans="1:10" x14ac:dyDescent="0.25">
      <c r="A169" t="s">
        <v>36</v>
      </c>
      <c r="B169" t="s">
        <v>10</v>
      </c>
      <c r="C169" t="s">
        <v>13</v>
      </c>
      <c r="D169" s="1">
        <v>44603</v>
      </c>
      <c r="E169" s="2">
        <v>10283</v>
      </c>
      <c r="F169">
        <v>21</v>
      </c>
      <c r="G169" s="2">
        <f t="shared" si="8"/>
        <v>489.66666666666669</v>
      </c>
      <c r="H169" t="str">
        <f t="shared" si="9"/>
        <v>February</v>
      </c>
      <c r="I169" t="str">
        <f t="shared" si="10"/>
        <v>Q1</v>
      </c>
      <c r="J169" t="str">
        <f t="shared" si="11"/>
        <v>Large</v>
      </c>
    </row>
    <row r="170" spans="1:10" x14ac:dyDescent="0.25">
      <c r="A170" t="s">
        <v>36</v>
      </c>
      <c r="B170" t="s">
        <v>21</v>
      </c>
      <c r="C170" t="s">
        <v>37</v>
      </c>
      <c r="D170" s="1">
        <v>44622</v>
      </c>
      <c r="E170" s="2">
        <v>5446</v>
      </c>
      <c r="F170">
        <v>116</v>
      </c>
      <c r="G170" s="2">
        <f t="shared" si="8"/>
        <v>46.948275862068968</v>
      </c>
      <c r="H170" t="str">
        <f t="shared" si="9"/>
        <v>March</v>
      </c>
      <c r="I170" t="str">
        <f t="shared" si="10"/>
        <v>Q1</v>
      </c>
      <c r="J170" t="str">
        <f t="shared" si="11"/>
        <v>Large</v>
      </c>
    </row>
    <row r="171" spans="1:10" x14ac:dyDescent="0.25">
      <c r="A171" t="s">
        <v>55</v>
      </c>
      <c r="B171" t="s">
        <v>15</v>
      </c>
      <c r="C171" t="s">
        <v>44</v>
      </c>
      <c r="D171" s="1">
        <v>44622</v>
      </c>
      <c r="E171" s="2">
        <v>1043</v>
      </c>
      <c r="F171">
        <v>202</v>
      </c>
      <c r="G171" s="2">
        <f t="shared" si="8"/>
        <v>5.1633663366336631</v>
      </c>
      <c r="H171" t="str">
        <f t="shared" si="9"/>
        <v>March</v>
      </c>
      <c r="I171" t="str">
        <f t="shared" si="10"/>
        <v>Q1</v>
      </c>
      <c r="J171" t="str">
        <f t="shared" si="11"/>
        <v>Large</v>
      </c>
    </row>
    <row r="172" spans="1:10" x14ac:dyDescent="0.25">
      <c r="A172" t="s">
        <v>9</v>
      </c>
      <c r="B172" t="s">
        <v>26</v>
      </c>
      <c r="C172" t="s">
        <v>18</v>
      </c>
      <c r="D172" s="1">
        <v>44770</v>
      </c>
      <c r="E172" s="2">
        <v>12586</v>
      </c>
      <c r="F172">
        <v>6</v>
      </c>
      <c r="G172" s="2">
        <f t="shared" si="8"/>
        <v>2097.6666666666665</v>
      </c>
      <c r="H172" t="str">
        <f t="shared" si="9"/>
        <v>July</v>
      </c>
      <c r="I172" t="str">
        <f t="shared" si="10"/>
        <v>Q3</v>
      </c>
      <c r="J172" t="str">
        <f t="shared" si="11"/>
        <v>Large</v>
      </c>
    </row>
    <row r="173" spans="1:10" x14ac:dyDescent="0.25">
      <c r="A173" t="s">
        <v>49</v>
      </c>
      <c r="B173" t="s">
        <v>10</v>
      </c>
      <c r="C173" t="s">
        <v>20</v>
      </c>
      <c r="D173" s="1">
        <v>44568</v>
      </c>
      <c r="E173" s="2">
        <v>1687</v>
      </c>
      <c r="F173">
        <v>520</v>
      </c>
      <c r="G173" s="2">
        <f t="shared" si="8"/>
        <v>3.2442307692307693</v>
      </c>
      <c r="H173" t="str">
        <f t="shared" si="9"/>
        <v>January</v>
      </c>
      <c r="I173" t="str">
        <f t="shared" si="10"/>
        <v>Q1</v>
      </c>
      <c r="J173" t="str">
        <f t="shared" si="11"/>
        <v>Large</v>
      </c>
    </row>
    <row r="174" spans="1:10" x14ac:dyDescent="0.25">
      <c r="A174" t="s">
        <v>23</v>
      </c>
      <c r="B174" t="s">
        <v>7</v>
      </c>
      <c r="C174" t="s">
        <v>44</v>
      </c>
      <c r="D174" s="1">
        <v>44663</v>
      </c>
      <c r="E174" s="2">
        <v>5299</v>
      </c>
      <c r="F174">
        <v>167</v>
      </c>
      <c r="G174" s="2">
        <f t="shared" si="8"/>
        <v>31.730538922155688</v>
      </c>
      <c r="H174" t="str">
        <f t="shared" si="9"/>
        <v>April</v>
      </c>
      <c r="I174" t="str">
        <f t="shared" si="10"/>
        <v>Q2</v>
      </c>
      <c r="J174" t="str">
        <f t="shared" si="11"/>
        <v>Large</v>
      </c>
    </row>
    <row r="175" spans="1:10" x14ac:dyDescent="0.25">
      <c r="A175" t="s">
        <v>9</v>
      </c>
      <c r="B175" t="s">
        <v>29</v>
      </c>
      <c r="C175" t="s">
        <v>47</v>
      </c>
      <c r="D175" s="1">
        <v>44739</v>
      </c>
      <c r="E175" s="2">
        <v>3213</v>
      </c>
      <c r="F175">
        <v>72</v>
      </c>
      <c r="G175" s="2">
        <f t="shared" si="8"/>
        <v>44.625</v>
      </c>
      <c r="H175" t="str">
        <f t="shared" si="9"/>
        <v>June</v>
      </c>
      <c r="I175" t="str">
        <f t="shared" si="10"/>
        <v>Q2</v>
      </c>
      <c r="J175" t="str">
        <f t="shared" si="11"/>
        <v>Large</v>
      </c>
    </row>
    <row r="176" spans="1:10" x14ac:dyDescent="0.25">
      <c r="A176" t="s">
        <v>6</v>
      </c>
      <c r="B176" t="s">
        <v>15</v>
      </c>
      <c r="C176" t="s">
        <v>22</v>
      </c>
      <c r="D176" s="1">
        <v>44575</v>
      </c>
      <c r="E176" s="2">
        <v>5194</v>
      </c>
      <c r="F176">
        <v>418</v>
      </c>
      <c r="G176" s="2">
        <f t="shared" si="8"/>
        <v>12.425837320574162</v>
      </c>
      <c r="H176" t="str">
        <f t="shared" si="9"/>
        <v>January</v>
      </c>
      <c r="I176" t="str">
        <f t="shared" si="10"/>
        <v>Q1</v>
      </c>
      <c r="J176" t="str">
        <f t="shared" si="11"/>
        <v>Large</v>
      </c>
    </row>
    <row r="177" spans="1:10" x14ac:dyDescent="0.25">
      <c r="A177" t="s">
        <v>31</v>
      </c>
      <c r="B177" t="s">
        <v>7</v>
      </c>
      <c r="C177" t="s">
        <v>56</v>
      </c>
      <c r="D177" s="1">
        <v>44599</v>
      </c>
      <c r="E177" s="2">
        <v>4753</v>
      </c>
      <c r="F177">
        <v>389</v>
      </c>
      <c r="G177" s="2">
        <f t="shared" si="8"/>
        <v>12.218508997429305</v>
      </c>
      <c r="H177" t="str">
        <f t="shared" si="9"/>
        <v>February</v>
      </c>
      <c r="I177" t="str">
        <f t="shared" si="10"/>
        <v>Q1</v>
      </c>
      <c r="J177" t="str">
        <f t="shared" si="11"/>
        <v>Large</v>
      </c>
    </row>
    <row r="178" spans="1:10" x14ac:dyDescent="0.25">
      <c r="A178" t="s">
        <v>6</v>
      </c>
      <c r="B178" t="s">
        <v>15</v>
      </c>
      <c r="C178" t="s">
        <v>27</v>
      </c>
      <c r="D178" s="1">
        <v>44643</v>
      </c>
      <c r="E178" s="2">
        <v>13706</v>
      </c>
      <c r="F178">
        <v>26</v>
      </c>
      <c r="G178" s="2">
        <f t="shared" si="8"/>
        <v>527.15384615384619</v>
      </c>
      <c r="H178" t="str">
        <f t="shared" si="9"/>
        <v>March</v>
      </c>
      <c r="I178" t="str">
        <f t="shared" si="10"/>
        <v>Q1</v>
      </c>
      <c r="J178" t="str">
        <f t="shared" si="11"/>
        <v>Large</v>
      </c>
    </row>
    <row r="179" spans="1:10" x14ac:dyDescent="0.25">
      <c r="A179" t="s">
        <v>33</v>
      </c>
      <c r="B179" t="s">
        <v>10</v>
      </c>
      <c r="C179" t="s">
        <v>13</v>
      </c>
      <c r="D179" s="1">
        <v>44571</v>
      </c>
      <c r="E179" s="2">
        <v>6489</v>
      </c>
      <c r="F179">
        <v>146</v>
      </c>
      <c r="G179" s="2">
        <f t="shared" si="8"/>
        <v>44.445205479452056</v>
      </c>
      <c r="H179" t="str">
        <f t="shared" si="9"/>
        <v>January</v>
      </c>
      <c r="I179" t="str">
        <f t="shared" si="10"/>
        <v>Q1</v>
      </c>
      <c r="J179" t="str">
        <f t="shared" si="11"/>
        <v>Large</v>
      </c>
    </row>
    <row r="180" spans="1:10" x14ac:dyDescent="0.25">
      <c r="A180" t="s">
        <v>17</v>
      </c>
      <c r="B180" t="s">
        <v>7</v>
      </c>
      <c r="C180" t="s">
        <v>52</v>
      </c>
      <c r="D180" s="1">
        <v>44637</v>
      </c>
      <c r="E180" s="2">
        <v>9324</v>
      </c>
      <c r="F180">
        <v>41</v>
      </c>
      <c r="G180" s="2">
        <f t="shared" si="8"/>
        <v>227.41463414634146</v>
      </c>
      <c r="H180" t="str">
        <f t="shared" si="9"/>
        <v>March</v>
      </c>
      <c r="I180" t="str">
        <f t="shared" si="10"/>
        <v>Q1</v>
      </c>
      <c r="J180" t="str">
        <f t="shared" si="11"/>
        <v>Large</v>
      </c>
    </row>
    <row r="181" spans="1:10" x14ac:dyDescent="0.25">
      <c r="A181" t="s">
        <v>12</v>
      </c>
      <c r="B181" t="s">
        <v>26</v>
      </c>
      <c r="C181" t="s">
        <v>39</v>
      </c>
      <c r="D181" s="1">
        <v>44582</v>
      </c>
      <c r="E181" s="2">
        <v>10829</v>
      </c>
      <c r="F181">
        <v>54</v>
      </c>
      <c r="G181" s="2">
        <f t="shared" si="8"/>
        <v>200.53703703703704</v>
      </c>
      <c r="H181" t="str">
        <f t="shared" si="9"/>
        <v>January</v>
      </c>
      <c r="I181" t="str">
        <f t="shared" si="10"/>
        <v>Q1</v>
      </c>
      <c r="J181" t="str">
        <f t="shared" si="11"/>
        <v>Large</v>
      </c>
    </row>
    <row r="182" spans="1:10" x14ac:dyDescent="0.25">
      <c r="A182" t="s">
        <v>25</v>
      </c>
      <c r="B182" t="s">
        <v>15</v>
      </c>
      <c r="C182" t="s">
        <v>44</v>
      </c>
      <c r="D182" s="1">
        <v>44746</v>
      </c>
      <c r="E182" s="2">
        <v>8113</v>
      </c>
      <c r="F182">
        <v>370</v>
      </c>
      <c r="G182" s="2">
        <f t="shared" si="8"/>
        <v>21.927027027027027</v>
      </c>
      <c r="H182" t="str">
        <f t="shared" si="9"/>
        <v>July</v>
      </c>
      <c r="I182" t="str">
        <f t="shared" si="10"/>
        <v>Q3</v>
      </c>
      <c r="J182" t="str">
        <f t="shared" si="11"/>
        <v>Large</v>
      </c>
    </row>
    <row r="183" spans="1:10" x14ac:dyDescent="0.25">
      <c r="A183" t="s">
        <v>41</v>
      </c>
      <c r="B183" t="s">
        <v>29</v>
      </c>
      <c r="C183" t="s">
        <v>13</v>
      </c>
      <c r="D183" s="1">
        <v>44746</v>
      </c>
      <c r="E183" s="2">
        <v>3269</v>
      </c>
      <c r="F183">
        <v>176</v>
      </c>
      <c r="G183" s="2">
        <f t="shared" si="8"/>
        <v>18.573863636363637</v>
      </c>
      <c r="H183" t="str">
        <f t="shared" si="9"/>
        <v>July</v>
      </c>
      <c r="I183" t="str">
        <f t="shared" si="10"/>
        <v>Q3</v>
      </c>
      <c r="J183" t="str">
        <f t="shared" si="11"/>
        <v>Large</v>
      </c>
    </row>
    <row r="184" spans="1:10" x14ac:dyDescent="0.25">
      <c r="A184" t="s">
        <v>54</v>
      </c>
      <c r="B184" t="s">
        <v>26</v>
      </c>
      <c r="C184" t="s">
        <v>45</v>
      </c>
      <c r="D184" s="1">
        <v>44783</v>
      </c>
      <c r="E184" s="2">
        <v>273</v>
      </c>
      <c r="F184">
        <v>210</v>
      </c>
      <c r="G184" s="2">
        <f t="shared" si="8"/>
        <v>1.3</v>
      </c>
      <c r="H184" t="str">
        <f t="shared" si="9"/>
        <v>August</v>
      </c>
      <c r="I184" t="str">
        <f t="shared" si="10"/>
        <v>Q3</v>
      </c>
      <c r="J184" t="str">
        <f t="shared" si="11"/>
        <v>Small</v>
      </c>
    </row>
    <row r="185" spans="1:10" x14ac:dyDescent="0.25">
      <c r="A185" t="s">
        <v>43</v>
      </c>
      <c r="B185" t="s">
        <v>15</v>
      </c>
      <c r="C185" t="s">
        <v>22</v>
      </c>
      <c r="D185" s="1">
        <v>44652</v>
      </c>
      <c r="E185" s="2">
        <v>7287</v>
      </c>
      <c r="F185">
        <v>12</v>
      </c>
      <c r="G185" s="2">
        <f t="shared" si="8"/>
        <v>607.25</v>
      </c>
      <c r="H185" t="str">
        <f t="shared" si="9"/>
        <v>April</v>
      </c>
      <c r="I185" t="str">
        <f t="shared" si="10"/>
        <v>Q2</v>
      </c>
      <c r="J185" t="str">
        <f t="shared" si="11"/>
        <v>Large</v>
      </c>
    </row>
    <row r="186" spans="1:10" x14ac:dyDescent="0.25">
      <c r="A186" t="s">
        <v>12</v>
      </c>
      <c r="B186" t="s">
        <v>10</v>
      </c>
      <c r="C186" t="s">
        <v>51</v>
      </c>
      <c r="D186" s="1">
        <v>44614</v>
      </c>
      <c r="E186" s="2">
        <v>2583</v>
      </c>
      <c r="F186">
        <v>159</v>
      </c>
      <c r="G186" s="2">
        <f t="shared" si="8"/>
        <v>16.245283018867923</v>
      </c>
      <c r="H186" t="str">
        <f t="shared" si="9"/>
        <v>February</v>
      </c>
      <c r="I186" t="str">
        <f t="shared" si="10"/>
        <v>Q1</v>
      </c>
      <c r="J186" t="str">
        <f t="shared" si="11"/>
        <v>Large</v>
      </c>
    </row>
    <row r="187" spans="1:10" x14ac:dyDescent="0.25">
      <c r="A187" t="s">
        <v>50</v>
      </c>
      <c r="B187" t="s">
        <v>7</v>
      </c>
      <c r="C187" t="s">
        <v>44</v>
      </c>
      <c r="D187" s="1">
        <v>44564</v>
      </c>
      <c r="E187" s="2">
        <v>9982</v>
      </c>
      <c r="F187">
        <v>187</v>
      </c>
      <c r="G187" s="2">
        <f t="shared" si="8"/>
        <v>53.37967914438503</v>
      </c>
      <c r="H187" t="str">
        <f t="shared" si="9"/>
        <v>January</v>
      </c>
      <c r="I187" t="str">
        <f t="shared" si="10"/>
        <v>Q1</v>
      </c>
      <c r="J187" t="str">
        <f t="shared" si="11"/>
        <v>Large</v>
      </c>
    </row>
    <row r="188" spans="1:10" x14ac:dyDescent="0.25">
      <c r="A188" t="s">
        <v>31</v>
      </c>
      <c r="B188" t="s">
        <v>10</v>
      </c>
      <c r="C188" t="s">
        <v>32</v>
      </c>
      <c r="D188" s="1">
        <v>44712</v>
      </c>
      <c r="E188" s="2">
        <v>4795</v>
      </c>
      <c r="F188">
        <v>233</v>
      </c>
      <c r="G188" s="2">
        <f t="shared" si="8"/>
        <v>20.579399141630901</v>
      </c>
      <c r="H188" t="str">
        <f t="shared" si="9"/>
        <v>May</v>
      </c>
      <c r="I188" t="str">
        <f t="shared" si="10"/>
        <v>Q2</v>
      </c>
      <c r="J188" t="str">
        <f t="shared" si="11"/>
        <v>Large</v>
      </c>
    </row>
    <row r="189" spans="1:10" x14ac:dyDescent="0.25">
      <c r="A189" t="s">
        <v>54</v>
      </c>
      <c r="B189" t="s">
        <v>7</v>
      </c>
      <c r="C189" t="s">
        <v>18</v>
      </c>
      <c r="D189" s="1">
        <v>44564</v>
      </c>
      <c r="E189" s="2">
        <v>9310</v>
      </c>
      <c r="F189">
        <v>282</v>
      </c>
      <c r="G189" s="2">
        <f t="shared" si="8"/>
        <v>33.01418439716312</v>
      </c>
      <c r="H189" t="str">
        <f t="shared" si="9"/>
        <v>January</v>
      </c>
      <c r="I189" t="str">
        <f t="shared" si="10"/>
        <v>Q1</v>
      </c>
      <c r="J189" t="str">
        <f t="shared" si="11"/>
        <v>Large</v>
      </c>
    </row>
    <row r="190" spans="1:10" x14ac:dyDescent="0.25">
      <c r="A190" t="s">
        <v>40</v>
      </c>
      <c r="B190" t="s">
        <v>21</v>
      </c>
      <c r="C190" t="s">
        <v>57</v>
      </c>
      <c r="D190" s="1">
        <v>44588</v>
      </c>
      <c r="E190" s="2">
        <v>497</v>
      </c>
      <c r="F190">
        <v>475</v>
      </c>
      <c r="G190" s="2">
        <f t="shared" si="8"/>
        <v>1.0463157894736843</v>
      </c>
      <c r="H190" t="str">
        <f t="shared" si="9"/>
        <v>January</v>
      </c>
      <c r="I190" t="str">
        <f t="shared" si="10"/>
        <v>Q1</v>
      </c>
      <c r="J190" t="str">
        <f t="shared" si="11"/>
        <v>Small</v>
      </c>
    </row>
    <row r="191" spans="1:10" x14ac:dyDescent="0.25">
      <c r="A191" t="s">
        <v>25</v>
      </c>
      <c r="B191" t="s">
        <v>7</v>
      </c>
      <c r="C191" t="s">
        <v>22</v>
      </c>
      <c r="D191" s="1">
        <v>44589</v>
      </c>
      <c r="E191" s="2">
        <v>581</v>
      </c>
      <c r="F191">
        <v>65</v>
      </c>
      <c r="G191" s="2">
        <f t="shared" si="8"/>
        <v>8.9384615384615387</v>
      </c>
      <c r="H191" t="str">
        <f t="shared" si="9"/>
        <v>January</v>
      </c>
      <c r="I191" t="str">
        <f t="shared" si="10"/>
        <v>Q1</v>
      </c>
      <c r="J191" t="str">
        <f t="shared" si="11"/>
        <v>Large</v>
      </c>
    </row>
    <row r="192" spans="1:10" x14ac:dyDescent="0.25">
      <c r="A192" t="s">
        <v>38</v>
      </c>
      <c r="B192" t="s">
        <v>15</v>
      </c>
      <c r="C192" t="s">
        <v>35</v>
      </c>
      <c r="D192" s="1">
        <v>44740</v>
      </c>
      <c r="E192" s="2">
        <v>3472</v>
      </c>
      <c r="F192">
        <v>311</v>
      </c>
      <c r="G192" s="2">
        <f t="shared" si="8"/>
        <v>11.163987138263666</v>
      </c>
      <c r="H192" t="str">
        <f t="shared" si="9"/>
        <v>June</v>
      </c>
      <c r="I192" t="str">
        <f t="shared" si="10"/>
        <v>Q2</v>
      </c>
      <c r="J192" t="str">
        <f t="shared" si="11"/>
        <v>Large</v>
      </c>
    </row>
    <row r="193" spans="1:10" x14ac:dyDescent="0.25">
      <c r="A193" t="s">
        <v>40</v>
      </c>
      <c r="B193" t="s">
        <v>7</v>
      </c>
      <c r="C193" t="s">
        <v>52</v>
      </c>
      <c r="D193" s="1">
        <v>44622</v>
      </c>
      <c r="E193" s="2">
        <v>4333</v>
      </c>
      <c r="F193">
        <v>43</v>
      </c>
      <c r="G193" s="2">
        <f t="shared" si="8"/>
        <v>100.76744186046511</v>
      </c>
      <c r="H193" t="str">
        <f t="shared" si="9"/>
        <v>March</v>
      </c>
      <c r="I193" t="str">
        <f t="shared" si="10"/>
        <v>Q1</v>
      </c>
      <c r="J193" t="str">
        <f t="shared" si="11"/>
        <v>Large</v>
      </c>
    </row>
    <row r="194" spans="1:10" x14ac:dyDescent="0.25">
      <c r="A194" t="s">
        <v>46</v>
      </c>
      <c r="B194" t="s">
        <v>15</v>
      </c>
      <c r="C194" t="s">
        <v>20</v>
      </c>
      <c r="D194" s="1">
        <v>44708</v>
      </c>
      <c r="E194" s="2">
        <v>3325</v>
      </c>
      <c r="F194">
        <v>26</v>
      </c>
      <c r="G194" s="2">
        <f t="shared" si="8"/>
        <v>127.88461538461539</v>
      </c>
      <c r="H194" t="str">
        <f t="shared" si="9"/>
        <v>May</v>
      </c>
      <c r="I194" t="str">
        <f t="shared" si="10"/>
        <v>Q2</v>
      </c>
      <c r="J194" t="str">
        <f t="shared" si="11"/>
        <v>Large</v>
      </c>
    </row>
    <row r="195" spans="1:10" x14ac:dyDescent="0.25">
      <c r="A195" t="s">
        <v>43</v>
      </c>
      <c r="B195" t="s">
        <v>26</v>
      </c>
      <c r="C195" t="s">
        <v>47</v>
      </c>
      <c r="D195" s="1">
        <v>44742</v>
      </c>
      <c r="E195" s="2">
        <v>11718</v>
      </c>
      <c r="F195">
        <v>84</v>
      </c>
      <c r="G195" s="2">
        <f t="shared" ref="G195:G258" si="12">E195/F195</f>
        <v>139.5</v>
      </c>
      <c r="H195" t="str">
        <f t="shared" ref="H195:H258" si="13">TEXT(D195, "mmmm")</f>
        <v>June</v>
      </c>
      <c r="I195" t="str">
        <f t="shared" ref="I195:I258" si="14">"Q" &amp; ROUNDUP(MONTH(D195)/3,0)</f>
        <v>Q2</v>
      </c>
      <c r="J195" t="str">
        <f t="shared" ref="J195:J258" si="15">IF(E195 &gt; 500, "Large", "Small")</f>
        <v>Large</v>
      </c>
    </row>
    <row r="196" spans="1:10" x14ac:dyDescent="0.25">
      <c r="A196" t="s">
        <v>25</v>
      </c>
      <c r="B196" t="s">
        <v>29</v>
      </c>
      <c r="C196" t="s">
        <v>13</v>
      </c>
      <c r="D196" s="1">
        <v>44719</v>
      </c>
      <c r="E196" s="2">
        <v>2100</v>
      </c>
      <c r="F196">
        <v>78</v>
      </c>
      <c r="G196" s="2">
        <f t="shared" si="12"/>
        <v>26.923076923076923</v>
      </c>
      <c r="H196" t="str">
        <f t="shared" si="13"/>
        <v>June</v>
      </c>
      <c r="I196" t="str">
        <f t="shared" si="14"/>
        <v>Q2</v>
      </c>
      <c r="J196" t="str">
        <f t="shared" si="15"/>
        <v>Large</v>
      </c>
    </row>
    <row r="197" spans="1:10" x14ac:dyDescent="0.25">
      <c r="A197" t="s">
        <v>41</v>
      </c>
      <c r="B197" t="s">
        <v>26</v>
      </c>
      <c r="C197" t="s">
        <v>58</v>
      </c>
      <c r="D197" s="1">
        <v>44693</v>
      </c>
      <c r="E197" s="2">
        <v>4018</v>
      </c>
      <c r="F197">
        <v>100</v>
      </c>
      <c r="G197" s="2">
        <f t="shared" si="12"/>
        <v>40.18</v>
      </c>
      <c r="H197" t="str">
        <f t="shared" si="13"/>
        <v>May</v>
      </c>
      <c r="I197" t="str">
        <f t="shared" si="14"/>
        <v>Q2</v>
      </c>
      <c r="J197" t="str">
        <f t="shared" si="15"/>
        <v>Large</v>
      </c>
    </row>
    <row r="198" spans="1:10" x14ac:dyDescent="0.25">
      <c r="A198" t="s">
        <v>25</v>
      </c>
      <c r="B198" t="s">
        <v>21</v>
      </c>
      <c r="C198" t="s">
        <v>51</v>
      </c>
      <c r="D198" s="1">
        <v>44771</v>
      </c>
      <c r="E198" s="2">
        <v>6468</v>
      </c>
      <c r="F198">
        <v>66</v>
      </c>
      <c r="G198" s="2">
        <f t="shared" si="12"/>
        <v>98</v>
      </c>
      <c r="H198" t="str">
        <f t="shared" si="13"/>
        <v>July</v>
      </c>
      <c r="I198" t="str">
        <f t="shared" si="14"/>
        <v>Q3</v>
      </c>
      <c r="J198" t="str">
        <f t="shared" si="15"/>
        <v>Large</v>
      </c>
    </row>
    <row r="199" spans="1:10" x14ac:dyDescent="0.25">
      <c r="A199" t="s">
        <v>43</v>
      </c>
      <c r="B199" t="s">
        <v>7</v>
      </c>
      <c r="C199" t="s">
        <v>44</v>
      </c>
      <c r="D199" s="1">
        <v>44776</v>
      </c>
      <c r="E199" s="2">
        <v>7238</v>
      </c>
      <c r="F199">
        <v>265</v>
      </c>
      <c r="G199" s="2">
        <f t="shared" si="12"/>
        <v>27.31320754716981</v>
      </c>
      <c r="H199" t="str">
        <f t="shared" si="13"/>
        <v>August</v>
      </c>
      <c r="I199" t="str">
        <f t="shared" si="14"/>
        <v>Q3</v>
      </c>
      <c r="J199" t="str">
        <f t="shared" si="15"/>
        <v>Large</v>
      </c>
    </row>
    <row r="200" spans="1:10" x14ac:dyDescent="0.25">
      <c r="A200" t="s">
        <v>25</v>
      </c>
      <c r="B200" t="s">
        <v>10</v>
      </c>
      <c r="C200" t="s">
        <v>56</v>
      </c>
      <c r="D200" s="1">
        <v>44791</v>
      </c>
      <c r="E200" s="2">
        <v>6454</v>
      </c>
      <c r="F200">
        <v>141</v>
      </c>
      <c r="G200" s="2">
        <f t="shared" si="12"/>
        <v>45.773049645390074</v>
      </c>
      <c r="H200" t="str">
        <f t="shared" si="13"/>
        <v>August</v>
      </c>
      <c r="I200" t="str">
        <f t="shared" si="14"/>
        <v>Q3</v>
      </c>
      <c r="J200" t="str">
        <f t="shared" si="15"/>
        <v>Large</v>
      </c>
    </row>
    <row r="201" spans="1:10" x14ac:dyDescent="0.25">
      <c r="A201" t="s">
        <v>9</v>
      </c>
      <c r="B201" t="s">
        <v>21</v>
      </c>
      <c r="C201" t="s">
        <v>16</v>
      </c>
      <c r="D201" s="1">
        <v>44726</v>
      </c>
      <c r="E201" s="2">
        <v>3115</v>
      </c>
      <c r="F201">
        <v>42</v>
      </c>
      <c r="G201" s="2">
        <f t="shared" si="12"/>
        <v>74.166666666666671</v>
      </c>
      <c r="H201" t="str">
        <f t="shared" si="13"/>
        <v>June</v>
      </c>
      <c r="I201" t="str">
        <f t="shared" si="14"/>
        <v>Q2</v>
      </c>
      <c r="J201" t="str">
        <f t="shared" si="15"/>
        <v>Large</v>
      </c>
    </row>
    <row r="202" spans="1:10" x14ac:dyDescent="0.25">
      <c r="A202" t="s">
        <v>34</v>
      </c>
      <c r="B202" t="s">
        <v>7</v>
      </c>
      <c r="C202" t="s">
        <v>44</v>
      </c>
      <c r="D202" s="1">
        <v>44742</v>
      </c>
      <c r="E202" s="2">
        <v>6475</v>
      </c>
      <c r="F202">
        <v>76</v>
      </c>
      <c r="G202" s="2">
        <f t="shared" si="12"/>
        <v>85.19736842105263</v>
      </c>
      <c r="H202" t="str">
        <f t="shared" si="13"/>
        <v>June</v>
      </c>
      <c r="I202" t="str">
        <f t="shared" si="14"/>
        <v>Q2</v>
      </c>
      <c r="J202" t="str">
        <f t="shared" si="15"/>
        <v>Large</v>
      </c>
    </row>
    <row r="203" spans="1:10" x14ac:dyDescent="0.25">
      <c r="A203" t="s">
        <v>50</v>
      </c>
      <c r="B203" t="s">
        <v>21</v>
      </c>
      <c r="C203" t="s">
        <v>8</v>
      </c>
      <c r="D203" s="1">
        <v>44725</v>
      </c>
      <c r="E203" s="2">
        <v>1162</v>
      </c>
      <c r="F203">
        <v>190</v>
      </c>
      <c r="G203" s="2">
        <f t="shared" si="12"/>
        <v>6.1157894736842104</v>
      </c>
      <c r="H203" t="str">
        <f t="shared" si="13"/>
        <v>June</v>
      </c>
      <c r="I203" t="str">
        <f t="shared" si="14"/>
        <v>Q2</v>
      </c>
      <c r="J203" t="str">
        <f t="shared" si="15"/>
        <v>Large</v>
      </c>
    </row>
    <row r="204" spans="1:10" x14ac:dyDescent="0.25">
      <c r="A204" t="s">
        <v>55</v>
      </c>
      <c r="B204" t="s">
        <v>7</v>
      </c>
      <c r="C204" t="s">
        <v>27</v>
      </c>
      <c r="D204" s="1">
        <v>44678</v>
      </c>
      <c r="E204" s="2">
        <v>14238</v>
      </c>
      <c r="F204">
        <v>54</v>
      </c>
      <c r="G204" s="2">
        <f t="shared" si="12"/>
        <v>263.66666666666669</v>
      </c>
      <c r="H204" t="str">
        <f t="shared" si="13"/>
        <v>April</v>
      </c>
      <c r="I204" t="str">
        <f t="shared" si="14"/>
        <v>Q2</v>
      </c>
      <c r="J204" t="str">
        <f t="shared" si="15"/>
        <v>Large</v>
      </c>
    </row>
    <row r="205" spans="1:10" x14ac:dyDescent="0.25">
      <c r="A205" t="s">
        <v>14</v>
      </c>
      <c r="B205" t="s">
        <v>15</v>
      </c>
      <c r="C205" t="s">
        <v>44</v>
      </c>
      <c r="D205" s="1">
        <v>44769</v>
      </c>
      <c r="E205" s="2">
        <v>3472</v>
      </c>
      <c r="F205">
        <v>32</v>
      </c>
      <c r="G205" s="2">
        <f t="shared" si="12"/>
        <v>108.5</v>
      </c>
      <c r="H205" t="str">
        <f t="shared" si="13"/>
        <v>July</v>
      </c>
      <c r="I205" t="str">
        <f t="shared" si="14"/>
        <v>Q3</v>
      </c>
      <c r="J205" t="str">
        <f t="shared" si="15"/>
        <v>Large</v>
      </c>
    </row>
    <row r="206" spans="1:10" x14ac:dyDescent="0.25">
      <c r="A206" t="s">
        <v>28</v>
      </c>
      <c r="B206" t="s">
        <v>29</v>
      </c>
      <c r="C206" t="s">
        <v>11</v>
      </c>
      <c r="D206" s="1">
        <v>44671</v>
      </c>
      <c r="E206" s="2">
        <v>1428</v>
      </c>
      <c r="F206">
        <v>424</v>
      </c>
      <c r="G206" s="2">
        <f t="shared" si="12"/>
        <v>3.3679245283018866</v>
      </c>
      <c r="H206" t="str">
        <f t="shared" si="13"/>
        <v>April</v>
      </c>
      <c r="I206" t="str">
        <f t="shared" si="14"/>
        <v>Q2</v>
      </c>
      <c r="J206" t="str">
        <f t="shared" si="15"/>
        <v>Large</v>
      </c>
    </row>
    <row r="207" spans="1:10" x14ac:dyDescent="0.25">
      <c r="A207" t="s">
        <v>24</v>
      </c>
      <c r="B207" t="s">
        <v>10</v>
      </c>
      <c r="C207" t="s">
        <v>39</v>
      </c>
      <c r="D207" s="1">
        <v>44565</v>
      </c>
      <c r="E207" s="2">
        <v>8064</v>
      </c>
      <c r="F207">
        <v>134</v>
      </c>
      <c r="G207" s="2">
        <f t="shared" si="12"/>
        <v>60.179104477611943</v>
      </c>
      <c r="H207" t="str">
        <f t="shared" si="13"/>
        <v>January</v>
      </c>
      <c r="I207" t="str">
        <f t="shared" si="14"/>
        <v>Q1</v>
      </c>
      <c r="J207" t="str">
        <f t="shared" si="15"/>
        <v>Large</v>
      </c>
    </row>
    <row r="208" spans="1:10" x14ac:dyDescent="0.25">
      <c r="A208" t="s">
        <v>55</v>
      </c>
      <c r="B208" t="s">
        <v>15</v>
      </c>
      <c r="C208" t="s">
        <v>8</v>
      </c>
      <c r="D208" s="1">
        <v>44613</v>
      </c>
      <c r="E208" s="2">
        <v>9660</v>
      </c>
      <c r="F208">
        <v>92</v>
      </c>
      <c r="G208" s="2">
        <f t="shared" si="12"/>
        <v>105</v>
      </c>
      <c r="H208" t="str">
        <f t="shared" si="13"/>
        <v>February</v>
      </c>
      <c r="I208" t="str">
        <f t="shared" si="14"/>
        <v>Q1</v>
      </c>
      <c r="J208" t="str">
        <f t="shared" si="15"/>
        <v>Large</v>
      </c>
    </row>
    <row r="209" spans="1:10" x14ac:dyDescent="0.25">
      <c r="A209" t="s">
        <v>31</v>
      </c>
      <c r="B209" t="s">
        <v>15</v>
      </c>
      <c r="C209" t="s">
        <v>44</v>
      </c>
      <c r="D209" s="1">
        <v>44566</v>
      </c>
      <c r="E209" s="2">
        <v>7357</v>
      </c>
      <c r="F209">
        <v>48</v>
      </c>
      <c r="G209" s="2">
        <f t="shared" si="12"/>
        <v>153.27083333333334</v>
      </c>
      <c r="H209" t="str">
        <f t="shared" si="13"/>
        <v>January</v>
      </c>
      <c r="I209" t="str">
        <f t="shared" si="14"/>
        <v>Q1</v>
      </c>
      <c r="J209" t="str">
        <f t="shared" si="15"/>
        <v>Large</v>
      </c>
    </row>
    <row r="210" spans="1:10" x14ac:dyDescent="0.25">
      <c r="A210" t="s">
        <v>34</v>
      </c>
      <c r="B210" t="s">
        <v>10</v>
      </c>
      <c r="C210" t="s">
        <v>32</v>
      </c>
      <c r="D210" s="1">
        <v>44757</v>
      </c>
      <c r="E210" s="2">
        <v>6055</v>
      </c>
      <c r="F210">
        <v>46</v>
      </c>
      <c r="G210" s="2">
        <f t="shared" si="12"/>
        <v>131.63043478260869</v>
      </c>
      <c r="H210" t="str">
        <f t="shared" si="13"/>
        <v>July</v>
      </c>
      <c r="I210" t="str">
        <f t="shared" si="14"/>
        <v>Q3</v>
      </c>
      <c r="J210" t="str">
        <f t="shared" si="15"/>
        <v>Large</v>
      </c>
    </row>
    <row r="211" spans="1:10" x14ac:dyDescent="0.25">
      <c r="A211" t="s">
        <v>23</v>
      </c>
      <c r="B211" t="s">
        <v>15</v>
      </c>
      <c r="C211" t="s">
        <v>52</v>
      </c>
      <c r="D211" s="1">
        <v>44706</v>
      </c>
      <c r="E211" s="2">
        <v>5124</v>
      </c>
      <c r="F211">
        <v>62</v>
      </c>
      <c r="G211" s="2">
        <f t="shared" si="12"/>
        <v>82.645161290322577</v>
      </c>
      <c r="H211" t="str">
        <f t="shared" si="13"/>
        <v>May</v>
      </c>
      <c r="I211" t="str">
        <f t="shared" si="14"/>
        <v>Q2</v>
      </c>
      <c r="J211" t="str">
        <f t="shared" si="15"/>
        <v>Large</v>
      </c>
    </row>
    <row r="212" spans="1:10" x14ac:dyDescent="0.25">
      <c r="A212" t="s">
        <v>31</v>
      </c>
      <c r="B212" t="s">
        <v>29</v>
      </c>
      <c r="C212" t="s">
        <v>30</v>
      </c>
      <c r="D212" s="1">
        <v>44671</v>
      </c>
      <c r="E212" s="2">
        <v>3479</v>
      </c>
      <c r="F212">
        <v>358</v>
      </c>
      <c r="G212" s="2">
        <f t="shared" si="12"/>
        <v>9.7178770949720672</v>
      </c>
      <c r="H212" t="str">
        <f t="shared" si="13"/>
        <v>April</v>
      </c>
      <c r="I212" t="str">
        <f t="shared" si="14"/>
        <v>Q2</v>
      </c>
      <c r="J212" t="str">
        <f t="shared" si="15"/>
        <v>Large</v>
      </c>
    </row>
    <row r="213" spans="1:10" x14ac:dyDescent="0.25">
      <c r="A213" t="s">
        <v>12</v>
      </c>
      <c r="B213" t="s">
        <v>26</v>
      </c>
      <c r="C213" t="s">
        <v>18</v>
      </c>
      <c r="D213" s="1">
        <v>44714</v>
      </c>
      <c r="E213" s="2">
        <v>784</v>
      </c>
      <c r="F213">
        <v>249</v>
      </c>
      <c r="G213" s="2">
        <f t="shared" si="12"/>
        <v>3.1485943775100402</v>
      </c>
      <c r="H213" t="str">
        <f t="shared" si="13"/>
        <v>June</v>
      </c>
      <c r="I213" t="str">
        <f t="shared" si="14"/>
        <v>Q2</v>
      </c>
      <c r="J213" t="str">
        <f t="shared" si="15"/>
        <v>Large</v>
      </c>
    </row>
    <row r="214" spans="1:10" x14ac:dyDescent="0.25">
      <c r="A214" t="s">
        <v>33</v>
      </c>
      <c r="B214" t="s">
        <v>7</v>
      </c>
      <c r="C214" t="s">
        <v>16</v>
      </c>
      <c r="D214" s="1">
        <v>44694</v>
      </c>
      <c r="E214" s="2">
        <v>18991</v>
      </c>
      <c r="F214">
        <v>88</v>
      </c>
      <c r="G214" s="2">
        <f t="shared" si="12"/>
        <v>215.80681818181819</v>
      </c>
      <c r="H214" t="str">
        <f t="shared" si="13"/>
        <v>May</v>
      </c>
      <c r="I214" t="str">
        <f t="shared" si="14"/>
        <v>Q2</v>
      </c>
      <c r="J214" t="str">
        <f t="shared" si="15"/>
        <v>Large</v>
      </c>
    </row>
    <row r="215" spans="1:10" x14ac:dyDescent="0.25">
      <c r="A215" t="s">
        <v>34</v>
      </c>
      <c r="B215" t="s">
        <v>21</v>
      </c>
      <c r="C215" t="s">
        <v>56</v>
      </c>
      <c r="D215" s="1">
        <v>44776</v>
      </c>
      <c r="E215" s="2">
        <v>1372</v>
      </c>
      <c r="F215">
        <v>144</v>
      </c>
      <c r="G215" s="2">
        <f t="shared" si="12"/>
        <v>9.5277777777777786</v>
      </c>
      <c r="H215" t="str">
        <f t="shared" si="13"/>
        <v>August</v>
      </c>
      <c r="I215" t="str">
        <f t="shared" si="14"/>
        <v>Q3</v>
      </c>
      <c r="J215" t="str">
        <f t="shared" si="15"/>
        <v>Large</v>
      </c>
    </row>
    <row r="216" spans="1:10" x14ac:dyDescent="0.25">
      <c r="A216" t="s">
        <v>34</v>
      </c>
      <c r="B216" t="s">
        <v>15</v>
      </c>
      <c r="C216" t="s">
        <v>37</v>
      </c>
      <c r="D216" s="1">
        <v>44706</v>
      </c>
      <c r="E216" s="2">
        <v>735</v>
      </c>
      <c r="F216">
        <v>390</v>
      </c>
      <c r="G216" s="2">
        <f t="shared" si="12"/>
        <v>1.8846153846153846</v>
      </c>
      <c r="H216" t="str">
        <f t="shared" si="13"/>
        <v>May</v>
      </c>
      <c r="I216" t="str">
        <f t="shared" si="14"/>
        <v>Q2</v>
      </c>
      <c r="J216" t="str">
        <f t="shared" si="15"/>
        <v>Large</v>
      </c>
    </row>
    <row r="217" spans="1:10" x14ac:dyDescent="0.25">
      <c r="A217" t="s">
        <v>9</v>
      </c>
      <c r="B217" t="s">
        <v>7</v>
      </c>
      <c r="C217" t="s">
        <v>51</v>
      </c>
      <c r="D217" s="1">
        <v>44636</v>
      </c>
      <c r="E217" s="2">
        <v>6538</v>
      </c>
      <c r="F217">
        <v>79</v>
      </c>
      <c r="G217" s="2">
        <f t="shared" si="12"/>
        <v>82.759493670886073</v>
      </c>
      <c r="H217" t="str">
        <f t="shared" si="13"/>
        <v>March</v>
      </c>
      <c r="I217" t="str">
        <f t="shared" si="14"/>
        <v>Q1</v>
      </c>
      <c r="J217" t="str">
        <f t="shared" si="15"/>
        <v>Large</v>
      </c>
    </row>
    <row r="218" spans="1:10" x14ac:dyDescent="0.25">
      <c r="A218" t="s">
        <v>14</v>
      </c>
      <c r="B218" t="s">
        <v>15</v>
      </c>
      <c r="C218" t="s">
        <v>27</v>
      </c>
      <c r="D218" s="1">
        <v>44746</v>
      </c>
      <c r="E218" s="2">
        <v>3199</v>
      </c>
      <c r="F218">
        <v>122</v>
      </c>
      <c r="G218" s="2">
        <f t="shared" si="12"/>
        <v>26.221311475409838</v>
      </c>
      <c r="H218" t="str">
        <f t="shared" si="13"/>
        <v>July</v>
      </c>
      <c r="I218" t="str">
        <f t="shared" si="14"/>
        <v>Q3</v>
      </c>
      <c r="J218" t="str">
        <f t="shared" si="15"/>
        <v>Large</v>
      </c>
    </row>
    <row r="219" spans="1:10" x14ac:dyDescent="0.25">
      <c r="A219" t="s">
        <v>6</v>
      </c>
      <c r="B219" t="s">
        <v>10</v>
      </c>
      <c r="C219" t="s">
        <v>22</v>
      </c>
      <c r="D219" s="1">
        <v>44747</v>
      </c>
      <c r="E219" s="2">
        <v>3472</v>
      </c>
      <c r="F219">
        <v>135</v>
      </c>
      <c r="G219" s="2">
        <f t="shared" si="12"/>
        <v>25.718518518518518</v>
      </c>
      <c r="H219" t="str">
        <f t="shared" si="13"/>
        <v>July</v>
      </c>
      <c r="I219" t="str">
        <f t="shared" si="14"/>
        <v>Q3</v>
      </c>
      <c r="J219" t="str">
        <f t="shared" si="15"/>
        <v>Large</v>
      </c>
    </row>
    <row r="220" spans="1:10" x14ac:dyDescent="0.25">
      <c r="A220" t="s">
        <v>53</v>
      </c>
      <c r="B220" t="s">
        <v>26</v>
      </c>
      <c r="C220" t="s">
        <v>20</v>
      </c>
      <c r="D220" s="1">
        <v>44635</v>
      </c>
      <c r="E220" s="2">
        <v>4571</v>
      </c>
      <c r="F220">
        <v>430</v>
      </c>
      <c r="G220" s="2">
        <f t="shared" si="12"/>
        <v>10.630232558139534</v>
      </c>
      <c r="H220" t="str">
        <f t="shared" si="13"/>
        <v>March</v>
      </c>
      <c r="I220" t="str">
        <f t="shared" si="14"/>
        <v>Q1</v>
      </c>
      <c r="J220" t="str">
        <f t="shared" si="15"/>
        <v>Large</v>
      </c>
    </row>
    <row r="221" spans="1:10" x14ac:dyDescent="0.25">
      <c r="A221" t="s">
        <v>25</v>
      </c>
      <c r="B221" t="s">
        <v>7</v>
      </c>
      <c r="C221" t="s">
        <v>51</v>
      </c>
      <c r="D221" s="1">
        <v>44795</v>
      </c>
      <c r="E221" s="2">
        <v>5481</v>
      </c>
      <c r="F221">
        <v>69</v>
      </c>
      <c r="G221" s="2">
        <f t="shared" si="12"/>
        <v>79.434782608695656</v>
      </c>
      <c r="H221" t="str">
        <f t="shared" si="13"/>
        <v>August</v>
      </c>
      <c r="I221" t="str">
        <f t="shared" si="14"/>
        <v>Q3</v>
      </c>
      <c r="J221" t="str">
        <f t="shared" si="15"/>
        <v>Large</v>
      </c>
    </row>
    <row r="222" spans="1:10" x14ac:dyDescent="0.25">
      <c r="A222" t="s">
        <v>55</v>
      </c>
      <c r="B222" t="s">
        <v>15</v>
      </c>
      <c r="C222" t="s">
        <v>58</v>
      </c>
      <c r="D222" s="1">
        <v>44573</v>
      </c>
      <c r="E222" s="2">
        <v>3136</v>
      </c>
      <c r="F222">
        <v>125</v>
      </c>
      <c r="G222" s="2">
        <f t="shared" si="12"/>
        <v>25.088000000000001</v>
      </c>
      <c r="H222" t="str">
        <f t="shared" si="13"/>
        <v>January</v>
      </c>
      <c r="I222" t="str">
        <f t="shared" si="14"/>
        <v>Q1</v>
      </c>
      <c r="J222" t="str">
        <f t="shared" si="15"/>
        <v>Large</v>
      </c>
    </row>
    <row r="223" spans="1:10" x14ac:dyDescent="0.25">
      <c r="A223" t="s">
        <v>33</v>
      </c>
      <c r="B223" t="s">
        <v>7</v>
      </c>
      <c r="C223" t="s">
        <v>56</v>
      </c>
      <c r="D223" s="1">
        <v>44722</v>
      </c>
      <c r="E223" s="2">
        <v>252</v>
      </c>
      <c r="F223">
        <v>154</v>
      </c>
      <c r="G223" s="2">
        <f t="shared" si="12"/>
        <v>1.6363636363636365</v>
      </c>
      <c r="H223" t="str">
        <f t="shared" si="13"/>
        <v>June</v>
      </c>
      <c r="I223" t="str">
        <f t="shared" si="14"/>
        <v>Q2</v>
      </c>
      <c r="J223" t="str">
        <f t="shared" si="15"/>
        <v>Small</v>
      </c>
    </row>
    <row r="224" spans="1:10" x14ac:dyDescent="0.25">
      <c r="A224" t="s">
        <v>41</v>
      </c>
      <c r="B224" t="s">
        <v>15</v>
      </c>
      <c r="C224" t="s">
        <v>13</v>
      </c>
      <c r="D224" s="1">
        <v>44645</v>
      </c>
      <c r="E224" s="2">
        <v>5460</v>
      </c>
      <c r="F224">
        <v>286</v>
      </c>
      <c r="G224" s="2">
        <f t="shared" si="12"/>
        <v>19.09090909090909</v>
      </c>
      <c r="H224" t="str">
        <f t="shared" si="13"/>
        <v>March</v>
      </c>
      <c r="I224" t="str">
        <f t="shared" si="14"/>
        <v>Q1</v>
      </c>
      <c r="J224" t="str">
        <f t="shared" si="15"/>
        <v>Large</v>
      </c>
    </row>
    <row r="225" spans="1:10" x14ac:dyDescent="0.25">
      <c r="A225" t="s">
        <v>24</v>
      </c>
      <c r="B225" t="s">
        <v>10</v>
      </c>
      <c r="C225" t="s">
        <v>47</v>
      </c>
      <c r="D225" s="1">
        <v>44769</v>
      </c>
      <c r="E225" s="2">
        <v>3395</v>
      </c>
      <c r="F225">
        <v>99</v>
      </c>
      <c r="G225" s="2">
        <f t="shared" si="12"/>
        <v>34.292929292929294</v>
      </c>
      <c r="H225" t="str">
        <f t="shared" si="13"/>
        <v>July</v>
      </c>
      <c r="I225" t="str">
        <f t="shared" si="14"/>
        <v>Q3</v>
      </c>
      <c r="J225" t="str">
        <f t="shared" si="15"/>
        <v>Large</v>
      </c>
    </row>
    <row r="226" spans="1:10" x14ac:dyDescent="0.25">
      <c r="A226" t="s">
        <v>40</v>
      </c>
      <c r="B226" t="s">
        <v>7</v>
      </c>
      <c r="C226" t="s">
        <v>57</v>
      </c>
      <c r="D226" s="1">
        <v>44666</v>
      </c>
      <c r="E226" s="2">
        <v>14938</v>
      </c>
      <c r="F226">
        <v>433</v>
      </c>
      <c r="G226" s="2">
        <f t="shared" si="12"/>
        <v>34.498845265588912</v>
      </c>
      <c r="H226" t="str">
        <f t="shared" si="13"/>
        <v>April</v>
      </c>
      <c r="I226" t="str">
        <f t="shared" si="14"/>
        <v>Q2</v>
      </c>
      <c r="J226" t="str">
        <f t="shared" si="15"/>
        <v>Large</v>
      </c>
    </row>
    <row r="227" spans="1:10" x14ac:dyDescent="0.25">
      <c r="A227" t="s">
        <v>36</v>
      </c>
      <c r="B227" t="s">
        <v>10</v>
      </c>
      <c r="C227" t="s">
        <v>27</v>
      </c>
      <c r="D227" s="1">
        <v>44739</v>
      </c>
      <c r="E227" s="2">
        <v>4053</v>
      </c>
      <c r="F227">
        <v>19</v>
      </c>
      <c r="G227" s="2">
        <f t="shared" si="12"/>
        <v>213.31578947368422</v>
      </c>
      <c r="H227" t="str">
        <f t="shared" si="13"/>
        <v>June</v>
      </c>
      <c r="I227" t="str">
        <f t="shared" si="14"/>
        <v>Q2</v>
      </c>
      <c r="J227" t="str">
        <f t="shared" si="15"/>
        <v>Large</v>
      </c>
    </row>
    <row r="228" spans="1:10" x14ac:dyDescent="0.25">
      <c r="A228" t="s">
        <v>6</v>
      </c>
      <c r="B228" t="s">
        <v>7</v>
      </c>
      <c r="C228" t="s">
        <v>58</v>
      </c>
      <c r="D228" s="1">
        <v>44665</v>
      </c>
      <c r="E228" s="2">
        <v>5565</v>
      </c>
      <c r="F228">
        <v>258</v>
      </c>
      <c r="G228" s="2">
        <f t="shared" si="12"/>
        <v>21.569767441860463</v>
      </c>
      <c r="H228" t="str">
        <f t="shared" si="13"/>
        <v>April</v>
      </c>
      <c r="I228" t="str">
        <f t="shared" si="14"/>
        <v>Q2</v>
      </c>
      <c r="J228" t="str">
        <f t="shared" si="15"/>
        <v>Large</v>
      </c>
    </row>
    <row r="229" spans="1:10" x14ac:dyDescent="0.25">
      <c r="A229" t="s">
        <v>40</v>
      </c>
      <c r="B229" t="s">
        <v>15</v>
      </c>
      <c r="C229" t="s">
        <v>45</v>
      </c>
      <c r="D229" s="1">
        <v>44635</v>
      </c>
      <c r="E229" s="2">
        <v>7161</v>
      </c>
      <c r="F229">
        <v>92</v>
      </c>
      <c r="G229" s="2">
        <f t="shared" si="12"/>
        <v>77.836956521739125</v>
      </c>
      <c r="H229" t="str">
        <f t="shared" si="13"/>
        <v>March</v>
      </c>
      <c r="I229" t="str">
        <f t="shared" si="14"/>
        <v>Q1</v>
      </c>
      <c r="J229" t="str">
        <f t="shared" si="15"/>
        <v>Large</v>
      </c>
    </row>
    <row r="230" spans="1:10" x14ac:dyDescent="0.25">
      <c r="A230" t="s">
        <v>53</v>
      </c>
      <c r="B230" t="s">
        <v>26</v>
      </c>
      <c r="C230" t="s">
        <v>30</v>
      </c>
      <c r="D230" s="1">
        <v>44638</v>
      </c>
      <c r="E230" s="2">
        <v>8883</v>
      </c>
      <c r="F230">
        <v>200</v>
      </c>
      <c r="G230" s="2">
        <f t="shared" si="12"/>
        <v>44.414999999999999</v>
      </c>
      <c r="H230" t="str">
        <f t="shared" si="13"/>
        <v>March</v>
      </c>
      <c r="I230" t="str">
        <f t="shared" si="14"/>
        <v>Q1</v>
      </c>
      <c r="J230" t="str">
        <f t="shared" si="15"/>
        <v>Large</v>
      </c>
    </row>
    <row r="231" spans="1:10" x14ac:dyDescent="0.25">
      <c r="A231" t="s">
        <v>23</v>
      </c>
      <c r="B231" t="s">
        <v>10</v>
      </c>
      <c r="C231" t="s">
        <v>30</v>
      </c>
      <c r="D231" s="1">
        <v>44680</v>
      </c>
      <c r="E231" s="2">
        <v>1351</v>
      </c>
      <c r="F231">
        <v>61</v>
      </c>
      <c r="G231" s="2">
        <f t="shared" si="12"/>
        <v>22.147540983606557</v>
      </c>
      <c r="H231" t="str">
        <f t="shared" si="13"/>
        <v>April</v>
      </c>
      <c r="I231" t="str">
        <f t="shared" si="14"/>
        <v>Q2</v>
      </c>
      <c r="J231" t="str">
        <f t="shared" si="15"/>
        <v>Large</v>
      </c>
    </row>
    <row r="232" spans="1:10" x14ac:dyDescent="0.25">
      <c r="A232" t="s">
        <v>28</v>
      </c>
      <c r="B232" t="s">
        <v>21</v>
      </c>
      <c r="C232" t="s">
        <v>44</v>
      </c>
      <c r="D232" s="1">
        <v>44617</v>
      </c>
      <c r="E232" s="2">
        <v>3171</v>
      </c>
      <c r="F232">
        <v>246</v>
      </c>
      <c r="G232" s="2">
        <f t="shared" si="12"/>
        <v>12.890243902439025</v>
      </c>
      <c r="H232" t="str">
        <f t="shared" si="13"/>
        <v>February</v>
      </c>
      <c r="I232" t="str">
        <f t="shared" si="14"/>
        <v>Q1</v>
      </c>
      <c r="J232" t="str">
        <f t="shared" si="15"/>
        <v>Large</v>
      </c>
    </row>
    <row r="233" spans="1:10" x14ac:dyDescent="0.25">
      <c r="A233" t="s">
        <v>40</v>
      </c>
      <c r="B233" t="s">
        <v>26</v>
      </c>
      <c r="C233" t="s">
        <v>37</v>
      </c>
      <c r="D233" s="1">
        <v>44622</v>
      </c>
      <c r="E233" s="2">
        <v>854</v>
      </c>
      <c r="F233">
        <v>56</v>
      </c>
      <c r="G233" s="2">
        <f t="shared" si="12"/>
        <v>15.25</v>
      </c>
      <c r="H233" t="str">
        <f t="shared" si="13"/>
        <v>March</v>
      </c>
      <c r="I233" t="str">
        <f t="shared" si="14"/>
        <v>Q1</v>
      </c>
      <c r="J233" t="str">
        <f t="shared" si="15"/>
        <v>Large</v>
      </c>
    </row>
    <row r="234" spans="1:10" x14ac:dyDescent="0.25">
      <c r="A234" t="s">
        <v>9</v>
      </c>
      <c r="B234" t="s">
        <v>15</v>
      </c>
      <c r="C234" t="s">
        <v>37</v>
      </c>
      <c r="D234" s="1">
        <v>44732</v>
      </c>
      <c r="E234" s="2">
        <v>7910</v>
      </c>
      <c r="F234">
        <v>87</v>
      </c>
      <c r="G234" s="2">
        <f t="shared" si="12"/>
        <v>90.919540229885058</v>
      </c>
      <c r="H234" t="str">
        <f t="shared" si="13"/>
        <v>June</v>
      </c>
      <c r="I234" t="str">
        <f t="shared" si="14"/>
        <v>Q2</v>
      </c>
      <c r="J234" t="str">
        <f t="shared" si="15"/>
        <v>Large</v>
      </c>
    </row>
    <row r="235" spans="1:10" x14ac:dyDescent="0.25">
      <c r="A235" t="s">
        <v>34</v>
      </c>
      <c r="B235" t="s">
        <v>29</v>
      </c>
      <c r="C235" t="s">
        <v>44</v>
      </c>
      <c r="D235" s="1">
        <v>44757</v>
      </c>
      <c r="E235" s="2">
        <v>9275</v>
      </c>
      <c r="F235">
        <v>173</v>
      </c>
      <c r="G235" s="2">
        <f t="shared" si="12"/>
        <v>53.612716763005778</v>
      </c>
      <c r="H235" t="str">
        <f t="shared" si="13"/>
        <v>July</v>
      </c>
      <c r="I235" t="str">
        <f t="shared" si="14"/>
        <v>Q3</v>
      </c>
      <c r="J235" t="str">
        <f t="shared" si="15"/>
        <v>Large</v>
      </c>
    </row>
    <row r="236" spans="1:10" x14ac:dyDescent="0.25">
      <c r="A236" t="s">
        <v>54</v>
      </c>
      <c r="B236" t="s">
        <v>15</v>
      </c>
      <c r="C236" t="s">
        <v>22</v>
      </c>
      <c r="D236" s="1">
        <v>44693</v>
      </c>
      <c r="E236" s="2">
        <v>3108</v>
      </c>
      <c r="F236">
        <v>252</v>
      </c>
      <c r="G236" s="2">
        <f t="shared" si="12"/>
        <v>12.333333333333334</v>
      </c>
      <c r="H236" t="str">
        <f t="shared" si="13"/>
        <v>May</v>
      </c>
      <c r="I236" t="str">
        <f t="shared" si="14"/>
        <v>Q2</v>
      </c>
      <c r="J236" t="str">
        <f t="shared" si="15"/>
        <v>Large</v>
      </c>
    </row>
    <row r="237" spans="1:10" x14ac:dyDescent="0.25">
      <c r="A237" t="s">
        <v>28</v>
      </c>
      <c r="B237" t="s">
        <v>21</v>
      </c>
      <c r="C237" t="s">
        <v>35</v>
      </c>
      <c r="D237" s="1">
        <v>44743</v>
      </c>
      <c r="E237" s="2">
        <v>5075</v>
      </c>
      <c r="F237">
        <v>256</v>
      </c>
      <c r="G237" s="2">
        <f t="shared" si="12"/>
        <v>19.82421875</v>
      </c>
      <c r="H237" t="str">
        <f t="shared" si="13"/>
        <v>July</v>
      </c>
      <c r="I237" t="str">
        <f t="shared" si="14"/>
        <v>Q3</v>
      </c>
      <c r="J237" t="str">
        <f t="shared" si="15"/>
        <v>Large</v>
      </c>
    </row>
    <row r="238" spans="1:10" x14ac:dyDescent="0.25">
      <c r="A238" t="s">
        <v>40</v>
      </c>
      <c r="B238" t="s">
        <v>26</v>
      </c>
      <c r="C238" t="s">
        <v>11</v>
      </c>
      <c r="D238" s="1">
        <v>44781</v>
      </c>
      <c r="E238" s="2">
        <v>378</v>
      </c>
      <c r="F238">
        <v>54</v>
      </c>
      <c r="G238" s="2">
        <f t="shared" si="12"/>
        <v>7</v>
      </c>
      <c r="H238" t="str">
        <f t="shared" si="13"/>
        <v>August</v>
      </c>
      <c r="I238" t="str">
        <f t="shared" si="14"/>
        <v>Q3</v>
      </c>
      <c r="J238" t="str">
        <f t="shared" si="15"/>
        <v>Small</v>
      </c>
    </row>
    <row r="239" spans="1:10" x14ac:dyDescent="0.25">
      <c r="A239" t="s">
        <v>53</v>
      </c>
      <c r="B239" t="s">
        <v>15</v>
      </c>
      <c r="C239" t="s">
        <v>22</v>
      </c>
      <c r="D239" s="1">
        <v>44767</v>
      </c>
      <c r="E239" s="2">
        <v>7350</v>
      </c>
      <c r="F239">
        <v>6</v>
      </c>
      <c r="G239" s="2">
        <f t="shared" si="12"/>
        <v>1225</v>
      </c>
      <c r="H239" t="str">
        <f t="shared" si="13"/>
        <v>July</v>
      </c>
      <c r="I239" t="str">
        <f t="shared" si="14"/>
        <v>Q3</v>
      </c>
      <c r="J239" t="str">
        <f t="shared" si="15"/>
        <v>Large</v>
      </c>
    </row>
    <row r="240" spans="1:10" x14ac:dyDescent="0.25">
      <c r="A240" t="s">
        <v>46</v>
      </c>
      <c r="B240" t="s">
        <v>7</v>
      </c>
      <c r="C240" t="s">
        <v>32</v>
      </c>
      <c r="D240" s="1">
        <v>44699</v>
      </c>
      <c r="E240" s="2">
        <v>3388</v>
      </c>
      <c r="F240">
        <v>55</v>
      </c>
      <c r="G240" s="2">
        <f t="shared" si="12"/>
        <v>61.6</v>
      </c>
      <c r="H240" t="str">
        <f t="shared" si="13"/>
        <v>May</v>
      </c>
      <c r="I240" t="str">
        <f t="shared" si="14"/>
        <v>Q2</v>
      </c>
      <c r="J240" t="str">
        <f t="shared" si="15"/>
        <v>Large</v>
      </c>
    </row>
    <row r="241" spans="1:10" x14ac:dyDescent="0.25">
      <c r="A241" t="s">
        <v>50</v>
      </c>
      <c r="B241" t="s">
        <v>10</v>
      </c>
      <c r="C241" t="s">
        <v>13</v>
      </c>
      <c r="D241" s="1">
        <v>44757</v>
      </c>
      <c r="E241" s="2">
        <v>11837</v>
      </c>
      <c r="F241">
        <v>277</v>
      </c>
      <c r="G241" s="2">
        <f t="shared" si="12"/>
        <v>42.73285198555957</v>
      </c>
      <c r="H241" t="str">
        <f t="shared" si="13"/>
        <v>July</v>
      </c>
      <c r="I241" t="str">
        <f t="shared" si="14"/>
        <v>Q3</v>
      </c>
      <c r="J241" t="str">
        <f t="shared" si="15"/>
        <v>Large</v>
      </c>
    </row>
    <row r="242" spans="1:10" x14ac:dyDescent="0.25">
      <c r="A242" t="s">
        <v>38</v>
      </c>
      <c r="B242" t="s">
        <v>10</v>
      </c>
      <c r="C242" t="s">
        <v>58</v>
      </c>
      <c r="D242" s="1">
        <v>44747</v>
      </c>
      <c r="E242" s="2">
        <v>2282</v>
      </c>
      <c r="F242">
        <v>44</v>
      </c>
      <c r="G242" s="2">
        <f t="shared" si="12"/>
        <v>51.863636363636367</v>
      </c>
      <c r="H242" t="str">
        <f t="shared" si="13"/>
        <v>July</v>
      </c>
      <c r="I242" t="str">
        <f t="shared" si="14"/>
        <v>Q3</v>
      </c>
      <c r="J242" t="str">
        <f t="shared" si="15"/>
        <v>Large</v>
      </c>
    </row>
    <row r="243" spans="1:10" x14ac:dyDescent="0.25">
      <c r="A243" t="s">
        <v>28</v>
      </c>
      <c r="B243" t="s">
        <v>26</v>
      </c>
      <c r="C243" t="s">
        <v>45</v>
      </c>
      <c r="D243" s="1">
        <v>44746</v>
      </c>
      <c r="E243" s="2">
        <v>5425</v>
      </c>
      <c r="F243">
        <v>96</v>
      </c>
      <c r="G243" s="2">
        <f t="shared" si="12"/>
        <v>56.510416666666664</v>
      </c>
      <c r="H243" t="str">
        <f t="shared" si="13"/>
        <v>July</v>
      </c>
      <c r="I243" t="str">
        <f t="shared" si="14"/>
        <v>Q3</v>
      </c>
      <c r="J243" t="str">
        <f t="shared" si="15"/>
        <v>Large</v>
      </c>
    </row>
    <row r="244" spans="1:10" x14ac:dyDescent="0.25">
      <c r="A244" t="s">
        <v>54</v>
      </c>
      <c r="B244" t="s">
        <v>7</v>
      </c>
      <c r="C244" t="s">
        <v>58</v>
      </c>
      <c r="D244" s="1">
        <v>44732</v>
      </c>
      <c r="E244" s="2">
        <v>1267</v>
      </c>
      <c r="F244">
        <v>216</v>
      </c>
      <c r="G244" s="2">
        <f t="shared" si="12"/>
        <v>5.8657407407407405</v>
      </c>
      <c r="H244" t="str">
        <f t="shared" si="13"/>
        <v>June</v>
      </c>
      <c r="I244" t="str">
        <f t="shared" si="14"/>
        <v>Q2</v>
      </c>
      <c r="J244" t="str">
        <f t="shared" si="15"/>
        <v>Large</v>
      </c>
    </row>
    <row r="245" spans="1:10" x14ac:dyDescent="0.25">
      <c r="A245" t="s">
        <v>19</v>
      </c>
      <c r="B245" t="s">
        <v>15</v>
      </c>
      <c r="C245" t="s">
        <v>47</v>
      </c>
      <c r="D245" s="1">
        <v>44586</v>
      </c>
      <c r="E245" s="2">
        <v>3752</v>
      </c>
      <c r="F245">
        <v>424</v>
      </c>
      <c r="G245" s="2">
        <f t="shared" si="12"/>
        <v>8.8490566037735849</v>
      </c>
      <c r="H245" t="str">
        <f t="shared" si="13"/>
        <v>January</v>
      </c>
      <c r="I245" t="str">
        <f t="shared" si="14"/>
        <v>Q1</v>
      </c>
      <c r="J245" t="str">
        <f t="shared" si="15"/>
        <v>Large</v>
      </c>
    </row>
    <row r="246" spans="1:10" x14ac:dyDescent="0.25">
      <c r="A246" t="s">
        <v>41</v>
      </c>
      <c r="B246" t="s">
        <v>21</v>
      </c>
      <c r="C246" t="s">
        <v>39</v>
      </c>
      <c r="D246" s="1">
        <v>44743</v>
      </c>
      <c r="E246" s="2">
        <v>7728</v>
      </c>
      <c r="F246">
        <v>37</v>
      </c>
      <c r="G246" s="2">
        <f t="shared" si="12"/>
        <v>208.86486486486487</v>
      </c>
      <c r="H246" t="str">
        <f t="shared" si="13"/>
        <v>July</v>
      </c>
      <c r="I246" t="str">
        <f t="shared" si="14"/>
        <v>Q3</v>
      </c>
      <c r="J246" t="str">
        <f t="shared" si="15"/>
        <v>Large</v>
      </c>
    </row>
    <row r="247" spans="1:10" x14ac:dyDescent="0.25">
      <c r="A247" t="s">
        <v>12</v>
      </c>
      <c r="B247" t="s">
        <v>26</v>
      </c>
      <c r="C247" t="s">
        <v>22</v>
      </c>
      <c r="D247" s="1">
        <v>44664</v>
      </c>
      <c r="E247" s="2">
        <v>2296</v>
      </c>
      <c r="F247">
        <v>59</v>
      </c>
      <c r="G247" s="2">
        <f t="shared" si="12"/>
        <v>38.915254237288138</v>
      </c>
      <c r="H247" t="str">
        <f t="shared" si="13"/>
        <v>April</v>
      </c>
      <c r="I247" t="str">
        <f t="shared" si="14"/>
        <v>Q2</v>
      </c>
      <c r="J247" t="str">
        <f t="shared" si="15"/>
        <v>Large</v>
      </c>
    </row>
    <row r="248" spans="1:10" x14ac:dyDescent="0.25">
      <c r="A248" t="s">
        <v>34</v>
      </c>
      <c r="B248" t="s">
        <v>7</v>
      </c>
      <c r="C248" t="s">
        <v>16</v>
      </c>
      <c r="D248" s="1">
        <v>44685</v>
      </c>
      <c r="E248" s="2">
        <v>4403</v>
      </c>
      <c r="F248">
        <v>76</v>
      </c>
      <c r="G248" s="2">
        <f t="shared" si="12"/>
        <v>57.934210526315788</v>
      </c>
      <c r="H248" t="str">
        <f t="shared" si="13"/>
        <v>May</v>
      </c>
      <c r="I248" t="str">
        <f t="shared" si="14"/>
        <v>Q2</v>
      </c>
      <c r="J248" t="str">
        <f t="shared" si="15"/>
        <v>Large</v>
      </c>
    </row>
    <row r="249" spans="1:10" x14ac:dyDescent="0.25">
      <c r="A249" t="s">
        <v>34</v>
      </c>
      <c r="B249" t="s">
        <v>15</v>
      </c>
      <c r="C249" t="s">
        <v>56</v>
      </c>
      <c r="D249" s="1">
        <v>44777</v>
      </c>
      <c r="E249" s="2">
        <v>3192</v>
      </c>
      <c r="F249">
        <v>109</v>
      </c>
      <c r="G249" s="2">
        <f t="shared" si="12"/>
        <v>29.284403669724771</v>
      </c>
      <c r="H249" t="str">
        <f t="shared" si="13"/>
        <v>August</v>
      </c>
      <c r="I249" t="str">
        <f t="shared" si="14"/>
        <v>Q3</v>
      </c>
      <c r="J249" t="str">
        <f t="shared" si="15"/>
        <v>Large</v>
      </c>
    </row>
    <row r="250" spans="1:10" x14ac:dyDescent="0.25">
      <c r="A250" t="s">
        <v>34</v>
      </c>
      <c r="B250" t="s">
        <v>10</v>
      </c>
      <c r="C250" t="s">
        <v>58</v>
      </c>
      <c r="D250" s="1">
        <v>44713</v>
      </c>
      <c r="E250" s="2">
        <v>448</v>
      </c>
      <c r="F250">
        <v>146</v>
      </c>
      <c r="G250" s="2">
        <f t="shared" si="12"/>
        <v>3.0684931506849313</v>
      </c>
      <c r="H250" t="str">
        <f t="shared" si="13"/>
        <v>June</v>
      </c>
      <c r="I250" t="str">
        <f t="shared" si="14"/>
        <v>Q2</v>
      </c>
      <c r="J250" t="str">
        <f t="shared" si="15"/>
        <v>Small</v>
      </c>
    </row>
    <row r="251" spans="1:10" x14ac:dyDescent="0.25">
      <c r="A251" t="s">
        <v>6</v>
      </c>
      <c r="B251" t="s">
        <v>7</v>
      </c>
      <c r="C251" t="s">
        <v>52</v>
      </c>
      <c r="D251" s="1">
        <v>44673</v>
      </c>
      <c r="E251" s="2">
        <v>4270</v>
      </c>
      <c r="F251">
        <v>185</v>
      </c>
      <c r="G251" s="2">
        <f t="shared" si="12"/>
        <v>23.081081081081081</v>
      </c>
      <c r="H251" t="str">
        <f t="shared" si="13"/>
        <v>April</v>
      </c>
      <c r="I251" t="str">
        <f t="shared" si="14"/>
        <v>Q2</v>
      </c>
      <c r="J251" t="str">
        <f t="shared" si="15"/>
        <v>Large</v>
      </c>
    </row>
    <row r="252" spans="1:10" x14ac:dyDescent="0.25">
      <c r="A252" t="s">
        <v>41</v>
      </c>
      <c r="B252" t="s">
        <v>26</v>
      </c>
      <c r="C252" t="s">
        <v>22</v>
      </c>
      <c r="D252" s="1">
        <v>44776</v>
      </c>
      <c r="E252" s="2">
        <v>70</v>
      </c>
      <c r="F252">
        <v>27</v>
      </c>
      <c r="G252" s="2">
        <f t="shared" si="12"/>
        <v>2.5925925925925926</v>
      </c>
      <c r="H252" t="str">
        <f t="shared" si="13"/>
        <v>August</v>
      </c>
      <c r="I252" t="str">
        <f t="shared" si="14"/>
        <v>Q3</v>
      </c>
      <c r="J252" t="str">
        <f t="shared" si="15"/>
        <v>Small</v>
      </c>
    </row>
    <row r="253" spans="1:10" x14ac:dyDescent="0.25">
      <c r="A253" t="s">
        <v>55</v>
      </c>
      <c r="B253" t="s">
        <v>26</v>
      </c>
      <c r="C253" t="s">
        <v>27</v>
      </c>
      <c r="D253" s="1">
        <v>44722</v>
      </c>
      <c r="E253" s="2">
        <v>1743</v>
      </c>
      <c r="F253">
        <v>69</v>
      </c>
      <c r="G253" s="2">
        <f t="shared" si="12"/>
        <v>25.260869565217391</v>
      </c>
      <c r="H253" t="str">
        <f t="shared" si="13"/>
        <v>June</v>
      </c>
      <c r="I253" t="str">
        <f t="shared" si="14"/>
        <v>Q2</v>
      </c>
      <c r="J253" t="str">
        <f t="shared" si="15"/>
        <v>Large</v>
      </c>
    </row>
    <row r="254" spans="1:10" x14ac:dyDescent="0.25">
      <c r="A254" t="s">
        <v>19</v>
      </c>
      <c r="B254" t="s">
        <v>7</v>
      </c>
      <c r="C254" t="s">
        <v>45</v>
      </c>
      <c r="D254" s="1">
        <v>44739</v>
      </c>
      <c r="E254" s="2">
        <v>6762</v>
      </c>
      <c r="F254">
        <v>46</v>
      </c>
      <c r="G254" s="2">
        <f t="shared" si="12"/>
        <v>147</v>
      </c>
      <c r="H254" t="str">
        <f t="shared" si="13"/>
        <v>June</v>
      </c>
      <c r="I254" t="str">
        <f t="shared" si="14"/>
        <v>Q2</v>
      </c>
      <c r="J254" t="str">
        <f t="shared" si="15"/>
        <v>Large</v>
      </c>
    </row>
    <row r="255" spans="1:10" x14ac:dyDescent="0.25">
      <c r="A255" t="s">
        <v>33</v>
      </c>
      <c r="B255" t="s">
        <v>15</v>
      </c>
      <c r="C255" t="s">
        <v>16</v>
      </c>
      <c r="D255" s="1">
        <v>44564</v>
      </c>
      <c r="E255" s="2">
        <v>3745</v>
      </c>
      <c r="F255">
        <v>170</v>
      </c>
      <c r="G255" s="2">
        <f t="shared" si="12"/>
        <v>22.029411764705884</v>
      </c>
      <c r="H255" t="str">
        <f t="shared" si="13"/>
        <v>January</v>
      </c>
      <c r="I255" t="str">
        <f t="shared" si="14"/>
        <v>Q1</v>
      </c>
      <c r="J255" t="str">
        <f t="shared" si="15"/>
        <v>Large</v>
      </c>
    </row>
    <row r="256" spans="1:10" x14ac:dyDescent="0.25">
      <c r="A256" t="s">
        <v>33</v>
      </c>
      <c r="B256" t="s">
        <v>10</v>
      </c>
      <c r="C256" t="s">
        <v>20</v>
      </c>
      <c r="D256" s="1">
        <v>44753</v>
      </c>
      <c r="E256" s="2">
        <v>2639</v>
      </c>
      <c r="F256">
        <v>179</v>
      </c>
      <c r="G256" s="2">
        <f t="shared" si="12"/>
        <v>14.743016759776536</v>
      </c>
      <c r="H256" t="str">
        <f t="shared" si="13"/>
        <v>July</v>
      </c>
      <c r="I256" t="str">
        <f t="shared" si="14"/>
        <v>Q3</v>
      </c>
      <c r="J256" t="str">
        <f t="shared" si="15"/>
        <v>Large</v>
      </c>
    </row>
    <row r="257" spans="1:10" x14ac:dyDescent="0.25">
      <c r="A257" t="s">
        <v>55</v>
      </c>
      <c r="B257" t="s">
        <v>21</v>
      </c>
      <c r="C257" t="s">
        <v>37</v>
      </c>
      <c r="D257" s="1">
        <v>44790</v>
      </c>
      <c r="E257" s="2">
        <v>4389</v>
      </c>
      <c r="F257">
        <v>126</v>
      </c>
      <c r="G257" s="2">
        <f t="shared" si="12"/>
        <v>34.833333333333336</v>
      </c>
      <c r="H257" t="str">
        <f t="shared" si="13"/>
        <v>August</v>
      </c>
      <c r="I257" t="str">
        <f t="shared" si="14"/>
        <v>Q3</v>
      </c>
      <c r="J257" t="str">
        <f t="shared" si="15"/>
        <v>Large</v>
      </c>
    </row>
    <row r="258" spans="1:10" x14ac:dyDescent="0.25">
      <c r="A258" t="s">
        <v>24</v>
      </c>
      <c r="B258" t="s">
        <v>26</v>
      </c>
      <c r="C258" t="s">
        <v>42</v>
      </c>
      <c r="D258" s="1">
        <v>44579</v>
      </c>
      <c r="E258" s="2">
        <v>2604</v>
      </c>
      <c r="F258">
        <v>65</v>
      </c>
      <c r="G258" s="2">
        <f t="shared" si="12"/>
        <v>40.061538461538461</v>
      </c>
      <c r="H258" t="str">
        <f t="shared" si="13"/>
        <v>January</v>
      </c>
      <c r="I258" t="str">
        <f t="shared" si="14"/>
        <v>Q1</v>
      </c>
      <c r="J258" t="str">
        <f t="shared" si="15"/>
        <v>Large</v>
      </c>
    </row>
    <row r="259" spans="1:10" x14ac:dyDescent="0.25">
      <c r="A259" t="s">
        <v>55</v>
      </c>
      <c r="B259" t="s">
        <v>10</v>
      </c>
      <c r="C259" t="s">
        <v>35</v>
      </c>
      <c r="D259" s="1">
        <v>44628</v>
      </c>
      <c r="E259" s="2">
        <v>16569</v>
      </c>
      <c r="F259">
        <v>99</v>
      </c>
      <c r="G259" s="2">
        <f t="shared" ref="G259:G322" si="16">E259/F259</f>
        <v>167.36363636363637</v>
      </c>
      <c r="H259" t="str">
        <f t="shared" ref="H259:H322" si="17">TEXT(D259, "mmmm")</f>
        <v>March</v>
      </c>
      <c r="I259" t="str">
        <f t="shared" ref="I259:I322" si="18">"Q" &amp; ROUNDUP(MONTH(D259)/3,0)</f>
        <v>Q1</v>
      </c>
      <c r="J259" t="str">
        <f t="shared" ref="J259:J322" si="19">IF(E259 &gt; 500, "Large", "Small")</f>
        <v>Large</v>
      </c>
    </row>
    <row r="260" spans="1:10" x14ac:dyDescent="0.25">
      <c r="A260" t="s">
        <v>28</v>
      </c>
      <c r="B260" t="s">
        <v>15</v>
      </c>
      <c r="C260" t="s">
        <v>27</v>
      </c>
      <c r="D260" s="1">
        <v>44627</v>
      </c>
      <c r="E260" s="2">
        <v>14658</v>
      </c>
      <c r="F260">
        <v>275</v>
      </c>
      <c r="G260" s="2">
        <f t="shared" si="16"/>
        <v>53.301818181818184</v>
      </c>
      <c r="H260" t="str">
        <f t="shared" si="17"/>
        <v>March</v>
      </c>
      <c r="I260" t="str">
        <f t="shared" si="18"/>
        <v>Q1</v>
      </c>
      <c r="J260" t="str">
        <f t="shared" si="19"/>
        <v>Large</v>
      </c>
    </row>
    <row r="261" spans="1:10" x14ac:dyDescent="0.25">
      <c r="A261" t="s">
        <v>40</v>
      </c>
      <c r="B261" t="s">
        <v>10</v>
      </c>
      <c r="C261" t="s">
        <v>58</v>
      </c>
      <c r="D261" s="1">
        <v>44690</v>
      </c>
      <c r="E261" s="2">
        <v>6454</v>
      </c>
      <c r="F261">
        <v>157</v>
      </c>
      <c r="G261" s="2">
        <f t="shared" si="16"/>
        <v>41.108280254777071</v>
      </c>
      <c r="H261" t="str">
        <f t="shared" si="17"/>
        <v>May</v>
      </c>
      <c r="I261" t="str">
        <f t="shared" si="18"/>
        <v>Q2</v>
      </c>
      <c r="J261" t="str">
        <f t="shared" si="19"/>
        <v>Large</v>
      </c>
    </row>
    <row r="262" spans="1:10" x14ac:dyDescent="0.25">
      <c r="A262" t="s">
        <v>25</v>
      </c>
      <c r="B262" t="s">
        <v>21</v>
      </c>
      <c r="C262" t="s">
        <v>11</v>
      </c>
      <c r="D262" s="1">
        <v>44704</v>
      </c>
      <c r="E262" s="2">
        <v>2100</v>
      </c>
      <c r="F262">
        <v>157</v>
      </c>
      <c r="G262" s="2">
        <f t="shared" si="16"/>
        <v>13.375796178343949</v>
      </c>
      <c r="H262" t="str">
        <f t="shared" si="17"/>
        <v>May</v>
      </c>
      <c r="I262" t="str">
        <f t="shared" si="18"/>
        <v>Q2</v>
      </c>
      <c r="J262" t="str">
        <f t="shared" si="19"/>
        <v>Large</v>
      </c>
    </row>
    <row r="263" spans="1:10" x14ac:dyDescent="0.25">
      <c r="A263" t="s">
        <v>53</v>
      </c>
      <c r="B263" t="s">
        <v>7</v>
      </c>
      <c r="C263" t="s">
        <v>57</v>
      </c>
      <c r="D263" s="1">
        <v>44666</v>
      </c>
      <c r="E263" s="2">
        <v>161</v>
      </c>
      <c r="F263">
        <v>145</v>
      </c>
      <c r="G263" s="2">
        <f t="shared" si="16"/>
        <v>1.1103448275862069</v>
      </c>
      <c r="H263" t="str">
        <f t="shared" si="17"/>
        <v>April</v>
      </c>
      <c r="I263" t="str">
        <f t="shared" si="18"/>
        <v>Q2</v>
      </c>
      <c r="J263" t="str">
        <f t="shared" si="19"/>
        <v>Small</v>
      </c>
    </row>
    <row r="264" spans="1:10" x14ac:dyDescent="0.25">
      <c r="A264" t="s">
        <v>12</v>
      </c>
      <c r="B264" t="s">
        <v>15</v>
      </c>
      <c r="C264" t="s">
        <v>32</v>
      </c>
      <c r="D264" s="1">
        <v>44769</v>
      </c>
      <c r="E264" s="2">
        <v>2807</v>
      </c>
      <c r="F264">
        <v>139</v>
      </c>
      <c r="G264" s="2">
        <f t="shared" si="16"/>
        <v>20.194244604316548</v>
      </c>
      <c r="H264" t="str">
        <f t="shared" si="17"/>
        <v>July</v>
      </c>
      <c r="I264" t="str">
        <f t="shared" si="18"/>
        <v>Q3</v>
      </c>
      <c r="J264" t="str">
        <f t="shared" si="19"/>
        <v>Large</v>
      </c>
    </row>
    <row r="265" spans="1:10" x14ac:dyDescent="0.25">
      <c r="A265" t="s">
        <v>33</v>
      </c>
      <c r="B265" t="s">
        <v>29</v>
      </c>
      <c r="C265" t="s">
        <v>52</v>
      </c>
      <c r="D265" s="1">
        <v>44795</v>
      </c>
      <c r="E265" s="2">
        <v>2639</v>
      </c>
      <c r="F265">
        <v>406</v>
      </c>
      <c r="G265" s="2">
        <f t="shared" si="16"/>
        <v>6.5</v>
      </c>
      <c r="H265" t="str">
        <f t="shared" si="17"/>
        <v>August</v>
      </c>
      <c r="I265" t="str">
        <f t="shared" si="18"/>
        <v>Q3</v>
      </c>
      <c r="J265" t="str">
        <f t="shared" si="19"/>
        <v>Large</v>
      </c>
    </row>
    <row r="266" spans="1:10" x14ac:dyDescent="0.25">
      <c r="A266" t="s">
        <v>55</v>
      </c>
      <c r="B266" t="s">
        <v>26</v>
      </c>
      <c r="C266" t="s">
        <v>58</v>
      </c>
      <c r="D266" s="1">
        <v>44692</v>
      </c>
      <c r="E266" s="2">
        <v>4571</v>
      </c>
      <c r="F266">
        <v>122</v>
      </c>
      <c r="G266" s="2">
        <f t="shared" si="16"/>
        <v>37.467213114754095</v>
      </c>
      <c r="H266" t="str">
        <f t="shared" si="17"/>
        <v>May</v>
      </c>
      <c r="I266" t="str">
        <f t="shared" si="18"/>
        <v>Q2</v>
      </c>
      <c r="J266" t="str">
        <f t="shared" si="19"/>
        <v>Large</v>
      </c>
    </row>
    <row r="267" spans="1:10" x14ac:dyDescent="0.25">
      <c r="A267" t="s">
        <v>53</v>
      </c>
      <c r="B267" t="s">
        <v>10</v>
      </c>
      <c r="C267" t="s">
        <v>35</v>
      </c>
      <c r="D267" s="1">
        <v>44587</v>
      </c>
      <c r="E267" s="2">
        <v>4781</v>
      </c>
      <c r="F267">
        <v>38</v>
      </c>
      <c r="G267" s="2">
        <f t="shared" si="16"/>
        <v>125.81578947368421</v>
      </c>
      <c r="H267" t="str">
        <f t="shared" si="17"/>
        <v>January</v>
      </c>
      <c r="I267" t="str">
        <f t="shared" si="18"/>
        <v>Q1</v>
      </c>
      <c r="J267" t="str">
        <f t="shared" si="19"/>
        <v>Large</v>
      </c>
    </row>
    <row r="268" spans="1:10" x14ac:dyDescent="0.25">
      <c r="A268" t="s">
        <v>25</v>
      </c>
      <c r="B268" t="s">
        <v>26</v>
      </c>
      <c r="C268" t="s">
        <v>22</v>
      </c>
      <c r="D268" s="1">
        <v>44665</v>
      </c>
      <c r="E268" s="2">
        <v>13034</v>
      </c>
      <c r="F268">
        <v>117</v>
      </c>
      <c r="G268" s="2">
        <f t="shared" si="16"/>
        <v>111.4017094017094</v>
      </c>
      <c r="H268" t="str">
        <f t="shared" si="17"/>
        <v>April</v>
      </c>
      <c r="I268" t="str">
        <f t="shared" si="18"/>
        <v>Q2</v>
      </c>
      <c r="J268" t="str">
        <f t="shared" si="19"/>
        <v>Large</v>
      </c>
    </row>
    <row r="269" spans="1:10" x14ac:dyDescent="0.25">
      <c r="A269" t="s">
        <v>43</v>
      </c>
      <c r="B269" t="s">
        <v>21</v>
      </c>
      <c r="C269" t="s">
        <v>8</v>
      </c>
      <c r="D269" s="1">
        <v>44656</v>
      </c>
      <c r="E269" s="2">
        <v>6454</v>
      </c>
      <c r="F269">
        <v>417</v>
      </c>
      <c r="G269" s="2">
        <f t="shared" si="16"/>
        <v>15.477218225419664</v>
      </c>
      <c r="H269" t="str">
        <f t="shared" si="17"/>
        <v>April</v>
      </c>
      <c r="I269" t="str">
        <f t="shared" si="18"/>
        <v>Q2</v>
      </c>
      <c r="J269" t="str">
        <f t="shared" si="19"/>
        <v>Large</v>
      </c>
    </row>
    <row r="270" spans="1:10" x14ac:dyDescent="0.25">
      <c r="A270" t="s">
        <v>33</v>
      </c>
      <c r="B270" t="s">
        <v>21</v>
      </c>
      <c r="C270" t="s">
        <v>16</v>
      </c>
      <c r="D270" s="1">
        <v>44726</v>
      </c>
      <c r="E270" s="2">
        <v>8484</v>
      </c>
      <c r="F270">
        <v>57</v>
      </c>
      <c r="G270" s="2">
        <f t="shared" si="16"/>
        <v>148.84210526315789</v>
      </c>
      <c r="H270" t="str">
        <f t="shared" si="17"/>
        <v>June</v>
      </c>
      <c r="I270" t="str">
        <f t="shared" si="18"/>
        <v>Q2</v>
      </c>
      <c r="J270" t="str">
        <f t="shared" si="19"/>
        <v>Large</v>
      </c>
    </row>
    <row r="271" spans="1:10" x14ac:dyDescent="0.25">
      <c r="A271" t="s">
        <v>23</v>
      </c>
      <c r="B271" t="s">
        <v>29</v>
      </c>
      <c r="C271" t="s">
        <v>47</v>
      </c>
      <c r="D271" s="1">
        <v>44664</v>
      </c>
      <c r="E271" s="2">
        <v>4781</v>
      </c>
      <c r="F271">
        <v>125</v>
      </c>
      <c r="G271" s="2">
        <f t="shared" si="16"/>
        <v>38.247999999999998</v>
      </c>
      <c r="H271" t="str">
        <f t="shared" si="17"/>
        <v>April</v>
      </c>
      <c r="I271" t="str">
        <f t="shared" si="18"/>
        <v>Q2</v>
      </c>
      <c r="J271" t="str">
        <f t="shared" si="19"/>
        <v>Large</v>
      </c>
    </row>
    <row r="272" spans="1:10" x14ac:dyDescent="0.25">
      <c r="A272" t="s">
        <v>34</v>
      </c>
      <c r="B272" t="s">
        <v>15</v>
      </c>
      <c r="C272" t="s">
        <v>44</v>
      </c>
      <c r="D272" s="1">
        <v>44739</v>
      </c>
      <c r="E272" s="2">
        <v>2240</v>
      </c>
      <c r="F272">
        <v>166</v>
      </c>
      <c r="G272" s="2">
        <f t="shared" si="16"/>
        <v>13.493975903614459</v>
      </c>
      <c r="H272" t="str">
        <f t="shared" si="17"/>
        <v>June</v>
      </c>
      <c r="I272" t="str">
        <f t="shared" si="18"/>
        <v>Q2</v>
      </c>
      <c r="J272" t="str">
        <f t="shared" si="19"/>
        <v>Large</v>
      </c>
    </row>
    <row r="273" spans="1:10" x14ac:dyDescent="0.25">
      <c r="A273" t="s">
        <v>54</v>
      </c>
      <c r="B273" t="s">
        <v>15</v>
      </c>
      <c r="C273" t="s">
        <v>30</v>
      </c>
      <c r="D273" s="1">
        <v>44587</v>
      </c>
      <c r="E273" s="2">
        <v>6979</v>
      </c>
      <c r="F273">
        <v>3</v>
      </c>
      <c r="G273" s="2">
        <f t="shared" si="16"/>
        <v>2326.3333333333335</v>
      </c>
      <c r="H273" t="str">
        <f t="shared" si="17"/>
        <v>January</v>
      </c>
      <c r="I273" t="str">
        <f t="shared" si="18"/>
        <v>Q1</v>
      </c>
      <c r="J273" t="str">
        <f t="shared" si="19"/>
        <v>Large</v>
      </c>
    </row>
    <row r="274" spans="1:10" x14ac:dyDescent="0.25">
      <c r="A274" t="s">
        <v>25</v>
      </c>
      <c r="B274" t="s">
        <v>7</v>
      </c>
      <c r="C274" t="s">
        <v>44</v>
      </c>
      <c r="D274" s="1">
        <v>44747</v>
      </c>
      <c r="E274" s="2">
        <v>1652</v>
      </c>
      <c r="F274">
        <v>72</v>
      </c>
      <c r="G274" s="2">
        <f t="shared" si="16"/>
        <v>22.944444444444443</v>
      </c>
      <c r="H274" t="str">
        <f t="shared" si="17"/>
        <v>July</v>
      </c>
      <c r="I274" t="str">
        <f t="shared" si="18"/>
        <v>Q3</v>
      </c>
      <c r="J274" t="str">
        <f t="shared" si="19"/>
        <v>Large</v>
      </c>
    </row>
    <row r="275" spans="1:10" x14ac:dyDescent="0.25">
      <c r="A275" t="s">
        <v>34</v>
      </c>
      <c r="B275" t="s">
        <v>29</v>
      </c>
      <c r="C275" t="s">
        <v>56</v>
      </c>
      <c r="D275" s="1">
        <v>44572</v>
      </c>
      <c r="E275" s="2">
        <v>13447</v>
      </c>
      <c r="F275">
        <v>95</v>
      </c>
      <c r="G275" s="2">
        <f t="shared" si="16"/>
        <v>141.54736842105262</v>
      </c>
      <c r="H275" t="str">
        <f t="shared" si="17"/>
        <v>January</v>
      </c>
      <c r="I275" t="str">
        <f t="shared" si="18"/>
        <v>Q1</v>
      </c>
      <c r="J275" t="str">
        <f t="shared" si="19"/>
        <v>Large</v>
      </c>
    </row>
    <row r="276" spans="1:10" x14ac:dyDescent="0.25">
      <c r="A276" t="s">
        <v>49</v>
      </c>
      <c r="B276" t="s">
        <v>26</v>
      </c>
      <c r="C276" t="s">
        <v>44</v>
      </c>
      <c r="D276" s="1">
        <v>44627</v>
      </c>
      <c r="E276" s="2">
        <v>9422</v>
      </c>
      <c r="F276">
        <v>22</v>
      </c>
      <c r="G276" s="2">
        <f t="shared" si="16"/>
        <v>428.27272727272725</v>
      </c>
      <c r="H276" t="str">
        <f t="shared" si="17"/>
        <v>March</v>
      </c>
      <c r="I276" t="str">
        <f t="shared" si="18"/>
        <v>Q1</v>
      </c>
      <c r="J276" t="str">
        <f t="shared" si="19"/>
        <v>Large</v>
      </c>
    </row>
    <row r="277" spans="1:10" x14ac:dyDescent="0.25">
      <c r="A277" t="s">
        <v>41</v>
      </c>
      <c r="B277" t="s">
        <v>29</v>
      </c>
      <c r="C277" t="s">
        <v>22</v>
      </c>
      <c r="D277" s="1">
        <v>44624</v>
      </c>
      <c r="E277" s="2">
        <v>8687</v>
      </c>
      <c r="F277">
        <v>100</v>
      </c>
      <c r="G277" s="2">
        <f t="shared" si="16"/>
        <v>86.87</v>
      </c>
      <c r="H277" t="str">
        <f t="shared" si="17"/>
        <v>March</v>
      </c>
      <c r="I277" t="str">
        <f t="shared" si="18"/>
        <v>Q1</v>
      </c>
      <c r="J277" t="str">
        <f t="shared" si="19"/>
        <v>Large</v>
      </c>
    </row>
    <row r="278" spans="1:10" x14ac:dyDescent="0.25">
      <c r="A278" t="s">
        <v>31</v>
      </c>
      <c r="B278" t="s">
        <v>29</v>
      </c>
      <c r="C278" t="s">
        <v>35</v>
      </c>
      <c r="D278" s="1">
        <v>44757</v>
      </c>
      <c r="E278" s="2">
        <v>2415</v>
      </c>
      <c r="F278">
        <v>312</v>
      </c>
      <c r="G278" s="2">
        <f t="shared" si="16"/>
        <v>7.740384615384615</v>
      </c>
      <c r="H278" t="str">
        <f t="shared" si="17"/>
        <v>July</v>
      </c>
      <c r="I278" t="str">
        <f t="shared" si="18"/>
        <v>Q3</v>
      </c>
      <c r="J278" t="str">
        <f t="shared" si="19"/>
        <v>Large</v>
      </c>
    </row>
    <row r="279" spans="1:10" x14ac:dyDescent="0.25">
      <c r="A279" t="s">
        <v>41</v>
      </c>
      <c r="B279" t="s">
        <v>7</v>
      </c>
      <c r="C279" t="s">
        <v>13</v>
      </c>
      <c r="D279" s="1">
        <v>44692</v>
      </c>
      <c r="E279" s="2">
        <v>6272</v>
      </c>
      <c r="F279">
        <v>86</v>
      </c>
      <c r="G279" s="2">
        <f t="shared" si="16"/>
        <v>72.930232558139537</v>
      </c>
      <c r="H279" t="str">
        <f t="shared" si="17"/>
        <v>May</v>
      </c>
      <c r="I279" t="str">
        <f t="shared" si="18"/>
        <v>Q2</v>
      </c>
      <c r="J279" t="str">
        <f t="shared" si="19"/>
        <v>Large</v>
      </c>
    </row>
    <row r="280" spans="1:10" x14ac:dyDescent="0.25">
      <c r="A280" t="s">
        <v>31</v>
      </c>
      <c r="B280" t="s">
        <v>26</v>
      </c>
      <c r="C280" t="s">
        <v>37</v>
      </c>
      <c r="D280" s="1">
        <v>44588</v>
      </c>
      <c r="E280" s="2">
        <v>4389</v>
      </c>
      <c r="F280">
        <v>7</v>
      </c>
      <c r="G280" s="2">
        <f t="shared" si="16"/>
        <v>627</v>
      </c>
      <c r="H280" t="str">
        <f t="shared" si="17"/>
        <v>January</v>
      </c>
      <c r="I280" t="str">
        <f t="shared" si="18"/>
        <v>Q1</v>
      </c>
      <c r="J280" t="str">
        <f t="shared" si="19"/>
        <v>Large</v>
      </c>
    </row>
    <row r="281" spans="1:10" x14ac:dyDescent="0.25">
      <c r="A281" t="s">
        <v>31</v>
      </c>
      <c r="B281" t="s">
        <v>10</v>
      </c>
      <c r="C281" t="s">
        <v>27</v>
      </c>
      <c r="D281" s="1">
        <v>44739</v>
      </c>
      <c r="E281" s="2">
        <v>3122</v>
      </c>
      <c r="F281">
        <v>149</v>
      </c>
      <c r="G281" s="2">
        <f t="shared" si="16"/>
        <v>20.953020134228186</v>
      </c>
      <c r="H281" t="str">
        <f t="shared" si="17"/>
        <v>June</v>
      </c>
      <c r="I281" t="str">
        <f t="shared" si="18"/>
        <v>Q2</v>
      </c>
      <c r="J281" t="str">
        <f t="shared" si="19"/>
        <v>Large</v>
      </c>
    </row>
    <row r="282" spans="1:10" x14ac:dyDescent="0.25">
      <c r="A282" t="s">
        <v>55</v>
      </c>
      <c r="B282" t="s">
        <v>10</v>
      </c>
      <c r="C282" t="s">
        <v>16</v>
      </c>
      <c r="D282" s="1">
        <v>44776</v>
      </c>
      <c r="E282" s="2">
        <v>8043</v>
      </c>
      <c r="F282">
        <v>18</v>
      </c>
      <c r="G282" s="2">
        <f t="shared" si="16"/>
        <v>446.83333333333331</v>
      </c>
      <c r="H282" t="str">
        <f t="shared" si="17"/>
        <v>August</v>
      </c>
      <c r="I282" t="str">
        <f t="shared" si="18"/>
        <v>Q3</v>
      </c>
      <c r="J282" t="str">
        <f t="shared" si="19"/>
        <v>Large</v>
      </c>
    </row>
    <row r="283" spans="1:10" x14ac:dyDescent="0.25">
      <c r="A283" t="s">
        <v>46</v>
      </c>
      <c r="B283" t="s">
        <v>21</v>
      </c>
      <c r="C283" t="s">
        <v>8</v>
      </c>
      <c r="D283" s="1">
        <v>44792</v>
      </c>
      <c r="E283" s="2">
        <v>11662</v>
      </c>
      <c r="F283">
        <v>242</v>
      </c>
      <c r="G283" s="2">
        <f t="shared" si="16"/>
        <v>48.190082644628099</v>
      </c>
      <c r="H283" t="str">
        <f t="shared" si="17"/>
        <v>August</v>
      </c>
      <c r="I283" t="str">
        <f t="shared" si="18"/>
        <v>Q3</v>
      </c>
      <c r="J283" t="str">
        <f t="shared" si="19"/>
        <v>Large</v>
      </c>
    </row>
    <row r="284" spans="1:10" x14ac:dyDescent="0.25">
      <c r="A284" t="s">
        <v>46</v>
      </c>
      <c r="B284" t="s">
        <v>15</v>
      </c>
      <c r="C284" t="s">
        <v>42</v>
      </c>
      <c r="D284" s="1">
        <v>44727</v>
      </c>
      <c r="E284" s="2">
        <v>392</v>
      </c>
      <c r="F284">
        <v>102</v>
      </c>
      <c r="G284" s="2">
        <f t="shared" si="16"/>
        <v>3.8431372549019609</v>
      </c>
      <c r="H284" t="str">
        <f t="shared" si="17"/>
        <v>June</v>
      </c>
      <c r="I284" t="str">
        <f t="shared" si="18"/>
        <v>Q2</v>
      </c>
      <c r="J284" t="str">
        <f t="shared" si="19"/>
        <v>Small</v>
      </c>
    </row>
    <row r="285" spans="1:10" x14ac:dyDescent="0.25">
      <c r="A285" t="s">
        <v>43</v>
      </c>
      <c r="B285" t="s">
        <v>7</v>
      </c>
      <c r="C285" t="s">
        <v>13</v>
      </c>
      <c r="D285" s="1">
        <v>44599</v>
      </c>
      <c r="E285" s="2">
        <v>8925</v>
      </c>
      <c r="F285">
        <v>158</v>
      </c>
      <c r="G285" s="2">
        <f t="shared" si="16"/>
        <v>56.4873417721519</v>
      </c>
      <c r="H285" t="str">
        <f t="shared" si="17"/>
        <v>February</v>
      </c>
      <c r="I285" t="str">
        <f t="shared" si="18"/>
        <v>Q1</v>
      </c>
      <c r="J285" t="str">
        <f t="shared" si="19"/>
        <v>Large</v>
      </c>
    </row>
    <row r="286" spans="1:10" x14ac:dyDescent="0.25">
      <c r="A286" t="s">
        <v>31</v>
      </c>
      <c r="B286" t="s">
        <v>15</v>
      </c>
      <c r="C286" t="s">
        <v>47</v>
      </c>
      <c r="D286" s="1">
        <v>44750</v>
      </c>
      <c r="E286" s="2">
        <v>7294</v>
      </c>
      <c r="F286">
        <v>128</v>
      </c>
      <c r="G286" s="2">
        <f t="shared" si="16"/>
        <v>56.984375</v>
      </c>
      <c r="H286" t="str">
        <f t="shared" si="17"/>
        <v>July</v>
      </c>
      <c r="I286" t="str">
        <f t="shared" si="18"/>
        <v>Q3</v>
      </c>
      <c r="J286" t="str">
        <f t="shared" si="19"/>
        <v>Large</v>
      </c>
    </row>
    <row r="287" spans="1:10" x14ac:dyDescent="0.25">
      <c r="A287" t="s">
        <v>43</v>
      </c>
      <c r="B287" t="s">
        <v>10</v>
      </c>
      <c r="C287" t="s">
        <v>37</v>
      </c>
      <c r="D287" s="1">
        <v>44672</v>
      </c>
      <c r="E287" s="2">
        <v>1526</v>
      </c>
      <c r="F287">
        <v>96</v>
      </c>
      <c r="G287" s="2">
        <f t="shared" si="16"/>
        <v>15.895833333333334</v>
      </c>
      <c r="H287" t="str">
        <f t="shared" si="17"/>
        <v>April</v>
      </c>
      <c r="I287" t="str">
        <f t="shared" si="18"/>
        <v>Q2</v>
      </c>
      <c r="J287" t="str">
        <f t="shared" si="19"/>
        <v>Large</v>
      </c>
    </row>
    <row r="288" spans="1:10" x14ac:dyDescent="0.25">
      <c r="A288" t="s">
        <v>55</v>
      </c>
      <c r="B288" t="s">
        <v>7</v>
      </c>
      <c r="C288" t="s">
        <v>8</v>
      </c>
      <c r="D288" s="1">
        <v>44659</v>
      </c>
      <c r="E288" s="2">
        <v>2688</v>
      </c>
      <c r="F288">
        <v>209</v>
      </c>
      <c r="G288" s="2">
        <f t="shared" si="16"/>
        <v>12.861244019138756</v>
      </c>
      <c r="H288" t="str">
        <f t="shared" si="17"/>
        <v>April</v>
      </c>
      <c r="I288" t="str">
        <f t="shared" si="18"/>
        <v>Q2</v>
      </c>
      <c r="J288" t="str">
        <f t="shared" si="19"/>
        <v>Large</v>
      </c>
    </row>
    <row r="289" spans="1:10" x14ac:dyDescent="0.25">
      <c r="A289" t="s">
        <v>40</v>
      </c>
      <c r="B289" t="s">
        <v>15</v>
      </c>
      <c r="C289" t="s">
        <v>22</v>
      </c>
      <c r="D289" s="1">
        <v>44792</v>
      </c>
      <c r="E289" s="2">
        <v>14889</v>
      </c>
      <c r="F289">
        <v>52</v>
      </c>
      <c r="G289" s="2">
        <f t="shared" si="16"/>
        <v>286.32692307692309</v>
      </c>
      <c r="H289" t="str">
        <f t="shared" si="17"/>
        <v>August</v>
      </c>
      <c r="I289" t="str">
        <f t="shared" si="18"/>
        <v>Q3</v>
      </c>
      <c r="J289" t="str">
        <f t="shared" si="19"/>
        <v>Large</v>
      </c>
    </row>
    <row r="290" spans="1:10" x14ac:dyDescent="0.25">
      <c r="A290" t="s">
        <v>14</v>
      </c>
      <c r="B290" t="s">
        <v>10</v>
      </c>
      <c r="C290" t="s">
        <v>42</v>
      </c>
      <c r="D290" s="1">
        <v>44685</v>
      </c>
      <c r="E290" s="2">
        <v>2912</v>
      </c>
      <c r="F290">
        <v>55</v>
      </c>
      <c r="G290" s="2">
        <f t="shared" si="16"/>
        <v>52.945454545454545</v>
      </c>
      <c r="H290" t="str">
        <f t="shared" si="17"/>
        <v>May</v>
      </c>
      <c r="I290" t="str">
        <f t="shared" si="18"/>
        <v>Q2</v>
      </c>
      <c r="J290" t="str">
        <f t="shared" si="19"/>
        <v>Large</v>
      </c>
    </row>
    <row r="291" spans="1:10" x14ac:dyDescent="0.25">
      <c r="A291" t="s">
        <v>28</v>
      </c>
      <c r="B291" t="s">
        <v>26</v>
      </c>
      <c r="C291" t="s">
        <v>11</v>
      </c>
      <c r="D291" s="1">
        <v>44692</v>
      </c>
      <c r="E291" s="2">
        <v>2632</v>
      </c>
      <c r="F291">
        <v>108</v>
      </c>
      <c r="G291" s="2">
        <f t="shared" si="16"/>
        <v>24.37037037037037</v>
      </c>
      <c r="H291" t="str">
        <f t="shared" si="17"/>
        <v>May</v>
      </c>
      <c r="I291" t="str">
        <f t="shared" si="18"/>
        <v>Q2</v>
      </c>
      <c r="J291" t="str">
        <f t="shared" si="19"/>
        <v>Large</v>
      </c>
    </row>
    <row r="292" spans="1:10" x14ac:dyDescent="0.25">
      <c r="A292" t="s">
        <v>28</v>
      </c>
      <c r="B292" t="s">
        <v>26</v>
      </c>
      <c r="C292" t="s">
        <v>30</v>
      </c>
      <c r="D292" s="1">
        <v>44642</v>
      </c>
      <c r="E292" s="2">
        <v>6328</v>
      </c>
      <c r="F292">
        <v>51</v>
      </c>
      <c r="G292" s="2">
        <f t="shared" si="16"/>
        <v>124.07843137254902</v>
      </c>
      <c r="H292" t="str">
        <f t="shared" si="17"/>
        <v>March</v>
      </c>
      <c r="I292" t="str">
        <f t="shared" si="18"/>
        <v>Q1</v>
      </c>
      <c r="J292" t="str">
        <f t="shared" si="19"/>
        <v>Large</v>
      </c>
    </row>
    <row r="293" spans="1:10" x14ac:dyDescent="0.25">
      <c r="A293" t="s">
        <v>43</v>
      </c>
      <c r="B293" t="s">
        <v>29</v>
      </c>
      <c r="C293" t="s">
        <v>39</v>
      </c>
      <c r="D293" s="1">
        <v>44783</v>
      </c>
      <c r="E293" s="2">
        <v>2527</v>
      </c>
      <c r="F293">
        <v>216</v>
      </c>
      <c r="G293" s="2">
        <f t="shared" si="16"/>
        <v>11.699074074074074</v>
      </c>
      <c r="H293" t="str">
        <f t="shared" si="17"/>
        <v>August</v>
      </c>
      <c r="I293" t="str">
        <f t="shared" si="18"/>
        <v>Q3</v>
      </c>
      <c r="J293" t="str">
        <f t="shared" si="19"/>
        <v>Large</v>
      </c>
    </row>
    <row r="294" spans="1:10" x14ac:dyDescent="0.25">
      <c r="A294" t="s">
        <v>43</v>
      </c>
      <c r="B294" t="s">
        <v>26</v>
      </c>
      <c r="C294" t="s">
        <v>42</v>
      </c>
      <c r="D294" s="1">
        <v>44685</v>
      </c>
      <c r="E294" s="2">
        <v>1414</v>
      </c>
      <c r="F294">
        <v>318</v>
      </c>
      <c r="G294" s="2">
        <f t="shared" si="16"/>
        <v>4.4465408805031448</v>
      </c>
      <c r="H294" t="str">
        <f t="shared" si="17"/>
        <v>May</v>
      </c>
      <c r="I294" t="str">
        <f t="shared" si="18"/>
        <v>Q2</v>
      </c>
      <c r="J294" t="str">
        <f t="shared" si="19"/>
        <v>Large</v>
      </c>
    </row>
    <row r="295" spans="1:10" x14ac:dyDescent="0.25">
      <c r="A295" t="s">
        <v>49</v>
      </c>
      <c r="B295" t="s">
        <v>26</v>
      </c>
      <c r="C295" t="s">
        <v>18</v>
      </c>
      <c r="D295" s="1">
        <v>44791</v>
      </c>
      <c r="E295" s="2">
        <v>7714</v>
      </c>
      <c r="F295">
        <v>238</v>
      </c>
      <c r="G295" s="2">
        <f t="shared" si="16"/>
        <v>32.411764705882355</v>
      </c>
      <c r="H295" t="str">
        <f t="shared" si="17"/>
        <v>August</v>
      </c>
      <c r="I295" t="str">
        <f t="shared" si="18"/>
        <v>Q3</v>
      </c>
      <c r="J295" t="str">
        <f t="shared" si="19"/>
        <v>Large</v>
      </c>
    </row>
    <row r="296" spans="1:10" x14ac:dyDescent="0.25">
      <c r="A296" t="s">
        <v>54</v>
      </c>
      <c r="B296" t="s">
        <v>29</v>
      </c>
      <c r="C296" t="s">
        <v>51</v>
      </c>
      <c r="D296" s="1">
        <v>44776</v>
      </c>
      <c r="E296" s="2">
        <v>4347</v>
      </c>
      <c r="F296">
        <v>238</v>
      </c>
      <c r="G296" s="2">
        <f t="shared" si="16"/>
        <v>18.264705882352942</v>
      </c>
      <c r="H296" t="str">
        <f t="shared" si="17"/>
        <v>August</v>
      </c>
      <c r="I296" t="str">
        <f t="shared" si="18"/>
        <v>Q3</v>
      </c>
      <c r="J296" t="str">
        <f t="shared" si="19"/>
        <v>Large</v>
      </c>
    </row>
    <row r="297" spans="1:10" x14ac:dyDescent="0.25">
      <c r="A297" t="s">
        <v>33</v>
      </c>
      <c r="B297" t="s">
        <v>21</v>
      </c>
      <c r="C297" t="s">
        <v>37</v>
      </c>
      <c r="D297" s="1">
        <v>44575</v>
      </c>
      <c r="E297" s="2">
        <v>7490</v>
      </c>
      <c r="F297">
        <v>315</v>
      </c>
      <c r="G297" s="2">
        <f t="shared" si="16"/>
        <v>23.777777777777779</v>
      </c>
      <c r="H297" t="str">
        <f t="shared" si="17"/>
        <v>January</v>
      </c>
      <c r="I297" t="str">
        <f t="shared" si="18"/>
        <v>Q1</v>
      </c>
      <c r="J297" t="str">
        <f t="shared" si="19"/>
        <v>Large</v>
      </c>
    </row>
    <row r="298" spans="1:10" x14ac:dyDescent="0.25">
      <c r="A298" t="s">
        <v>53</v>
      </c>
      <c r="B298" t="s">
        <v>15</v>
      </c>
      <c r="C298" t="s">
        <v>52</v>
      </c>
      <c r="D298" s="1">
        <v>44659</v>
      </c>
      <c r="E298" s="2">
        <v>2058</v>
      </c>
      <c r="F298">
        <v>72</v>
      </c>
      <c r="G298" s="2">
        <f t="shared" si="16"/>
        <v>28.583333333333332</v>
      </c>
      <c r="H298" t="str">
        <f t="shared" si="17"/>
        <v>April</v>
      </c>
      <c r="I298" t="str">
        <f t="shared" si="18"/>
        <v>Q2</v>
      </c>
      <c r="J298" t="str">
        <f t="shared" si="19"/>
        <v>Large</v>
      </c>
    </row>
    <row r="299" spans="1:10" x14ac:dyDescent="0.25">
      <c r="A299" t="s">
        <v>49</v>
      </c>
      <c r="B299" t="s">
        <v>7</v>
      </c>
      <c r="C299" t="s">
        <v>27</v>
      </c>
      <c r="D299" s="1">
        <v>44774</v>
      </c>
      <c r="E299" s="2">
        <v>3640</v>
      </c>
      <c r="F299">
        <v>3</v>
      </c>
      <c r="G299" s="2">
        <f t="shared" si="16"/>
        <v>1213.3333333333333</v>
      </c>
      <c r="H299" t="str">
        <f t="shared" si="17"/>
        <v>August</v>
      </c>
      <c r="I299" t="str">
        <f t="shared" si="18"/>
        <v>Q3</v>
      </c>
      <c r="J299" t="str">
        <f t="shared" si="19"/>
        <v>Large</v>
      </c>
    </row>
    <row r="300" spans="1:10" x14ac:dyDescent="0.25">
      <c r="A300" t="s">
        <v>43</v>
      </c>
      <c r="B300" t="s">
        <v>29</v>
      </c>
      <c r="C300" t="s">
        <v>30</v>
      </c>
      <c r="D300" s="1">
        <v>44635</v>
      </c>
      <c r="E300" s="2">
        <v>455</v>
      </c>
      <c r="F300">
        <v>45</v>
      </c>
      <c r="G300" s="2">
        <f t="shared" si="16"/>
        <v>10.111111111111111</v>
      </c>
      <c r="H300" t="str">
        <f t="shared" si="17"/>
        <v>March</v>
      </c>
      <c r="I300" t="str">
        <f t="shared" si="18"/>
        <v>Q1</v>
      </c>
      <c r="J300" t="str">
        <f t="shared" si="19"/>
        <v>Small</v>
      </c>
    </row>
    <row r="301" spans="1:10" x14ac:dyDescent="0.25">
      <c r="A301" t="s">
        <v>31</v>
      </c>
      <c r="B301" t="s">
        <v>10</v>
      </c>
      <c r="C301" t="s">
        <v>8</v>
      </c>
      <c r="D301" s="1">
        <v>44757</v>
      </c>
      <c r="E301" s="2">
        <v>10990</v>
      </c>
      <c r="F301">
        <v>184</v>
      </c>
      <c r="G301" s="2">
        <f t="shared" si="16"/>
        <v>59.728260869565219</v>
      </c>
      <c r="H301" t="str">
        <f t="shared" si="17"/>
        <v>July</v>
      </c>
      <c r="I301" t="str">
        <f t="shared" si="18"/>
        <v>Q3</v>
      </c>
      <c r="J301" t="str">
        <f t="shared" si="19"/>
        <v>Large</v>
      </c>
    </row>
    <row r="302" spans="1:10" x14ac:dyDescent="0.25">
      <c r="A302" t="s">
        <v>25</v>
      </c>
      <c r="B302" t="s">
        <v>21</v>
      </c>
      <c r="C302" t="s">
        <v>47</v>
      </c>
      <c r="D302" s="1">
        <v>44574</v>
      </c>
      <c r="E302" s="2">
        <v>5558</v>
      </c>
      <c r="F302">
        <v>127</v>
      </c>
      <c r="G302" s="2">
        <f t="shared" si="16"/>
        <v>43.763779527559052</v>
      </c>
      <c r="H302" t="str">
        <f t="shared" si="17"/>
        <v>January</v>
      </c>
      <c r="I302" t="str">
        <f t="shared" si="18"/>
        <v>Q1</v>
      </c>
      <c r="J302" t="str">
        <f t="shared" si="19"/>
        <v>Large</v>
      </c>
    </row>
    <row r="303" spans="1:10" x14ac:dyDescent="0.25">
      <c r="A303" t="s">
        <v>28</v>
      </c>
      <c r="B303" t="s">
        <v>15</v>
      </c>
      <c r="C303" t="s">
        <v>11</v>
      </c>
      <c r="D303" s="1">
        <v>44799</v>
      </c>
      <c r="E303" s="2">
        <v>2541</v>
      </c>
      <c r="F303">
        <v>53</v>
      </c>
      <c r="G303" s="2">
        <f t="shared" si="16"/>
        <v>47.943396226415096</v>
      </c>
      <c r="H303" t="str">
        <f t="shared" si="17"/>
        <v>August</v>
      </c>
      <c r="I303" t="str">
        <f t="shared" si="18"/>
        <v>Q3</v>
      </c>
      <c r="J303" t="str">
        <f t="shared" si="19"/>
        <v>Large</v>
      </c>
    </row>
    <row r="304" spans="1:10" x14ac:dyDescent="0.25">
      <c r="A304" t="s">
        <v>55</v>
      </c>
      <c r="B304" t="s">
        <v>29</v>
      </c>
      <c r="C304" t="s">
        <v>30</v>
      </c>
      <c r="D304" s="1">
        <v>44571</v>
      </c>
      <c r="E304" s="2">
        <v>1876</v>
      </c>
      <c r="F304">
        <v>172</v>
      </c>
      <c r="G304" s="2">
        <f t="shared" si="16"/>
        <v>10.906976744186046</v>
      </c>
      <c r="H304" t="str">
        <f t="shared" si="17"/>
        <v>January</v>
      </c>
      <c r="I304" t="str">
        <f t="shared" si="18"/>
        <v>Q1</v>
      </c>
      <c r="J304" t="str">
        <f t="shared" si="19"/>
        <v>Large</v>
      </c>
    </row>
    <row r="305" spans="1:10" x14ac:dyDescent="0.25">
      <c r="A305" t="s">
        <v>12</v>
      </c>
      <c r="B305" t="s">
        <v>15</v>
      </c>
      <c r="C305" t="s">
        <v>44</v>
      </c>
      <c r="D305" s="1">
        <v>44692</v>
      </c>
      <c r="E305" s="2">
        <v>5523</v>
      </c>
      <c r="F305">
        <v>87</v>
      </c>
      <c r="G305" s="2">
        <f t="shared" si="16"/>
        <v>63.482758620689658</v>
      </c>
      <c r="H305" t="str">
        <f t="shared" si="17"/>
        <v>May</v>
      </c>
      <c r="I305" t="str">
        <f t="shared" si="18"/>
        <v>Q2</v>
      </c>
      <c r="J305" t="str">
        <f t="shared" si="19"/>
        <v>Large</v>
      </c>
    </row>
    <row r="306" spans="1:10" x14ac:dyDescent="0.25">
      <c r="A306" t="s">
        <v>34</v>
      </c>
      <c r="B306" t="s">
        <v>21</v>
      </c>
      <c r="C306" t="s">
        <v>11</v>
      </c>
      <c r="D306" s="1">
        <v>44803</v>
      </c>
      <c r="E306" s="2">
        <v>11200</v>
      </c>
      <c r="F306">
        <v>22</v>
      </c>
      <c r="G306" s="2">
        <f t="shared" si="16"/>
        <v>509.09090909090907</v>
      </c>
      <c r="H306" t="str">
        <f t="shared" si="17"/>
        <v>August</v>
      </c>
      <c r="I306" t="str">
        <f t="shared" si="18"/>
        <v>Q3</v>
      </c>
      <c r="J306" t="str">
        <f t="shared" si="19"/>
        <v>Large</v>
      </c>
    </row>
    <row r="307" spans="1:10" x14ac:dyDescent="0.25">
      <c r="A307" t="s">
        <v>41</v>
      </c>
      <c r="B307" t="s">
        <v>26</v>
      </c>
      <c r="C307" t="s">
        <v>57</v>
      </c>
      <c r="D307" s="1">
        <v>44763</v>
      </c>
      <c r="E307" s="2">
        <v>5593</v>
      </c>
      <c r="F307">
        <v>122</v>
      </c>
      <c r="G307" s="2">
        <f t="shared" si="16"/>
        <v>45.844262295081968</v>
      </c>
      <c r="H307" t="str">
        <f t="shared" si="17"/>
        <v>July</v>
      </c>
      <c r="I307" t="str">
        <f t="shared" si="18"/>
        <v>Q3</v>
      </c>
      <c r="J307" t="str">
        <f t="shared" si="19"/>
        <v>Large</v>
      </c>
    </row>
    <row r="308" spans="1:10" x14ac:dyDescent="0.25">
      <c r="A308" t="s">
        <v>28</v>
      </c>
      <c r="B308" t="s">
        <v>15</v>
      </c>
      <c r="C308" t="s">
        <v>47</v>
      </c>
      <c r="D308" s="1">
        <v>44774</v>
      </c>
      <c r="E308" s="2">
        <v>7882</v>
      </c>
      <c r="F308">
        <v>125</v>
      </c>
      <c r="G308" s="2">
        <f t="shared" si="16"/>
        <v>63.055999999999997</v>
      </c>
      <c r="H308" t="str">
        <f t="shared" si="17"/>
        <v>August</v>
      </c>
      <c r="I308" t="str">
        <f t="shared" si="18"/>
        <v>Q3</v>
      </c>
      <c r="J308" t="str">
        <f t="shared" si="19"/>
        <v>Large</v>
      </c>
    </row>
    <row r="309" spans="1:10" x14ac:dyDescent="0.25">
      <c r="A309" t="s">
        <v>23</v>
      </c>
      <c r="B309" t="s">
        <v>29</v>
      </c>
      <c r="C309" t="s">
        <v>11</v>
      </c>
      <c r="D309" s="1">
        <v>44609</v>
      </c>
      <c r="E309" s="2">
        <v>10241</v>
      </c>
      <c r="F309">
        <v>259</v>
      </c>
      <c r="G309" s="2">
        <f t="shared" si="16"/>
        <v>39.54054054054054</v>
      </c>
      <c r="H309" t="str">
        <f t="shared" si="17"/>
        <v>February</v>
      </c>
      <c r="I309" t="str">
        <f t="shared" si="18"/>
        <v>Q1</v>
      </c>
      <c r="J309" t="str">
        <f t="shared" si="19"/>
        <v>Large</v>
      </c>
    </row>
    <row r="310" spans="1:10" x14ac:dyDescent="0.25">
      <c r="A310" t="s">
        <v>23</v>
      </c>
      <c r="B310" t="s">
        <v>15</v>
      </c>
      <c r="C310" t="s">
        <v>32</v>
      </c>
      <c r="D310" s="1">
        <v>44769</v>
      </c>
      <c r="E310" s="2">
        <v>6832</v>
      </c>
      <c r="F310">
        <v>156</v>
      </c>
      <c r="G310" s="2">
        <f t="shared" si="16"/>
        <v>43.794871794871796</v>
      </c>
      <c r="H310" t="str">
        <f t="shared" si="17"/>
        <v>July</v>
      </c>
      <c r="I310" t="str">
        <f t="shared" si="18"/>
        <v>Q3</v>
      </c>
      <c r="J310" t="str">
        <f t="shared" si="19"/>
        <v>Large</v>
      </c>
    </row>
    <row r="311" spans="1:10" x14ac:dyDescent="0.25">
      <c r="A311" t="s">
        <v>54</v>
      </c>
      <c r="B311" t="s">
        <v>26</v>
      </c>
      <c r="C311" t="s">
        <v>27</v>
      </c>
      <c r="D311" s="1">
        <v>44615</v>
      </c>
      <c r="E311" s="2">
        <v>1379</v>
      </c>
      <c r="F311">
        <v>107</v>
      </c>
      <c r="G311" s="2">
        <f t="shared" si="16"/>
        <v>12.88785046728972</v>
      </c>
      <c r="H311" t="str">
        <f t="shared" si="17"/>
        <v>February</v>
      </c>
      <c r="I311" t="str">
        <f t="shared" si="18"/>
        <v>Q1</v>
      </c>
      <c r="J311" t="str">
        <f t="shared" si="19"/>
        <v>Large</v>
      </c>
    </row>
    <row r="312" spans="1:10" x14ac:dyDescent="0.25">
      <c r="A312" t="s">
        <v>24</v>
      </c>
      <c r="B312" t="s">
        <v>15</v>
      </c>
      <c r="C312" t="s">
        <v>22</v>
      </c>
      <c r="D312" s="1">
        <v>44642</v>
      </c>
      <c r="E312" s="2">
        <v>3010</v>
      </c>
      <c r="F312">
        <v>40</v>
      </c>
      <c r="G312" s="2">
        <f t="shared" si="16"/>
        <v>75.25</v>
      </c>
      <c r="H312" t="str">
        <f t="shared" si="17"/>
        <v>March</v>
      </c>
      <c r="I312" t="str">
        <f t="shared" si="18"/>
        <v>Q1</v>
      </c>
      <c r="J312" t="str">
        <f t="shared" si="19"/>
        <v>Large</v>
      </c>
    </row>
    <row r="313" spans="1:10" x14ac:dyDescent="0.25">
      <c r="A313" t="s">
        <v>43</v>
      </c>
      <c r="B313" t="s">
        <v>10</v>
      </c>
      <c r="C313" t="s">
        <v>18</v>
      </c>
      <c r="D313" s="1">
        <v>44735</v>
      </c>
      <c r="E313" s="2">
        <v>6888</v>
      </c>
      <c r="F313">
        <v>311</v>
      </c>
      <c r="G313" s="2">
        <f t="shared" si="16"/>
        <v>22.14790996784566</v>
      </c>
      <c r="H313" t="str">
        <f t="shared" si="17"/>
        <v>June</v>
      </c>
      <c r="I313" t="str">
        <f t="shared" si="18"/>
        <v>Q2</v>
      </c>
      <c r="J313" t="str">
        <f t="shared" si="19"/>
        <v>Large</v>
      </c>
    </row>
    <row r="314" spans="1:10" x14ac:dyDescent="0.25">
      <c r="A314" t="s">
        <v>38</v>
      </c>
      <c r="B314" t="s">
        <v>7</v>
      </c>
      <c r="C314" t="s">
        <v>44</v>
      </c>
      <c r="D314" s="1">
        <v>44593</v>
      </c>
      <c r="E314" s="2">
        <v>1540</v>
      </c>
      <c r="F314">
        <v>73</v>
      </c>
      <c r="G314" s="2">
        <f t="shared" si="16"/>
        <v>21.095890410958905</v>
      </c>
      <c r="H314" t="str">
        <f t="shared" si="17"/>
        <v>February</v>
      </c>
      <c r="I314" t="str">
        <f t="shared" si="18"/>
        <v>Q1</v>
      </c>
      <c r="J314" t="str">
        <f t="shared" si="19"/>
        <v>Large</v>
      </c>
    </row>
    <row r="315" spans="1:10" x14ac:dyDescent="0.25">
      <c r="A315" t="s">
        <v>49</v>
      </c>
      <c r="B315" t="s">
        <v>15</v>
      </c>
      <c r="C315" t="s">
        <v>20</v>
      </c>
      <c r="D315" s="1">
        <v>44622</v>
      </c>
      <c r="E315" s="2">
        <v>6916</v>
      </c>
      <c r="F315">
        <v>288</v>
      </c>
      <c r="G315" s="2">
        <f t="shared" si="16"/>
        <v>24.013888888888889</v>
      </c>
      <c r="H315" t="str">
        <f t="shared" si="17"/>
        <v>March</v>
      </c>
      <c r="I315" t="str">
        <f t="shared" si="18"/>
        <v>Q1</v>
      </c>
      <c r="J315" t="str">
        <f t="shared" si="19"/>
        <v>Large</v>
      </c>
    </row>
    <row r="316" spans="1:10" x14ac:dyDescent="0.25">
      <c r="A316" t="s">
        <v>12</v>
      </c>
      <c r="B316" t="s">
        <v>7</v>
      </c>
      <c r="C316" t="s">
        <v>42</v>
      </c>
      <c r="D316" s="1">
        <v>44657</v>
      </c>
      <c r="E316" s="2">
        <v>1232</v>
      </c>
      <c r="F316">
        <v>86</v>
      </c>
      <c r="G316" s="2">
        <f t="shared" si="16"/>
        <v>14.325581395348838</v>
      </c>
      <c r="H316" t="str">
        <f t="shared" si="17"/>
        <v>April</v>
      </c>
      <c r="I316" t="str">
        <f t="shared" si="18"/>
        <v>Q2</v>
      </c>
      <c r="J316" t="str">
        <f t="shared" si="19"/>
        <v>Large</v>
      </c>
    </row>
    <row r="317" spans="1:10" x14ac:dyDescent="0.25">
      <c r="A317" t="s">
        <v>19</v>
      </c>
      <c r="B317" t="s">
        <v>15</v>
      </c>
      <c r="C317" t="s">
        <v>51</v>
      </c>
      <c r="D317" s="1">
        <v>44637</v>
      </c>
      <c r="E317" s="2">
        <v>602</v>
      </c>
      <c r="F317">
        <v>72</v>
      </c>
      <c r="G317" s="2">
        <f t="shared" si="16"/>
        <v>8.3611111111111107</v>
      </c>
      <c r="H317" t="str">
        <f t="shared" si="17"/>
        <v>March</v>
      </c>
      <c r="I317" t="str">
        <f t="shared" si="18"/>
        <v>Q1</v>
      </c>
      <c r="J317" t="str">
        <f t="shared" si="19"/>
        <v>Large</v>
      </c>
    </row>
    <row r="318" spans="1:10" x14ac:dyDescent="0.25">
      <c r="A318" t="s">
        <v>38</v>
      </c>
      <c r="B318" t="s">
        <v>7</v>
      </c>
      <c r="C318" t="s">
        <v>42</v>
      </c>
      <c r="D318" s="1">
        <v>44736</v>
      </c>
      <c r="E318" s="2">
        <v>10927</v>
      </c>
      <c r="F318">
        <v>136</v>
      </c>
      <c r="G318" s="2">
        <f t="shared" si="16"/>
        <v>80.345588235294116</v>
      </c>
      <c r="H318" t="str">
        <f t="shared" si="17"/>
        <v>June</v>
      </c>
      <c r="I318" t="str">
        <f t="shared" si="18"/>
        <v>Q2</v>
      </c>
      <c r="J318" t="str">
        <f t="shared" si="19"/>
        <v>Large</v>
      </c>
    </row>
    <row r="319" spans="1:10" x14ac:dyDescent="0.25">
      <c r="A319" t="s">
        <v>25</v>
      </c>
      <c r="B319" t="s">
        <v>29</v>
      </c>
      <c r="C319" t="s">
        <v>22</v>
      </c>
      <c r="D319" s="1">
        <v>44761</v>
      </c>
      <c r="E319" s="2">
        <v>10185</v>
      </c>
      <c r="F319">
        <v>303</v>
      </c>
      <c r="G319" s="2">
        <f t="shared" si="16"/>
        <v>33.613861386138616</v>
      </c>
      <c r="H319" t="str">
        <f t="shared" si="17"/>
        <v>July</v>
      </c>
      <c r="I319" t="str">
        <f t="shared" si="18"/>
        <v>Q3</v>
      </c>
      <c r="J319" t="str">
        <f t="shared" si="19"/>
        <v>Large</v>
      </c>
    </row>
    <row r="320" spans="1:10" x14ac:dyDescent="0.25">
      <c r="A320" t="s">
        <v>38</v>
      </c>
      <c r="B320" t="s">
        <v>26</v>
      </c>
      <c r="C320" t="s">
        <v>39</v>
      </c>
      <c r="D320" s="1">
        <v>44753</v>
      </c>
      <c r="E320" s="2">
        <v>1603</v>
      </c>
      <c r="F320">
        <v>264</v>
      </c>
      <c r="G320" s="2">
        <f t="shared" si="16"/>
        <v>6.0719696969696972</v>
      </c>
      <c r="H320" t="str">
        <f t="shared" si="17"/>
        <v>July</v>
      </c>
      <c r="I320" t="str">
        <f t="shared" si="18"/>
        <v>Q3</v>
      </c>
      <c r="J320" t="str">
        <f t="shared" si="19"/>
        <v>Large</v>
      </c>
    </row>
    <row r="321" spans="1:10" x14ac:dyDescent="0.25">
      <c r="A321" t="s">
        <v>23</v>
      </c>
      <c r="B321" t="s">
        <v>10</v>
      </c>
      <c r="C321" t="s">
        <v>47</v>
      </c>
      <c r="D321" s="1">
        <v>44574</v>
      </c>
      <c r="E321" s="2">
        <v>2170</v>
      </c>
      <c r="F321">
        <v>218</v>
      </c>
      <c r="G321" s="2">
        <f t="shared" si="16"/>
        <v>9.9541284403669721</v>
      </c>
      <c r="H321" t="str">
        <f t="shared" si="17"/>
        <v>January</v>
      </c>
      <c r="I321" t="str">
        <f t="shared" si="18"/>
        <v>Q1</v>
      </c>
      <c r="J321" t="str">
        <f t="shared" si="19"/>
        <v>Large</v>
      </c>
    </row>
    <row r="322" spans="1:10" x14ac:dyDescent="0.25">
      <c r="A322" t="s">
        <v>17</v>
      </c>
      <c r="B322" t="s">
        <v>21</v>
      </c>
      <c r="C322" t="s">
        <v>16</v>
      </c>
      <c r="D322" s="1">
        <v>44749</v>
      </c>
      <c r="E322" s="2">
        <v>8673</v>
      </c>
      <c r="F322">
        <v>60</v>
      </c>
      <c r="G322" s="2">
        <f t="shared" si="16"/>
        <v>144.55000000000001</v>
      </c>
      <c r="H322" t="str">
        <f t="shared" si="17"/>
        <v>July</v>
      </c>
      <c r="I322" t="str">
        <f t="shared" si="18"/>
        <v>Q3</v>
      </c>
      <c r="J322" t="str">
        <f t="shared" si="19"/>
        <v>Large</v>
      </c>
    </row>
    <row r="323" spans="1:10" x14ac:dyDescent="0.25">
      <c r="A323" t="s">
        <v>14</v>
      </c>
      <c r="B323" t="s">
        <v>10</v>
      </c>
      <c r="C323" t="s">
        <v>11</v>
      </c>
      <c r="D323" s="1">
        <v>44706</v>
      </c>
      <c r="E323" s="2">
        <v>4760</v>
      </c>
      <c r="F323">
        <v>418</v>
      </c>
      <c r="G323" s="2">
        <f t="shared" ref="G323:G386" si="20">E323/F323</f>
        <v>11.387559808612441</v>
      </c>
      <c r="H323" t="str">
        <f t="shared" ref="H323:H386" si="21">TEXT(D323, "mmmm")</f>
        <v>May</v>
      </c>
      <c r="I323" t="str">
        <f t="shared" ref="I323:I386" si="22">"Q" &amp; ROUNDUP(MONTH(D323)/3,0)</f>
        <v>Q2</v>
      </c>
      <c r="J323" t="str">
        <f t="shared" ref="J323:J386" si="23">IF(E323 &gt; 500, "Large", "Small")</f>
        <v>Large</v>
      </c>
    </row>
    <row r="324" spans="1:10" x14ac:dyDescent="0.25">
      <c r="A324" t="s">
        <v>33</v>
      </c>
      <c r="B324" t="s">
        <v>10</v>
      </c>
      <c r="C324" t="s">
        <v>42</v>
      </c>
      <c r="D324" s="1">
        <v>44664</v>
      </c>
      <c r="E324" s="2">
        <v>4753</v>
      </c>
      <c r="F324">
        <v>151</v>
      </c>
      <c r="G324" s="2">
        <f t="shared" si="20"/>
        <v>31.476821192052981</v>
      </c>
      <c r="H324" t="str">
        <f t="shared" si="21"/>
        <v>April</v>
      </c>
      <c r="I324" t="str">
        <f t="shared" si="22"/>
        <v>Q2</v>
      </c>
      <c r="J324" t="str">
        <f t="shared" si="23"/>
        <v>Large</v>
      </c>
    </row>
    <row r="325" spans="1:10" x14ac:dyDescent="0.25">
      <c r="A325" t="s">
        <v>48</v>
      </c>
      <c r="B325" t="s">
        <v>21</v>
      </c>
      <c r="C325" t="s">
        <v>22</v>
      </c>
      <c r="D325" s="1">
        <v>44622</v>
      </c>
      <c r="E325" s="2">
        <v>3374</v>
      </c>
      <c r="F325">
        <v>202</v>
      </c>
      <c r="G325" s="2">
        <f t="shared" si="20"/>
        <v>16.702970297029704</v>
      </c>
      <c r="H325" t="str">
        <f t="shared" si="21"/>
        <v>March</v>
      </c>
      <c r="I325" t="str">
        <f t="shared" si="22"/>
        <v>Q1</v>
      </c>
      <c r="J325" t="str">
        <f t="shared" si="23"/>
        <v>Large</v>
      </c>
    </row>
    <row r="326" spans="1:10" x14ac:dyDescent="0.25">
      <c r="A326" t="s">
        <v>19</v>
      </c>
      <c r="B326" t="s">
        <v>29</v>
      </c>
      <c r="C326" t="s">
        <v>51</v>
      </c>
      <c r="D326" s="1">
        <v>44735</v>
      </c>
      <c r="E326" s="2">
        <v>2058</v>
      </c>
      <c r="F326">
        <v>126</v>
      </c>
      <c r="G326" s="2">
        <f t="shared" si="20"/>
        <v>16.333333333333332</v>
      </c>
      <c r="H326" t="str">
        <f t="shared" si="21"/>
        <v>June</v>
      </c>
      <c r="I326" t="str">
        <f t="shared" si="22"/>
        <v>Q2</v>
      </c>
      <c r="J326" t="str">
        <f t="shared" si="23"/>
        <v>Large</v>
      </c>
    </row>
    <row r="327" spans="1:10" x14ac:dyDescent="0.25">
      <c r="A327" t="s">
        <v>49</v>
      </c>
      <c r="B327" t="s">
        <v>26</v>
      </c>
      <c r="C327" t="s">
        <v>32</v>
      </c>
      <c r="D327" s="1">
        <v>44768</v>
      </c>
      <c r="E327" s="2">
        <v>6454</v>
      </c>
      <c r="F327">
        <v>160</v>
      </c>
      <c r="G327" s="2">
        <f t="shared" si="20"/>
        <v>40.337499999999999</v>
      </c>
      <c r="H327" t="str">
        <f t="shared" si="21"/>
        <v>July</v>
      </c>
      <c r="I327" t="str">
        <f t="shared" si="22"/>
        <v>Q3</v>
      </c>
      <c r="J327" t="str">
        <f t="shared" si="23"/>
        <v>Large</v>
      </c>
    </row>
    <row r="328" spans="1:10" x14ac:dyDescent="0.25">
      <c r="A328" t="s">
        <v>9</v>
      </c>
      <c r="B328" t="s">
        <v>29</v>
      </c>
      <c r="C328" t="s">
        <v>44</v>
      </c>
      <c r="D328" s="1">
        <v>44642</v>
      </c>
      <c r="E328" s="2">
        <v>420</v>
      </c>
      <c r="F328">
        <v>3</v>
      </c>
      <c r="G328" s="2">
        <f t="shared" si="20"/>
        <v>140</v>
      </c>
      <c r="H328" t="str">
        <f t="shared" si="21"/>
        <v>March</v>
      </c>
      <c r="I328" t="str">
        <f t="shared" si="22"/>
        <v>Q1</v>
      </c>
      <c r="J328" t="str">
        <f t="shared" si="23"/>
        <v>Small</v>
      </c>
    </row>
    <row r="329" spans="1:10" x14ac:dyDescent="0.25">
      <c r="A329" t="s">
        <v>24</v>
      </c>
      <c r="B329" t="s">
        <v>26</v>
      </c>
      <c r="C329" t="s">
        <v>56</v>
      </c>
      <c r="D329" s="1">
        <v>44721</v>
      </c>
      <c r="E329" s="2">
        <v>2863</v>
      </c>
      <c r="F329">
        <v>58</v>
      </c>
      <c r="G329" s="2">
        <f t="shared" si="20"/>
        <v>49.362068965517238</v>
      </c>
      <c r="H329" t="str">
        <f t="shared" si="21"/>
        <v>June</v>
      </c>
      <c r="I329" t="str">
        <f t="shared" si="22"/>
        <v>Q2</v>
      </c>
      <c r="J329" t="str">
        <f t="shared" si="23"/>
        <v>Large</v>
      </c>
    </row>
    <row r="330" spans="1:10" x14ac:dyDescent="0.25">
      <c r="A330" t="s">
        <v>9</v>
      </c>
      <c r="B330" t="s">
        <v>15</v>
      </c>
      <c r="C330" t="s">
        <v>57</v>
      </c>
      <c r="D330" s="1">
        <v>44698</v>
      </c>
      <c r="E330" s="2">
        <v>5936</v>
      </c>
      <c r="F330">
        <v>59</v>
      </c>
      <c r="G330" s="2">
        <f t="shared" si="20"/>
        <v>100.61016949152543</v>
      </c>
      <c r="H330" t="str">
        <f t="shared" si="21"/>
        <v>May</v>
      </c>
      <c r="I330" t="str">
        <f t="shared" si="22"/>
        <v>Q2</v>
      </c>
      <c r="J330" t="str">
        <f t="shared" si="23"/>
        <v>Large</v>
      </c>
    </row>
    <row r="331" spans="1:10" x14ac:dyDescent="0.25">
      <c r="A331" t="s">
        <v>55</v>
      </c>
      <c r="B331" t="s">
        <v>21</v>
      </c>
      <c r="C331" t="s">
        <v>13</v>
      </c>
      <c r="D331" s="1">
        <v>44624</v>
      </c>
      <c r="E331" s="2">
        <v>889</v>
      </c>
      <c r="F331">
        <v>273</v>
      </c>
      <c r="G331" s="2">
        <f t="shared" si="20"/>
        <v>3.2564102564102564</v>
      </c>
      <c r="H331" t="str">
        <f t="shared" si="21"/>
        <v>March</v>
      </c>
      <c r="I331" t="str">
        <f t="shared" si="22"/>
        <v>Q1</v>
      </c>
      <c r="J331" t="str">
        <f t="shared" si="23"/>
        <v>Large</v>
      </c>
    </row>
    <row r="332" spans="1:10" x14ac:dyDescent="0.25">
      <c r="A332" t="s">
        <v>49</v>
      </c>
      <c r="B332" t="s">
        <v>29</v>
      </c>
      <c r="C332" t="s">
        <v>37</v>
      </c>
      <c r="D332" s="1">
        <v>44749</v>
      </c>
      <c r="E332" s="2">
        <v>16016</v>
      </c>
      <c r="F332">
        <v>28</v>
      </c>
      <c r="G332" s="2">
        <f t="shared" si="20"/>
        <v>572</v>
      </c>
      <c r="H332" t="str">
        <f t="shared" si="21"/>
        <v>July</v>
      </c>
      <c r="I332" t="str">
        <f t="shared" si="22"/>
        <v>Q3</v>
      </c>
      <c r="J332" t="str">
        <f t="shared" si="23"/>
        <v>Large</v>
      </c>
    </row>
    <row r="333" spans="1:10" x14ac:dyDescent="0.25">
      <c r="A333" t="s">
        <v>43</v>
      </c>
      <c r="B333" t="s">
        <v>29</v>
      </c>
      <c r="C333" t="s">
        <v>52</v>
      </c>
      <c r="D333" s="1">
        <v>44574</v>
      </c>
      <c r="E333" s="2">
        <v>10479</v>
      </c>
      <c r="F333">
        <v>118</v>
      </c>
      <c r="G333" s="2">
        <f t="shared" si="20"/>
        <v>88.805084745762713</v>
      </c>
      <c r="H333" t="str">
        <f t="shared" si="21"/>
        <v>January</v>
      </c>
      <c r="I333" t="str">
        <f t="shared" si="22"/>
        <v>Q1</v>
      </c>
      <c r="J333" t="str">
        <f t="shared" si="23"/>
        <v>Large</v>
      </c>
    </row>
    <row r="334" spans="1:10" x14ac:dyDescent="0.25">
      <c r="A334" t="s">
        <v>38</v>
      </c>
      <c r="B334" t="s">
        <v>15</v>
      </c>
      <c r="C334" t="s">
        <v>47</v>
      </c>
      <c r="D334" s="1">
        <v>44755</v>
      </c>
      <c r="E334" s="2">
        <v>2912</v>
      </c>
      <c r="F334">
        <v>75</v>
      </c>
      <c r="G334" s="2">
        <f t="shared" si="20"/>
        <v>38.826666666666668</v>
      </c>
      <c r="H334" t="str">
        <f t="shared" si="21"/>
        <v>July</v>
      </c>
      <c r="I334" t="str">
        <f t="shared" si="22"/>
        <v>Q3</v>
      </c>
      <c r="J334" t="str">
        <f t="shared" si="23"/>
        <v>Large</v>
      </c>
    </row>
    <row r="335" spans="1:10" x14ac:dyDescent="0.25">
      <c r="A335" t="s">
        <v>53</v>
      </c>
      <c r="B335" t="s">
        <v>15</v>
      </c>
      <c r="C335" t="s">
        <v>11</v>
      </c>
      <c r="D335" s="1">
        <v>44728</v>
      </c>
      <c r="E335" s="2">
        <v>1575</v>
      </c>
      <c r="F335">
        <v>329</v>
      </c>
      <c r="G335" s="2">
        <f t="shared" si="20"/>
        <v>4.7872340425531918</v>
      </c>
      <c r="H335" t="str">
        <f t="shared" si="21"/>
        <v>June</v>
      </c>
      <c r="I335" t="str">
        <f t="shared" si="22"/>
        <v>Q2</v>
      </c>
      <c r="J335" t="str">
        <f t="shared" si="23"/>
        <v>Large</v>
      </c>
    </row>
    <row r="336" spans="1:10" x14ac:dyDescent="0.25">
      <c r="A336" t="s">
        <v>12</v>
      </c>
      <c r="B336" t="s">
        <v>7</v>
      </c>
      <c r="C336" t="s">
        <v>22</v>
      </c>
      <c r="D336" s="1">
        <v>44760</v>
      </c>
      <c r="E336" s="2">
        <v>8197</v>
      </c>
      <c r="F336">
        <v>69</v>
      </c>
      <c r="G336" s="2">
        <f t="shared" si="20"/>
        <v>118.79710144927536</v>
      </c>
      <c r="H336" t="str">
        <f t="shared" si="21"/>
        <v>July</v>
      </c>
      <c r="I336" t="str">
        <f t="shared" si="22"/>
        <v>Q3</v>
      </c>
      <c r="J336" t="str">
        <f t="shared" si="23"/>
        <v>Large</v>
      </c>
    </row>
    <row r="337" spans="1:10" x14ac:dyDescent="0.25">
      <c r="A337" t="s">
        <v>55</v>
      </c>
      <c r="B337" t="s">
        <v>7</v>
      </c>
      <c r="C337" t="s">
        <v>45</v>
      </c>
      <c r="D337" s="1">
        <v>44711</v>
      </c>
      <c r="E337" s="2">
        <v>4221</v>
      </c>
      <c r="F337">
        <v>395</v>
      </c>
      <c r="G337" s="2">
        <f t="shared" si="20"/>
        <v>10.686075949367089</v>
      </c>
      <c r="H337" t="str">
        <f t="shared" si="21"/>
        <v>May</v>
      </c>
      <c r="I337" t="str">
        <f t="shared" si="22"/>
        <v>Q2</v>
      </c>
      <c r="J337" t="str">
        <f t="shared" si="23"/>
        <v>Large</v>
      </c>
    </row>
    <row r="338" spans="1:10" x14ac:dyDescent="0.25">
      <c r="A338" t="s">
        <v>12</v>
      </c>
      <c r="B338" t="s">
        <v>7</v>
      </c>
      <c r="C338" t="s">
        <v>58</v>
      </c>
      <c r="D338" s="1">
        <v>44733</v>
      </c>
      <c r="E338" s="2">
        <v>840</v>
      </c>
      <c r="F338">
        <v>81</v>
      </c>
      <c r="G338" s="2">
        <f t="shared" si="20"/>
        <v>10.37037037037037</v>
      </c>
      <c r="H338" t="str">
        <f t="shared" si="21"/>
        <v>June</v>
      </c>
      <c r="I338" t="str">
        <f t="shared" si="22"/>
        <v>Q2</v>
      </c>
      <c r="J338" t="str">
        <f t="shared" si="23"/>
        <v>Large</v>
      </c>
    </row>
    <row r="339" spans="1:10" x14ac:dyDescent="0.25">
      <c r="A339" t="s">
        <v>6</v>
      </c>
      <c r="B339" t="s">
        <v>15</v>
      </c>
      <c r="C339" t="s">
        <v>13</v>
      </c>
      <c r="D339" s="1">
        <v>44736</v>
      </c>
      <c r="E339" s="2">
        <v>5691</v>
      </c>
      <c r="F339">
        <v>38</v>
      </c>
      <c r="G339" s="2">
        <f t="shared" si="20"/>
        <v>149.76315789473685</v>
      </c>
      <c r="H339" t="str">
        <f t="shared" si="21"/>
        <v>June</v>
      </c>
      <c r="I339" t="str">
        <f t="shared" si="22"/>
        <v>Q2</v>
      </c>
      <c r="J339" t="str">
        <f t="shared" si="23"/>
        <v>Large</v>
      </c>
    </row>
    <row r="340" spans="1:10" x14ac:dyDescent="0.25">
      <c r="A340" t="s">
        <v>33</v>
      </c>
      <c r="B340" t="s">
        <v>10</v>
      </c>
      <c r="C340" t="s">
        <v>30</v>
      </c>
      <c r="D340" s="1">
        <v>44574</v>
      </c>
      <c r="E340" s="2">
        <v>3472</v>
      </c>
      <c r="F340">
        <v>96</v>
      </c>
      <c r="G340" s="2">
        <f t="shared" si="20"/>
        <v>36.166666666666664</v>
      </c>
      <c r="H340" t="str">
        <f t="shared" si="21"/>
        <v>January</v>
      </c>
      <c r="I340" t="str">
        <f t="shared" si="22"/>
        <v>Q1</v>
      </c>
      <c r="J340" t="str">
        <f t="shared" si="23"/>
        <v>Large</v>
      </c>
    </row>
    <row r="341" spans="1:10" x14ac:dyDescent="0.25">
      <c r="A341" t="s">
        <v>38</v>
      </c>
      <c r="B341" t="s">
        <v>29</v>
      </c>
      <c r="C341" t="s">
        <v>42</v>
      </c>
      <c r="D341" s="1">
        <v>44655</v>
      </c>
      <c r="E341" s="2">
        <v>4193</v>
      </c>
      <c r="F341">
        <v>195</v>
      </c>
      <c r="G341" s="2">
        <f t="shared" si="20"/>
        <v>21.502564102564104</v>
      </c>
      <c r="H341" t="str">
        <f t="shared" si="21"/>
        <v>April</v>
      </c>
      <c r="I341" t="str">
        <f t="shared" si="22"/>
        <v>Q2</v>
      </c>
      <c r="J341" t="str">
        <f t="shared" si="23"/>
        <v>Large</v>
      </c>
    </row>
    <row r="342" spans="1:10" x14ac:dyDescent="0.25">
      <c r="A342" t="s">
        <v>41</v>
      </c>
      <c r="B342" t="s">
        <v>7</v>
      </c>
      <c r="C342" t="s">
        <v>16</v>
      </c>
      <c r="D342" s="1">
        <v>44720</v>
      </c>
      <c r="E342" s="2">
        <v>9016</v>
      </c>
      <c r="F342">
        <v>554</v>
      </c>
      <c r="G342" s="2">
        <f t="shared" si="20"/>
        <v>16.274368231046932</v>
      </c>
      <c r="H342" t="str">
        <f t="shared" si="21"/>
        <v>June</v>
      </c>
      <c r="I342" t="str">
        <f t="shared" si="22"/>
        <v>Q2</v>
      </c>
      <c r="J342" t="str">
        <f t="shared" si="23"/>
        <v>Large</v>
      </c>
    </row>
    <row r="343" spans="1:10" x14ac:dyDescent="0.25">
      <c r="A343" t="s">
        <v>31</v>
      </c>
      <c r="B343" t="s">
        <v>29</v>
      </c>
      <c r="C343" t="s">
        <v>39</v>
      </c>
      <c r="D343" s="1">
        <v>44775</v>
      </c>
      <c r="E343" s="2">
        <v>6328</v>
      </c>
      <c r="F343">
        <v>47</v>
      </c>
      <c r="G343" s="2">
        <f t="shared" si="20"/>
        <v>134.63829787234042</v>
      </c>
      <c r="H343" t="str">
        <f t="shared" si="21"/>
        <v>August</v>
      </c>
      <c r="I343" t="str">
        <f t="shared" si="22"/>
        <v>Q3</v>
      </c>
      <c r="J343" t="str">
        <f t="shared" si="23"/>
        <v>Large</v>
      </c>
    </row>
    <row r="344" spans="1:10" x14ac:dyDescent="0.25">
      <c r="A344" t="s">
        <v>49</v>
      </c>
      <c r="B344" t="s">
        <v>26</v>
      </c>
      <c r="C344" t="s">
        <v>35</v>
      </c>
      <c r="D344" s="1">
        <v>44763</v>
      </c>
      <c r="E344" s="2">
        <v>9870</v>
      </c>
      <c r="F344">
        <v>152</v>
      </c>
      <c r="G344" s="2">
        <f t="shared" si="20"/>
        <v>64.934210526315795</v>
      </c>
      <c r="H344" t="str">
        <f t="shared" si="21"/>
        <v>July</v>
      </c>
      <c r="I344" t="str">
        <f t="shared" si="22"/>
        <v>Q3</v>
      </c>
      <c r="J344" t="str">
        <f t="shared" si="23"/>
        <v>Large</v>
      </c>
    </row>
    <row r="345" spans="1:10" x14ac:dyDescent="0.25">
      <c r="A345" t="s">
        <v>38</v>
      </c>
      <c r="B345" t="s">
        <v>10</v>
      </c>
      <c r="C345" t="s">
        <v>39</v>
      </c>
      <c r="D345" s="1">
        <v>44732</v>
      </c>
      <c r="E345" s="2">
        <v>161</v>
      </c>
      <c r="F345">
        <v>134</v>
      </c>
      <c r="G345" s="2">
        <f t="shared" si="20"/>
        <v>1.2014925373134329</v>
      </c>
      <c r="H345" t="str">
        <f t="shared" si="21"/>
        <v>June</v>
      </c>
      <c r="I345" t="str">
        <f t="shared" si="22"/>
        <v>Q2</v>
      </c>
      <c r="J345" t="str">
        <f t="shared" si="23"/>
        <v>Small</v>
      </c>
    </row>
    <row r="346" spans="1:10" x14ac:dyDescent="0.25">
      <c r="A346" t="s">
        <v>36</v>
      </c>
      <c r="B346" t="s">
        <v>10</v>
      </c>
      <c r="C346" t="s">
        <v>20</v>
      </c>
      <c r="D346" s="1">
        <v>44734</v>
      </c>
      <c r="E346" s="2">
        <v>2576</v>
      </c>
      <c r="F346">
        <v>112</v>
      </c>
      <c r="G346" s="2">
        <f t="shared" si="20"/>
        <v>23</v>
      </c>
      <c r="H346" t="str">
        <f t="shared" si="21"/>
        <v>June</v>
      </c>
      <c r="I346" t="str">
        <f t="shared" si="22"/>
        <v>Q2</v>
      </c>
      <c r="J346" t="str">
        <f t="shared" si="23"/>
        <v>Large</v>
      </c>
    </row>
    <row r="347" spans="1:10" x14ac:dyDescent="0.25">
      <c r="A347" t="s">
        <v>50</v>
      </c>
      <c r="B347" t="s">
        <v>15</v>
      </c>
      <c r="C347" t="s">
        <v>57</v>
      </c>
      <c r="D347" s="1">
        <v>44683</v>
      </c>
      <c r="E347" s="2">
        <v>3178</v>
      </c>
      <c r="F347">
        <v>16</v>
      </c>
      <c r="G347" s="2">
        <f t="shared" si="20"/>
        <v>198.625</v>
      </c>
      <c r="H347" t="str">
        <f t="shared" si="21"/>
        <v>May</v>
      </c>
      <c r="I347" t="str">
        <f t="shared" si="22"/>
        <v>Q2</v>
      </c>
      <c r="J347" t="str">
        <f t="shared" si="23"/>
        <v>Large</v>
      </c>
    </row>
    <row r="348" spans="1:10" x14ac:dyDescent="0.25">
      <c r="A348" t="s">
        <v>38</v>
      </c>
      <c r="B348" t="s">
        <v>15</v>
      </c>
      <c r="C348" t="s">
        <v>18</v>
      </c>
      <c r="D348" s="1">
        <v>44568</v>
      </c>
      <c r="E348" s="2">
        <v>4676</v>
      </c>
      <c r="F348">
        <v>84</v>
      </c>
      <c r="G348" s="2">
        <f t="shared" si="20"/>
        <v>55.666666666666664</v>
      </c>
      <c r="H348" t="str">
        <f t="shared" si="21"/>
        <v>January</v>
      </c>
      <c r="I348" t="str">
        <f t="shared" si="22"/>
        <v>Q1</v>
      </c>
      <c r="J348" t="str">
        <f t="shared" si="23"/>
        <v>Large</v>
      </c>
    </row>
    <row r="349" spans="1:10" x14ac:dyDescent="0.25">
      <c r="A349" t="s">
        <v>28</v>
      </c>
      <c r="B349" t="s">
        <v>7</v>
      </c>
      <c r="C349" t="s">
        <v>22</v>
      </c>
      <c r="D349" s="1">
        <v>44613</v>
      </c>
      <c r="E349" s="2">
        <v>5502</v>
      </c>
      <c r="F349">
        <v>99</v>
      </c>
      <c r="G349" s="2">
        <f t="shared" si="20"/>
        <v>55.575757575757578</v>
      </c>
      <c r="H349" t="str">
        <f t="shared" si="21"/>
        <v>February</v>
      </c>
      <c r="I349" t="str">
        <f t="shared" si="22"/>
        <v>Q1</v>
      </c>
      <c r="J349" t="str">
        <f t="shared" si="23"/>
        <v>Large</v>
      </c>
    </row>
    <row r="350" spans="1:10" x14ac:dyDescent="0.25">
      <c r="A350" t="s">
        <v>55</v>
      </c>
      <c r="B350" t="s">
        <v>29</v>
      </c>
      <c r="C350" t="s">
        <v>56</v>
      </c>
      <c r="D350" s="1">
        <v>44641</v>
      </c>
      <c r="E350" s="2">
        <v>7462</v>
      </c>
      <c r="F350">
        <v>371</v>
      </c>
      <c r="G350" s="2">
        <f t="shared" si="20"/>
        <v>20.113207547169811</v>
      </c>
      <c r="H350" t="str">
        <f t="shared" si="21"/>
        <v>March</v>
      </c>
      <c r="I350" t="str">
        <f t="shared" si="22"/>
        <v>Q1</v>
      </c>
      <c r="J350" t="str">
        <f t="shared" si="23"/>
        <v>Large</v>
      </c>
    </row>
    <row r="351" spans="1:10" x14ac:dyDescent="0.25">
      <c r="A351" t="s">
        <v>9</v>
      </c>
      <c r="B351" t="s">
        <v>7</v>
      </c>
      <c r="C351" t="s">
        <v>32</v>
      </c>
      <c r="D351" s="1">
        <v>44655</v>
      </c>
      <c r="E351" s="2">
        <v>5803</v>
      </c>
      <c r="F351">
        <v>136</v>
      </c>
      <c r="G351" s="2">
        <f t="shared" si="20"/>
        <v>42.669117647058826</v>
      </c>
      <c r="H351" t="str">
        <f t="shared" si="21"/>
        <v>April</v>
      </c>
      <c r="I351" t="str">
        <f t="shared" si="22"/>
        <v>Q2</v>
      </c>
      <c r="J351" t="str">
        <f t="shared" si="23"/>
        <v>Large</v>
      </c>
    </row>
    <row r="352" spans="1:10" x14ac:dyDescent="0.25">
      <c r="A352" t="s">
        <v>19</v>
      </c>
      <c r="B352" t="s">
        <v>29</v>
      </c>
      <c r="C352" t="s">
        <v>42</v>
      </c>
      <c r="D352" s="1">
        <v>44644</v>
      </c>
      <c r="E352" s="2">
        <v>13888</v>
      </c>
      <c r="F352">
        <v>203</v>
      </c>
      <c r="G352" s="2">
        <f t="shared" si="20"/>
        <v>68.41379310344827</v>
      </c>
      <c r="H352" t="str">
        <f t="shared" si="21"/>
        <v>March</v>
      </c>
      <c r="I352" t="str">
        <f t="shared" si="22"/>
        <v>Q1</v>
      </c>
      <c r="J352" t="str">
        <f t="shared" si="23"/>
        <v>Large</v>
      </c>
    </row>
    <row r="353" spans="1:10" x14ac:dyDescent="0.25">
      <c r="A353" t="s">
        <v>19</v>
      </c>
      <c r="B353" t="s">
        <v>21</v>
      </c>
      <c r="C353" t="s">
        <v>39</v>
      </c>
      <c r="D353" s="1">
        <v>44740</v>
      </c>
      <c r="E353" s="2">
        <v>6867</v>
      </c>
      <c r="F353">
        <v>183</v>
      </c>
      <c r="G353" s="2">
        <f t="shared" si="20"/>
        <v>37.524590163934427</v>
      </c>
      <c r="H353" t="str">
        <f t="shared" si="21"/>
        <v>June</v>
      </c>
      <c r="I353" t="str">
        <f t="shared" si="22"/>
        <v>Q2</v>
      </c>
      <c r="J353" t="str">
        <f t="shared" si="23"/>
        <v>Large</v>
      </c>
    </row>
    <row r="354" spans="1:10" x14ac:dyDescent="0.25">
      <c r="A354" t="s">
        <v>19</v>
      </c>
      <c r="B354" t="s">
        <v>15</v>
      </c>
      <c r="C354" t="s">
        <v>32</v>
      </c>
      <c r="D354" s="1">
        <v>44575</v>
      </c>
      <c r="E354" s="2">
        <v>2317</v>
      </c>
      <c r="F354">
        <v>195</v>
      </c>
      <c r="G354" s="2">
        <f t="shared" si="20"/>
        <v>11.882051282051282</v>
      </c>
      <c r="H354" t="str">
        <f t="shared" si="21"/>
        <v>January</v>
      </c>
      <c r="I354" t="str">
        <f t="shared" si="22"/>
        <v>Q1</v>
      </c>
      <c r="J354" t="str">
        <f t="shared" si="23"/>
        <v>Large</v>
      </c>
    </row>
    <row r="355" spans="1:10" x14ac:dyDescent="0.25">
      <c r="A355" t="s">
        <v>31</v>
      </c>
      <c r="B355" t="s">
        <v>21</v>
      </c>
      <c r="C355" t="s">
        <v>42</v>
      </c>
      <c r="D355" s="1">
        <v>44599</v>
      </c>
      <c r="E355" s="2">
        <v>1218</v>
      </c>
      <c r="F355">
        <v>135</v>
      </c>
      <c r="G355" s="2">
        <f t="shared" si="20"/>
        <v>9.0222222222222221</v>
      </c>
      <c r="H355" t="str">
        <f t="shared" si="21"/>
        <v>February</v>
      </c>
      <c r="I355" t="str">
        <f t="shared" si="22"/>
        <v>Q1</v>
      </c>
      <c r="J355" t="str">
        <f t="shared" si="23"/>
        <v>Large</v>
      </c>
    </row>
    <row r="356" spans="1:10" x14ac:dyDescent="0.25">
      <c r="A356" t="s">
        <v>43</v>
      </c>
      <c r="B356" t="s">
        <v>21</v>
      </c>
      <c r="C356" t="s">
        <v>32</v>
      </c>
      <c r="D356" s="1">
        <v>44572</v>
      </c>
      <c r="E356" s="2">
        <v>4109</v>
      </c>
      <c r="F356">
        <v>197</v>
      </c>
      <c r="G356" s="2">
        <f t="shared" si="20"/>
        <v>20.857868020304569</v>
      </c>
      <c r="H356" t="str">
        <f t="shared" si="21"/>
        <v>January</v>
      </c>
      <c r="I356" t="str">
        <f t="shared" si="22"/>
        <v>Q1</v>
      </c>
      <c r="J356" t="str">
        <f t="shared" si="23"/>
        <v>Large</v>
      </c>
    </row>
    <row r="357" spans="1:10" x14ac:dyDescent="0.25">
      <c r="A357" t="s">
        <v>6</v>
      </c>
      <c r="B357" t="s">
        <v>10</v>
      </c>
      <c r="C357" t="s">
        <v>18</v>
      </c>
      <c r="D357" s="1">
        <v>44617</v>
      </c>
      <c r="E357" s="2">
        <v>1953</v>
      </c>
      <c r="F357">
        <v>242</v>
      </c>
      <c r="G357" s="2">
        <f t="shared" si="20"/>
        <v>8.0702479338842981</v>
      </c>
      <c r="H357" t="str">
        <f t="shared" si="21"/>
        <v>February</v>
      </c>
      <c r="I357" t="str">
        <f t="shared" si="22"/>
        <v>Q1</v>
      </c>
      <c r="J357" t="str">
        <f t="shared" si="23"/>
        <v>Large</v>
      </c>
    </row>
    <row r="358" spans="1:10" x14ac:dyDescent="0.25">
      <c r="A358" t="s">
        <v>54</v>
      </c>
      <c r="B358" t="s">
        <v>15</v>
      </c>
      <c r="C358" t="s">
        <v>8</v>
      </c>
      <c r="D358" s="1">
        <v>44774</v>
      </c>
      <c r="E358" s="2">
        <v>6790</v>
      </c>
      <c r="F358">
        <v>25</v>
      </c>
      <c r="G358" s="2">
        <f t="shared" si="20"/>
        <v>271.60000000000002</v>
      </c>
      <c r="H358" t="str">
        <f t="shared" si="21"/>
        <v>August</v>
      </c>
      <c r="I358" t="str">
        <f t="shared" si="22"/>
        <v>Q3</v>
      </c>
      <c r="J358" t="str">
        <f t="shared" si="23"/>
        <v>Large</v>
      </c>
    </row>
    <row r="359" spans="1:10" x14ac:dyDescent="0.25">
      <c r="A359" t="s">
        <v>36</v>
      </c>
      <c r="B359" t="s">
        <v>15</v>
      </c>
      <c r="C359" t="s">
        <v>8</v>
      </c>
      <c r="D359" s="1">
        <v>44686</v>
      </c>
      <c r="E359" s="2">
        <v>6797</v>
      </c>
      <c r="F359">
        <v>252</v>
      </c>
      <c r="G359" s="2">
        <f t="shared" si="20"/>
        <v>26.972222222222221</v>
      </c>
      <c r="H359" t="str">
        <f t="shared" si="21"/>
        <v>May</v>
      </c>
      <c r="I359" t="str">
        <f t="shared" si="22"/>
        <v>Q2</v>
      </c>
      <c r="J359" t="str">
        <f t="shared" si="23"/>
        <v>Large</v>
      </c>
    </row>
    <row r="360" spans="1:10" x14ac:dyDescent="0.25">
      <c r="A360" t="s">
        <v>53</v>
      </c>
      <c r="B360" t="s">
        <v>21</v>
      </c>
      <c r="C360" t="s">
        <v>51</v>
      </c>
      <c r="D360" s="1">
        <v>44699</v>
      </c>
      <c r="E360" s="2">
        <v>9226</v>
      </c>
      <c r="F360">
        <v>415</v>
      </c>
      <c r="G360" s="2">
        <f t="shared" si="20"/>
        <v>22.231325301204819</v>
      </c>
      <c r="H360" t="str">
        <f t="shared" si="21"/>
        <v>May</v>
      </c>
      <c r="I360" t="str">
        <f t="shared" si="22"/>
        <v>Q2</v>
      </c>
      <c r="J360" t="str">
        <f t="shared" si="23"/>
        <v>Large</v>
      </c>
    </row>
    <row r="361" spans="1:10" x14ac:dyDescent="0.25">
      <c r="A361" t="s">
        <v>54</v>
      </c>
      <c r="B361" t="s">
        <v>21</v>
      </c>
      <c r="C361" t="s">
        <v>52</v>
      </c>
      <c r="D361" s="1">
        <v>44565</v>
      </c>
      <c r="E361" s="2">
        <v>5733</v>
      </c>
      <c r="F361">
        <v>348</v>
      </c>
      <c r="G361" s="2">
        <f t="shared" si="20"/>
        <v>16.474137931034484</v>
      </c>
      <c r="H361" t="str">
        <f t="shared" si="21"/>
        <v>January</v>
      </c>
      <c r="I361" t="str">
        <f t="shared" si="22"/>
        <v>Q1</v>
      </c>
      <c r="J361" t="str">
        <f t="shared" si="23"/>
        <v>Large</v>
      </c>
    </row>
    <row r="362" spans="1:10" x14ac:dyDescent="0.25">
      <c r="A362" t="s">
        <v>36</v>
      </c>
      <c r="B362" t="s">
        <v>21</v>
      </c>
      <c r="C362" t="s">
        <v>22</v>
      </c>
      <c r="D362" s="1">
        <v>44690</v>
      </c>
      <c r="E362" s="2">
        <v>4312</v>
      </c>
      <c r="F362">
        <v>211</v>
      </c>
      <c r="G362" s="2">
        <f t="shared" si="20"/>
        <v>20.436018957345972</v>
      </c>
      <c r="H362" t="str">
        <f t="shared" si="21"/>
        <v>May</v>
      </c>
      <c r="I362" t="str">
        <f t="shared" si="22"/>
        <v>Q2</v>
      </c>
      <c r="J362" t="str">
        <f t="shared" si="23"/>
        <v>Large</v>
      </c>
    </row>
    <row r="363" spans="1:10" x14ac:dyDescent="0.25">
      <c r="A363" t="s">
        <v>24</v>
      </c>
      <c r="B363" t="s">
        <v>10</v>
      </c>
      <c r="C363" t="s">
        <v>16</v>
      </c>
      <c r="D363" s="1">
        <v>44687</v>
      </c>
      <c r="E363" s="2">
        <v>1638</v>
      </c>
      <c r="F363">
        <v>81</v>
      </c>
      <c r="G363" s="2">
        <f t="shared" si="20"/>
        <v>20.222222222222221</v>
      </c>
      <c r="H363" t="str">
        <f t="shared" si="21"/>
        <v>May</v>
      </c>
      <c r="I363" t="str">
        <f t="shared" si="22"/>
        <v>Q2</v>
      </c>
      <c r="J363" t="str">
        <f t="shared" si="23"/>
        <v>Large</v>
      </c>
    </row>
    <row r="364" spans="1:10" x14ac:dyDescent="0.25">
      <c r="A364" t="s">
        <v>40</v>
      </c>
      <c r="B364" t="s">
        <v>7</v>
      </c>
      <c r="C364" t="s">
        <v>44</v>
      </c>
      <c r="D364" s="1">
        <v>44574</v>
      </c>
      <c r="E364" s="2">
        <v>10815</v>
      </c>
      <c r="F364">
        <v>145</v>
      </c>
      <c r="G364" s="2">
        <f t="shared" si="20"/>
        <v>74.58620689655173</v>
      </c>
      <c r="H364" t="str">
        <f t="shared" si="21"/>
        <v>January</v>
      </c>
      <c r="I364" t="str">
        <f t="shared" si="22"/>
        <v>Q1</v>
      </c>
      <c r="J364" t="str">
        <f t="shared" si="23"/>
        <v>Large</v>
      </c>
    </row>
    <row r="365" spans="1:10" x14ac:dyDescent="0.25">
      <c r="A365" t="s">
        <v>36</v>
      </c>
      <c r="B365" t="s">
        <v>15</v>
      </c>
      <c r="C365" t="s">
        <v>47</v>
      </c>
      <c r="D365" s="1">
        <v>44736</v>
      </c>
      <c r="E365" s="2">
        <v>4466</v>
      </c>
      <c r="F365">
        <v>74</v>
      </c>
      <c r="G365" s="2">
        <f t="shared" si="20"/>
        <v>60.351351351351354</v>
      </c>
      <c r="H365" t="str">
        <f t="shared" si="21"/>
        <v>June</v>
      </c>
      <c r="I365" t="str">
        <f t="shared" si="22"/>
        <v>Q2</v>
      </c>
      <c r="J365" t="str">
        <f t="shared" si="23"/>
        <v>Large</v>
      </c>
    </row>
    <row r="366" spans="1:10" x14ac:dyDescent="0.25">
      <c r="A366" t="s">
        <v>9</v>
      </c>
      <c r="B366" t="s">
        <v>26</v>
      </c>
      <c r="C366" t="s">
        <v>57</v>
      </c>
      <c r="D366" s="1">
        <v>44606</v>
      </c>
      <c r="E366" s="2">
        <v>987</v>
      </c>
      <c r="F366">
        <v>21</v>
      </c>
      <c r="G366" s="2">
        <f t="shared" si="20"/>
        <v>47</v>
      </c>
      <c r="H366" t="str">
        <f t="shared" si="21"/>
        <v>February</v>
      </c>
      <c r="I366" t="str">
        <f t="shared" si="22"/>
        <v>Q1</v>
      </c>
      <c r="J366" t="str">
        <f t="shared" si="23"/>
        <v>Large</v>
      </c>
    </row>
    <row r="367" spans="1:10" x14ac:dyDescent="0.25">
      <c r="A367" t="s">
        <v>50</v>
      </c>
      <c r="B367" t="s">
        <v>15</v>
      </c>
      <c r="C367" t="s">
        <v>18</v>
      </c>
      <c r="D367" s="1">
        <v>44579</v>
      </c>
      <c r="E367" s="2">
        <v>4669</v>
      </c>
      <c r="F367">
        <v>101</v>
      </c>
      <c r="G367" s="2">
        <f t="shared" si="20"/>
        <v>46.227722772277225</v>
      </c>
      <c r="H367" t="str">
        <f t="shared" si="21"/>
        <v>January</v>
      </c>
      <c r="I367" t="str">
        <f t="shared" si="22"/>
        <v>Q1</v>
      </c>
      <c r="J367" t="str">
        <f t="shared" si="23"/>
        <v>Large</v>
      </c>
    </row>
    <row r="368" spans="1:10" x14ac:dyDescent="0.25">
      <c r="A368" t="s">
        <v>41</v>
      </c>
      <c r="B368" t="s">
        <v>10</v>
      </c>
      <c r="C368" t="s">
        <v>37</v>
      </c>
      <c r="D368" s="1">
        <v>44683</v>
      </c>
      <c r="E368" s="2">
        <v>2905</v>
      </c>
      <c r="F368">
        <v>91</v>
      </c>
      <c r="G368" s="2">
        <f t="shared" si="20"/>
        <v>31.923076923076923</v>
      </c>
      <c r="H368" t="str">
        <f t="shared" si="21"/>
        <v>May</v>
      </c>
      <c r="I368" t="str">
        <f t="shared" si="22"/>
        <v>Q2</v>
      </c>
      <c r="J368" t="str">
        <f t="shared" si="23"/>
        <v>Large</v>
      </c>
    </row>
    <row r="369" spans="1:10" x14ac:dyDescent="0.25">
      <c r="A369" t="s">
        <v>55</v>
      </c>
      <c r="B369" t="s">
        <v>15</v>
      </c>
      <c r="C369" t="s">
        <v>16</v>
      </c>
      <c r="D369" s="1">
        <v>44697</v>
      </c>
      <c r="E369" s="2">
        <v>7490</v>
      </c>
      <c r="F369">
        <v>54</v>
      </c>
      <c r="G369" s="2">
        <f t="shared" si="20"/>
        <v>138.7037037037037</v>
      </c>
      <c r="H369" t="str">
        <f t="shared" si="21"/>
        <v>May</v>
      </c>
      <c r="I369" t="str">
        <f t="shared" si="22"/>
        <v>Q2</v>
      </c>
      <c r="J369" t="str">
        <f t="shared" si="23"/>
        <v>Large</v>
      </c>
    </row>
    <row r="370" spans="1:10" x14ac:dyDescent="0.25">
      <c r="A370" t="s">
        <v>28</v>
      </c>
      <c r="B370" t="s">
        <v>26</v>
      </c>
      <c r="C370" t="s">
        <v>47</v>
      </c>
      <c r="D370" s="1">
        <v>44589</v>
      </c>
      <c r="E370" s="2">
        <v>6986</v>
      </c>
      <c r="F370">
        <v>368</v>
      </c>
      <c r="G370" s="2">
        <f t="shared" si="20"/>
        <v>18.983695652173914</v>
      </c>
      <c r="H370" t="str">
        <f t="shared" si="21"/>
        <v>January</v>
      </c>
      <c r="I370" t="str">
        <f t="shared" si="22"/>
        <v>Q1</v>
      </c>
      <c r="J370" t="str">
        <f t="shared" si="23"/>
        <v>Large</v>
      </c>
    </row>
    <row r="371" spans="1:10" x14ac:dyDescent="0.25">
      <c r="A371" t="s">
        <v>41</v>
      </c>
      <c r="B371" t="s">
        <v>29</v>
      </c>
      <c r="C371" t="s">
        <v>18</v>
      </c>
      <c r="D371" s="1">
        <v>44736</v>
      </c>
      <c r="E371" s="2">
        <v>1288</v>
      </c>
      <c r="F371">
        <v>409</v>
      </c>
      <c r="G371" s="2">
        <f t="shared" si="20"/>
        <v>3.1491442542787285</v>
      </c>
      <c r="H371" t="str">
        <f t="shared" si="21"/>
        <v>June</v>
      </c>
      <c r="I371" t="str">
        <f t="shared" si="22"/>
        <v>Q2</v>
      </c>
      <c r="J371" t="str">
        <f t="shared" si="23"/>
        <v>Large</v>
      </c>
    </row>
    <row r="372" spans="1:10" x14ac:dyDescent="0.25">
      <c r="A372" t="s">
        <v>17</v>
      </c>
      <c r="B372" t="s">
        <v>7</v>
      </c>
      <c r="C372" t="s">
        <v>20</v>
      </c>
      <c r="D372" s="1">
        <v>44760</v>
      </c>
      <c r="E372" s="2">
        <v>2345</v>
      </c>
      <c r="F372">
        <v>104</v>
      </c>
      <c r="G372" s="2">
        <f t="shared" si="20"/>
        <v>22.548076923076923</v>
      </c>
      <c r="H372" t="str">
        <f t="shared" si="21"/>
        <v>July</v>
      </c>
      <c r="I372" t="str">
        <f t="shared" si="22"/>
        <v>Q3</v>
      </c>
      <c r="J372" t="str">
        <f t="shared" si="23"/>
        <v>Large</v>
      </c>
    </row>
    <row r="373" spans="1:10" x14ac:dyDescent="0.25">
      <c r="A373" t="s">
        <v>19</v>
      </c>
      <c r="B373" t="s">
        <v>7</v>
      </c>
      <c r="C373" t="s">
        <v>30</v>
      </c>
      <c r="D373" s="1">
        <v>44664</v>
      </c>
      <c r="E373" s="2">
        <v>3619</v>
      </c>
      <c r="F373">
        <v>164</v>
      </c>
      <c r="G373" s="2">
        <f t="shared" si="20"/>
        <v>22.067073170731707</v>
      </c>
      <c r="H373" t="str">
        <f t="shared" si="21"/>
        <v>April</v>
      </c>
      <c r="I373" t="str">
        <f t="shared" si="22"/>
        <v>Q2</v>
      </c>
      <c r="J373" t="str">
        <f t="shared" si="23"/>
        <v>Large</v>
      </c>
    </row>
    <row r="374" spans="1:10" x14ac:dyDescent="0.25">
      <c r="A374" t="s">
        <v>54</v>
      </c>
      <c r="B374" t="s">
        <v>26</v>
      </c>
      <c r="C374" t="s">
        <v>57</v>
      </c>
      <c r="D374" s="1">
        <v>44666</v>
      </c>
      <c r="E374" s="2">
        <v>16982</v>
      </c>
      <c r="F374">
        <v>76</v>
      </c>
      <c r="G374" s="2">
        <f t="shared" si="20"/>
        <v>223.44736842105263</v>
      </c>
      <c r="H374" t="str">
        <f t="shared" si="21"/>
        <v>April</v>
      </c>
      <c r="I374" t="str">
        <f t="shared" si="22"/>
        <v>Q2</v>
      </c>
      <c r="J374" t="str">
        <f t="shared" si="23"/>
        <v>Large</v>
      </c>
    </row>
    <row r="375" spans="1:10" x14ac:dyDescent="0.25">
      <c r="A375" t="s">
        <v>14</v>
      </c>
      <c r="B375" t="s">
        <v>10</v>
      </c>
      <c r="C375" t="s">
        <v>13</v>
      </c>
      <c r="D375" s="1">
        <v>44565</v>
      </c>
      <c r="E375" s="2">
        <v>8092</v>
      </c>
      <c r="F375">
        <v>178</v>
      </c>
      <c r="G375" s="2">
        <f t="shared" si="20"/>
        <v>45.460674157303373</v>
      </c>
      <c r="H375" t="str">
        <f t="shared" si="21"/>
        <v>January</v>
      </c>
      <c r="I375" t="str">
        <f t="shared" si="22"/>
        <v>Q1</v>
      </c>
      <c r="J375" t="str">
        <f t="shared" si="23"/>
        <v>Large</v>
      </c>
    </row>
    <row r="376" spans="1:10" x14ac:dyDescent="0.25">
      <c r="A376" t="s">
        <v>40</v>
      </c>
      <c r="B376" t="s">
        <v>15</v>
      </c>
      <c r="C376" t="s">
        <v>30</v>
      </c>
      <c r="D376" s="1">
        <v>44746</v>
      </c>
      <c r="E376" s="2">
        <v>6993</v>
      </c>
      <c r="F376">
        <v>31</v>
      </c>
      <c r="G376" s="2">
        <f t="shared" si="20"/>
        <v>225.58064516129033</v>
      </c>
      <c r="H376" t="str">
        <f t="shared" si="21"/>
        <v>July</v>
      </c>
      <c r="I376" t="str">
        <f t="shared" si="22"/>
        <v>Q3</v>
      </c>
      <c r="J376" t="str">
        <f t="shared" si="23"/>
        <v>Large</v>
      </c>
    </row>
    <row r="377" spans="1:10" x14ac:dyDescent="0.25">
      <c r="A377" t="s">
        <v>34</v>
      </c>
      <c r="B377" t="s">
        <v>26</v>
      </c>
      <c r="C377" t="s">
        <v>16</v>
      </c>
      <c r="D377" s="1">
        <v>44644</v>
      </c>
      <c r="E377" s="2">
        <v>2317</v>
      </c>
      <c r="F377">
        <v>352</v>
      </c>
      <c r="G377" s="2">
        <f t="shared" si="20"/>
        <v>6.5823863636363633</v>
      </c>
      <c r="H377" t="str">
        <f t="shared" si="21"/>
        <v>March</v>
      </c>
      <c r="I377" t="str">
        <f t="shared" si="22"/>
        <v>Q1</v>
      </c>
      <c r="J377" t="str">
        <f t="shared" si="23"/>
        <v>Large</v>
      </c>
    </row>
    <row r="378" spans="1:10" x14ac:dyDescent="0.25">
      <c r="A378" t="s">
        <v>50</v>
      </c>
      <c r="B378" t="s">
        <v>15</v>
      </c>
      <c r="C378" t="s">
        <v>45</v>
      </c>
      <c r="D378" s="1">
        <v>44637</v>
      </c>
      <c r="E378" s="2">
        <v>637</v>
      </c>
      <c r="F378">
        <v>169</v>
      </c>
      <c r="G378" s="2">
        <f t="shared" si="20"/>
        <v>3.7692307692307692</v>
      </c>
      <c r="H378" t="str">
        <f t="shared" si="21"/>
        <v>March</v>
      </c>
      <c r="I378" t="str">
        <f t="shared" si="22"/>
        <v>Q1</v>
      </c>
      <c r="J378" t="str">
        <f t="shared" si="23"/>
        <v>Large</v>
      </c>
    </row>
    <row r="379" spans="1:10" x14ac:dyDescent="0.25">
      <c r="A379" t="s">
        <v>17</v>
      </c>
      <c r="B379" t="s">
        <v>15</v>
      </c>
      <c r="C379" t="s">
        <v>47</v>
      </c>
      <c r="D379" s="1">
        <v>44607</v>
      </c>
      <c r="E379" s="2">
        <v>6034</v>
      </c>
      <c r="F379">
        <v>223</v>
      </c>
      <c r="G379" s="2">
        <f t="shared" si="20"/>
        <v>27.058295964125559</v>
      </c>
      <c r="H379" t="str">
        <f t="shared" si="21"/>
        <v>February</v>
      </c>
      <c r="I379" t="str">
        <f t="shared" si="22"/>
        <v>Q1</v>
      </c>
      <c r="J379" t="str">
        <f t="shared" si="23"/>
        <v>Large</v>
      </c>
    </row>
    <row r="380" spans="1:10" x14ac:dyDescent="0.25">
      <c r="A380" t="s">
        <v>14</v>
      </c>
      <c r="B380" t="s">
        <v>26</v>
      </c>
      <c r="C380" t="s">
        <v>27</v>
      </c>
      <c r="D380" s="1">
        <v>44741</v>
      </c>
      <c r="E380" s="2">
        <v>980</v>
      </c>
      <c r="F380">
        <v>146</v>
      </c>
      <c r="G380" s="2">
        <f t="shared" si="20"/>
        <v>6.7123287671232879</v>
      </c>
      <c r="H380" t="str">
        <f t="shared" si="21"/>
        <v>June</v>
      </c>
      <c r="I380" t="str">
        <f t="shared" si="22"/>
        <v>Q2</v>
      </c>
      <c r="J380" t="str">
        <f t="shared" si="23"/>
        <v>Large</v>
      </c>
    </row>
    <row r="381" spans="1:10" x14ac:dyDescent="0.25">
      <c r="A381" t="s">
        <v>12</v>
      </c>
      <c r="B381" t="s">
        <v>26</v>
      </c>
      <c r="C381" t="s">
        <v>42</v>
      </c>
      <c r="D381" s="1">
        <v>44705</v>
      </c>
      <c r="E381" s="2">
        <v>2821</v>
      </c>
      <c r="F381">
        <v>112</v>
      </c>
      <c r="G381" s="2">
        <f t="shared" si="20"/>
        <v>25.1875</v>
      </c>
      <c r="H381" t="str">
        <f t="shared" si="21"/>
        <v>May</v>
      </c>
      <c r="I381" t="str">
        <f t="shared" si="22"/>
        <v>Q2</v>
      </c>
      <c r="J381" t="str">
        <f t="shared" si="23"/>
        <v>Large</v>
      </c>
    </row>
    <row r="382" spans="1:10" x14ac:dyDescent="0.25">
      <c r="A382" t="s">
        <v>28</v>
      </c>
      <c r="B382" t="s">
        <v>7</v>
      </c>
      <c r="C382" t="s">
        <v>37</v>
      </c>
      <c r="D382" s="1">
        <v>44571</v>
      </c>
      <c r="E382" s="2">
        <v>3563</v>
      </c>
      <c r="F382">
        <v>284</v>
      </c>
      <c r="G382" s="2">
        <f t="shared" si="20"/>
        <v>12.545774647887324</v>
      </c>
      <c r="H382" t="str">
        <f t="shared" si="21"/>
        <v>January</v>
      </c>
      <c r="I382" t="str">
        <f t="shared" si="22"/>
        <v>Q1</v>
      </c>
      <c r="J382" t="str">
        <f t="shared" si="23"/>
        <v>Large</v>
      </c>
    </row>
    <row r="383" spans="1:10" x14ac:dyDescent="0.25">
      <c r="A383" t="s">
        <v>38</v>
      </c>
      <c r="B383" t="s">
        <v>26</v>
      </c>
      <c r="C383" t="s">
        <v>51</v>
      </c>
      <c r="D383" s="1">
        <v>44635</v>
      </c>
      <c r="E383" s="2">
        <v>2996</v>
      </c>
      <c r="F383">
        <v>139</v>
      </c>
      <c r="G383" s="2">
        <f t="shared" si="20"/>
        <v>21.553956834532375</v>
      </c>
      <c r="H383" t="str">
        <f t="shared" si="21"/>
        <v>March</v>
      </c>
      <c r="I383" t="str">
        <f t="shared" si="22"/>
        <v>Q1</v>
      </c>
      <c r="J383" t="str">
        <f t="shared" si="23"/>
        <v>Large</v>
      </c>
    </row>
    <row r="384" spans="1:10" x14ac:dyDescent="0.25">
      <c r="A384" t="s">
        <v>33</v>
      </c>
      <c r="B384" t="s">
        <v>29</v>
      </c>
      <c r="C384" t="s">
        <v>37</v>
      </c>
      <c r="D384" s="1">
        <v>44600</v>
      </c>
      <c r="E384" s="2">
        <v>2436</v>
      </c>
      <c r="F384">
        <v>309</v>
      </c>
      <c r="G384" s="2">
        <f t="shared" si="20"/>
        <v>7.883495145631068</v>
      </c>
      <c r="H384" t="str">
        <f t="shared" si="21"/>
        <v>February</v>
      </c>
      <c r="I384" t="str">
        <f t="shared" si="22"/>
        <v>Q1</v>
      </c>
      <c r="J384" t="str">
        <f t="shared" si="23"/>
        <v>Large</v>
      </c>
    </row>
    <row r="385" spans="1:10" x14ac:dyDescent="0.25">
      <c r="A385" t="s">
        <v>23</v>
      </c>
      <c r="B385" t="s">
        <v>10</v>
      </c>
      <c r="C385" t="s">
        <v>57</v>
      </c>
      <c r="D385" s="1">
        <v>44617</v>
      </c>
      <c r="E385" s="2">
        <v>1540</v>
      </c>
      <c r="F385">
        <v>100</v>
      </c>
      <c r="G385" s="2">
        <f t="shared" si="20"/>
        <v>15.4</v>
      </c>
      <c r="H385" t="str">
        <f t="shared" si="21"/>
        <v>February</v>
      </c>
      <c r="I385" t="str">
        <f t="shared" si="22"/>
        <v>Q1</v>
      </c>
      <c r="J385" t="str">
        <f t="shared" si="23"/>
        <v>Large</v>
      </c>
    </row>
    <row r="386" spans="1:10" x14ac:dyDescent="0.25">
      <c r="A386" t="s">
        <v>19</v>
      </c>
      <c r="B386" t="s">
        <v>26</v>
      </c>
      <c r="C386" t="s">
        <v>30</v>
      </c>
      <c r="D386" s="1">
        <v>44684</v>
      </c>
      <c r="E386" s="2">
        <v>6916</v>
      </c>
      <c r="F386">
        <v>42</v>
      </c>
      <c r="G386" s="2">
        <f t="shared" si="20"/>
        <v>164.66666666666666</v>
      </c>
      <c r="H386" t="str">
        <f t="shared" si="21"/>
        <v>May</v>
      </c>
      <c r="I386" t="str">
        <f t="shared" si="22"/>
        <v>Q2</v>
      </c>
      <c r="J386" t="str">
        <f t="shared" si="23"/>
        <v>Large</v>
      </c>
    </row>
    <row r="387" spans="1:10" x14ac:dyDescent="0.25">
      <c r="A387" t="s">
        <v>36</v>
      </c>
      <c r="B387" t="s">
        <v>26</v>
      </c>
      <c r="C387" t="s">
        <v>42</v>
      </c>
      <c r="D387" s="1">
        <v>44726</v>
      </c>
      <c r="E387" s="2">
        <v>5509</v>
      </c>
      <c r="F387">
        <v>24</v>
      </c>
      <c r="G387" s="2">
        <f t="shared" ref="G387:G450" si="24">E387/F387</f>
        <v>229.54166666666666</v>
      </c>
      <c r="H387" t="str">
        <f t="shared" ref="H387:H450" si="25">TEXT(D387, "mmmm")</f>
        <v>June</v>
      </c>
      <c r="I387" t="str">
        <f t="shared" ref="I387:I450" si="26">"Q" &amp; ROUNDUP(MONTH(D387)/3,0)</f>
        <v>Q2</v>
      </c>
      <c r="J387" t="str">
        <f t="shared" ref="J387:J450" si="27">IF(E387 &gt; 500, "Large", "Small")</f>
        <v>Large</v>
      </c>
    </row>
    <row r="388" spans="1:10" x14ac:dyDescent="0.25">
      <c r="A388" t="s">
        <v>19</v>
      </c>
      <c r="B388" t="s">
        <v>10</v>
      </c>
      <c r="C388" t="s">
        <v>22</v>
      </c>
      <c r="D388" s="1">
        <v>44782</v>
      </c>
      <c r="E388" s="2">
        <v>12992</v>
      </c>
      <c r="F388">
        <v>83</v>
      </c>
      <c r="G388" s="2">
        <f t="shared" si="24"/>
        <v>156.53012048192772</v>
      </c>
      <c r="H388" t="str">
        <f t="shared" si="25"/>
        <v>August</v>
      </c>
      <c r="I388" t="str">
        <f t="shared" si="26"/>
        <v>Q3</v>
      </c>
      <c r="J388" t="str">
        <f t="shared" si="27"/>
        <v>Large</v>
      </c>
    </row>
    <row r="389" spans="1:10" x14ac:dyDescent="0.25">
      <c r="A389" t="s">
        <v>46</v>
      </c>
      <c r="B389" t="s">
        <v>21</v>
      </c>
      <c r="C389" t="s">
        <v>45</v>
      </c>
      <c r="D389" s="1">
        <v>44753</v>
      </c>
      <c r="E389" s="2">
        <v>3724</v>
      </c>
      <c r="F389">
        <v>234</v>
      </c>
      <c r="G389" s="2">
        <f t="shared" si="24"/>
        <v>15.914529914529915</v>
      </c>
      <c r="H389" t="str">
        <f t="shared" si="25"/>
        <v>July</v>
      </c>
      <c r="I389" t="str">
        <f t="shared" si="26"/>
        <v>Q3</v>
      </c>
      <c r="J389" t="str">
        <f t="shared" si="27"/>
        <v>Large</v>
      </c>
    </row>
    <row r="390" spans="1:10" x14ac:dyDescent="0.25">
      <c r="A390" t="s">
        <v>41</v>
      </c>
      <c r="B390" t="s">
        <v>7</v>
      </c>
      <c r="C390" t="s">
        <v>45</v>
      </c>
      <c r="D390" s="1">
        <v>44575</v>
      </c>
      <c r="E390" s="2">
        <v>7133</v>
      </c>
      <c r="F390">
        <v>118</v>
      </c>
      <c r="G390" s="2">
        <f t="shared" si="24"/>
        <v>60.449152542372879</v>
      </c>
      <c r="H390" t="str">
        <f t="shared" si="25"/>
        <v>January</v>
      </c>
      <c r="I390" t="str">
        <f t="shared" si="26"/>
        <v>Q1</v>
      </c>
      <c r="J390" t="str">
        <f t="shared" si="27"/>
        <v>Large</v>
      </c>
    </row>
    <row r="391" spans="1:10" x14ac:dyDescent="0.25">
      <c r="A391" t="s">
        <v>9</v>
      </c>
      <c r="B391" t="s">
        <v>29</v>
      </c>
      <c r="C391" t="s">
        <v>45</v>
      </c>
      <c r="D391" s="1">
        <v>44616</v>
      </c>
      <c r="E391" s="2">
        <v>8617</v>
      </c>
      <c r="F391">
        <v>46</v>
      </c>
      <c r="G391" s="2">
        <f t="shared" si="24"/>
        <v>187.32608695652175</v>
      </c>
      <c r="H391" t="str">
        <f t="shared" si="25"/>
        <v>February</v>
      </c>
      <c r="I391" t="str">
        <f t="shared" si="26"/>
        <v>Q1</v>
      </c>
      <c r="J391" t="str">
        <f t="shared" si="27"/>
        <v>Large</v>
      </c>
    </row>
    <row r="392" spans="1:10" x14ac:dyDescent="0.25">
      <c r="A392" t="s">
        <v>46</v>
      </c>
      <c r="B392" t="s">
        <v>21</v>
      </c>
      <c r="C392" t="s">
        <v>47</v>
      </c>
      <c r="D392" s="1">
        <v>44635</v>
      </c>
      <c r="E392" s="2">
        <v>9198</v>
      </c>
      <c r="F392">
        <v>144</v>
      </c>
      <c r="G392" s="2">
        <f t="shared" si="24"/>
        <v>63.875</v>
      </c>
      <c r="H392" t="str">
        <f t="shared" si="25"/>
        <v>March</v>
      </c>
      <c r="I392" t="str">
        <f t="shared" si="26"/>
        <v>Q1</v>
      </c>
      <c r="J392" t="str">
        <f t="shared" si="27"/>
        <v>Large</v>
      </c>
    </row>
    <row r="393" spans="1:10" x14ac:dyDescent="0.25">
      <c r="A393" t="s">
        <v>17</v>
      </c>
      <c r="B393" t="s">
        <v>21</v>
      </c>
      <c r="C393" t="s">
        <v>56</v>
      </c>
      <c r="D393" s="1">
        <v>44676</v>
      </c>
      <c r="E393" s="2">
        <v>11823</v>
      </c>
      <c r="F393">
        <v>47</v>
      </c>
      <c r="G393" s="2">
        <f t="shared" si="24"/>
        <v>251.55319148936169</v>
      </c>
      <c r="H393" t="str">
        <f t="shared" si="25"/>
        <v>April</v>
      </c>
      <c r="I393" t="str">
        <f t="shared" si="26"/>
        <v>Q2</v>
      </c>
      <c r="J393" t="str">
        <f t="shared" si="27"/>
        <v>Large</v>
      </c>
    </row>
    <row r="394" spans="1:10" x14ac:dyDescent="0.25">
      <c r="A394" t="s">
        <v>43</v>
      </c>
      <c r="B394" t="s">
        <v>15</v>
      </c>
      <c r="C394" t="s">
        <v>35</v>
      </c>
      <c r="D394" s="1">
        <v>44691</v>
      </c>
      <c r="E394" s="2">
        <v>5775</v>
      </c>
      <c r="F394">
        <v>41</v>
      </c>
      <c r="G394" s="2">
        <f t="shared" si="24"/>
        <v>140.85365853658536</v>
      </c>
      <c r="H394" t="str">
        <f t="shared" si="25"/>
        <v>May</v>
      </c>
      <c r="I394" t="str">
        <f t="shared" si="26"/>
        <v>Q2</v>
      </c>
      <c r="J394" t="str">
        <f t="shared" si="27"/>
        <v>Large</v>
      </c>
    </row>
    <row r="395" spans="1:10" x14ac:dyDescent="0.25">
      <c r="A395" t="s">
        <v>33</v>
      </c>
      <c r="B395" t="s">
        <v>15</v>
      </c>
      <c r="C395" t="s">
        <v>39</v>
      </c>
      <c r="D395" s="1">
        <v>44735</v>
      </c>
      <c r="E395" s="2">
        <v>13125</v>
      </c>
      <c r="F395">
        <v>275</v>
      </c>
      <c r="G395" s="2">
        <f t="shared" si="24"/>
        <v>47.727272727272727</v>
      </c>
      <c r="H395" t="str">
        <f t="shared" si="25"/>
        <v>June</v>
      </c>
      <c r="I395" t="str">
        <f t="shared" si="26"/>
        <v>Q2</v>
      </c>
      <c r="J395" t="str">
        <f t="shared" si="27"/>
        <v>Large</v>
      </c>
    </row>
    <row r="396" spans="1:10" x14ac:dyDescent="0.25">
      <c r="A396" t="s">
        <v>34</v>
      </c>
      <c r="B396" t="s">
        <v>29</v>
      </c>
      <c r="C396" t="s">
        <v>16</v>
      </c>
      <c r="D396" s="1">
        <v>44620</v>
      </c>
      <c r="E396" s="2">
        <v>14287</v>
      </c>
      <c r="F396">
        <v>370</v>
      </c>
      <c r="G396" s="2">
        <f t="shared" si="24"/>
        <v>38.61351351351351</v>
      </c>
      <c r="H396" t="str">
        <f t="shared" si="25"/>
        <v>February</v>
      </c>
      <c r="I396" t="str">
        <f t="shared" si="26"/>
        <v>Q1</v>
      </c>
      <c r="J396" t="str">
        <f t="shared" si="27"/>
        <v>Large</v>
      </c>
    </row>
    <row r="397" spans="1:10" x14ac:dyDescent="0.25">
      <c r="A397" t="s">
        <v>23</v>
      </c>
      <c r="B397" t="s">
        <v>26</v>
      </c>
      <c r="C397" t="s">
        <v>35</v>
      </c>
      <c r="D397" s="1">
        <v>44706</v>
      </c>
      <c r="E397" s="2">
        <v>16233</v>
      </c>
      <c r="F397">
        <v>138</v>
      </c>
      <c r="G397" s="2">
        <f t="shared" si="24"/>
        <v>117.6304347826087</v>
      </c>
      <c r="H397" t="str">
        <f t="shared" si="25"/>
        <v>May</v>
      </c>
      <c r="I397" t="str">
        <f t="shared" si="26"/>
        <v>Q2</v>
      </c>
      <c r="J397" t="str">
        <f t="shared" si="27"/>
        <v>Large</v>
      </c>
    </row>
    <row r="398" spans="1:10" x14ac:dyDescent="0.25">
      <c r="A398" t="s">
        <v>36</v>
      </c>
      <c r="B398" t="s">
        <v>21</v>
      </c>
      <c r="C398" t="s">
        <v>56</v>
      </c>
      <c r="D398" s="1">
        <v>44614</v>
      </c>
      <c r="E398" s="2">
        <v>5313</v>
      </c>
      <c r="F398">
        <v>215</v>
      </c>
      <c r="G398" s="2">
        <f t="shared" si="24"/>
        <v>24.711627906976744</v>
      </c>
      <c r="H398" t="str">
        <f t="shared" si="25"/>
        <v>February</v>
      </c>
      <c r="I398" t="str">
        <f t="shared" si="26"/>
        <v>Q1</v>
      </c>
      <c r="J398" t="str">
        <f t="shared" si="27"/>
        <v>Large</v>
      </c>
    </row>
    <row r="399" spans="1:10" x14ac:dyDescent="0.25">
      <c r="A399" t="s">
        <v>9</v>
      </c>
      <c r="B399" t="s">
        <v>7</v>
      </c>
      <c r="C399" t="s">
        <v>11</v>
      </c>
      <c r="D399" s="1">
        <v>44753</v>
      </c>
      <c r="E399" s="2">
        <v>3577</v>
      </c>
      <c r="F399">
        <v>134</v>
      </c>
      <c r="G399" s="2">
        <f t="shared" si="24"/>
        <v>26.694029850746269</v>
      </c>
      <c r="H399" t="str">
        <f t="shared" si="25"/>
        <v>July</v>
      </c>
      <c r="I399" t="str">
        <f t="shared" si="26"/>
        <v>Q3</v>
      </c>
      <c r="J399" t="str">
        <f t="shared" si="27"/>
        <v>Large</v>
      </c>
    </row>
    <row r="400" spans="1:10" x14ac:dyDescent="0.25">
      <c r="A400" t="s">
        <v>33</v>
      </c>
      <c r="B400" t="s">
        <v>29</v>
      </c>
      <c r="C400" t="s">
        <v>39</v>
      </c>
      <c r="D400" s="1">
        <v>44564</v>
      </c>
      <c r="E400" s="2">
        <v>3528</v>
      </c>
      <c r="F400">
        <v>336</v>
      </c>
      <c r="G400" s="2">
        <f t="shared" si="24"/>
        <v>10.5</v>
      </c>
      <c r="H400" t="str">
        <f t="shared" si="25"/>
        <v>January</v>
      </c>
      <c r="I400" t="str">
        <f t="shared" si="26"/>
        <v>Q1</v>
      </c>
      <c r="J400" t="str">
        <f t="shared" si="27"/>
        <v>Large</v>
      </c>
    </row>
    <row r="401" spans="1:10" x14ac:dyDescent="0.25">
      <c r="A401" t="s">
        <v>24</v>
      </c>
      <c r="B401" t="s">
        <v>21</v>
      </c>
      <c r="C401" t="s">
        <v>58</v>
      </c>
      <c r="D401" s="1">
        <v>44797</v>
      </c>
      <c r="E401" s="2">
        <v>679</v>
      </c>
      <c r="F401">
        <v>280</v>
      </c>
      <c r="G401" s="2">
        <f t="shared" si="24"/>
        <v>2.4249999999999998</v>
      </c>
      <c r="H401" t="str">
        <f t="shared" si="25"/>
        <v>August</v>
      </c>
      <c r="I401" t="str">
        <f t="shared" si="26"/>
        <v>Q3</v>
      </c>
      <c r="J401" t="str">
        <f t="shared" si="27"/>
        <v>Large</v>
      </c>
    </row>
    <row r="402" spans="1:10" x14ac:dyDescent="0.25">
      <c r="A402" t="s">
        <v>34</v>
      </c>
      <c r="B402" t="s">
        <v>26</v>
      </c>
      <c r="C402" t="s">
        <v>22</v>
      </c>
      <c r="D402" s="1">
        <v>44770</v>
      </c>
      <c r="E402" s="2">
        <v>2450</v>
      </c>
      <c r="F402">
        <v>352</v>
      </c>
      <c r="G402" s="2">
        <f t="shared" si="24"/>
        <v>6.9602272727272725</v>
      </c>
      <c r="H402" t="str">
        <f t="shared" si="25"/>
        <v>July</v>
      </c>
      <c r="I402" t="str">
        <f t="shared" si="26"/>
        <v>Q3</v>
      </c>
      <c r="J402" t="str">
        <f t="shared" si="27"/>
        <v>Large</v>
      </c>
    </row>
    <row r="403" spans="1:10" x14ac:dyDescent="0.25">
      <c r="A403" t="s">
        <v>23</v>
      </c>
      <c r="B403" t="s">
        <v>26</v>
      </c>
      <c r="C403" t="s">
        <v>8</v>
      </c>
      <c r="D403" s="1">
        <v>44706</v>
      </c>
      <c r="E403" s="2">
        <v>10577</v>
      </c>
      <c r="F403">
        <v>150</v>
      </c>
      <c r="G403" s="2">
        <f t="shared" si="24"/>
        <v>70.513333333333335</v>
      </c>
      <c r="H403" t="str">
        <f t="shared" si="25"/>
        <v>May</v>
      </c>
      <c r="I403" t="str">
        <f t="shared" si="26"/>
        <v>Q2</v>
      </c>
      <c r="J403" t="str">
        <f t="shared" si="27"/>
        <v>Large</v>
      </c>
    </row>
    <row r="404" spans="1:10" x14ac:dyDescent="0.25">
      <c r="A404" t="s">
        <v>31</v>
      </c>
      <c r="B404" t="s">
        <v>21</v>
      </c>
      <c r="C404" t="s">
        <v>30</v>
      </c>
      <c r="D404" s="1">
        <v>44687</v>
      </c>
      <c r="E404" s="2">
        <v>2597</v>
      </c>
      <c r="F404">
        <v>177</v>
      </c>
      <c r="G404" s="2">
        <f t="shared" si="24"/>
        <v>14.672316384180791</v>
      </c>
      <c r="H404" t="str">
        <f t="shared" si="25"/>
        <v>May</v>
      </c>
      <c r="I404" t="str">
        <f t="shared" si="26"/>
        <v>Q2</v>
      </c>
      <c r="J404" t="str">
        <f t="shared" si="27"/>
        <v>Large</v>
      </c>
    </row>
    <row r="405" spans="1:10" x14ac:dyDescent="0.25">
      <c r="A405" t="s">
        <v>25</v>
      </c>
      <c r="B405" t="s">
        <v>10</v>
      </c>
      <c r="C405" t="s">
        <v>32</v>
      </c>
      <c r="D405" s="1">
        <v>44589</v>
      </c>
      <c r="E405" s="2">
        <v>2219</v>
      </c>
      <c r="F405">
        <v>142</v>
      </c>
      <c r="G405" s="2">
        <f t="shared" si="24"/>
        <v>15.626760563380282</v>
      </c>
      <c r="H405" t="str">
        <f t="shared" si="25"/>
        <v>January</v>
      </c>
      <c r="I405" t="str">
        <f t="shared" si="26"/>
        <v>Q1</v>
      </c>
      <c r="J405" t="str">
        <f t="shared" si="27"/>
        <v>Large</v>
      </c>
    </row>
    <row r="406" spans="1:10" x14ac:dyDescent="0.25">
      <c r="A406" t="s">
        <v>33</v>
      </c>
      <c r="B406" t="s">
        <v>7</v>
      </c>
      <c r="C406" t="s">
        <v>27</v>
      </c>
      <c r="D406" s="1">
        <v>44718</v>
      </c>
      <c r="E406" s="2">
        <v>11319</v>
      </c>
      <c r="F406">
        <v>12</v>
      </c>
      <c r="G406" s="2">
        <f t="shared" si="24"/>
        <v>943.25</v>
      </c>
      <c r="H406" t="str">
        <f t="shared" si="25"/>
        <v>June</v>
      </c>
      <c r="I406" t="str">
        <f t="shared" si="26"/>
        <v>Q2</v>
      </c>
      <c r="J406" t="str">
        <f t="shared" si="27"/>
        <v>Large</v>
      </c>
    </row>
    <row r="407" spans="1:10" x14ac:dyDescent="0.25">
      <c r="A407" t="s">
        <v>23</v>
      </c>
      <c r="B407" t="s">
        <v>21</v>
      </c>
      <c r="C407" t="s">
        <v>56</v>
      </c>
      <c r="D407" s="1">
        <v>44754</v>
      </c>
      <c r="E407" s="2">
        <v>5978</v>
      </c>
      <c r="F407">
        <v>24</v>
      </c>
      <c r="G407" s="2">
        <f t="shared" si="24"/>
        <v>249.08333333333334</v>
      </c>
      <c r="H407" t="str">
        <f t="shared" si="25"/>
        <v>July</v>
      </c>
      <c r="I407" t="str">
        <f t="shared" si="26"/>
        <v>Q3</v>
      </c>
      <c r="J407" t="str">
        <f t="shared" si="27"/>
        <v>Large</v>
      </c>
    </row>
    <row r="408" spans="1:10" x14ac:dyDescent="0.25">
      <c r="A408" t="s">
        <v>55</v>
      </c>
      <c r="B408" t="s">
        <v>29</v>
      </c>
      <c r="C408" t="s">
        <v>39</v>
      </c>
      <c r="D408" s="1">
        <v>44778</v>
      </c>
      <c r="E408" s="2">
        <v>5327</v>
      </c>
      <c r="F408">
        <v>183</v>
      </c>
      <c r="G408" s="2">
        <f t="shared" si="24"/>
        <v>29.10928961748634</v>
      </c>
      <c r="H408" t="str">
        <f t="shared" si="25"/>
        <v>August</v>
      </c>
      <c r="I408" t="str">
        <f t="shared" si="26"/>
        <v>Q3</v>
      </c>
      <c r="J408" t="str">
        <f t="shared" si="27"/>
        <v>Large</v>
      </c>
    </row>
    <row r="409" spans="1:10" x14ac:dyDescent="0.25">
      <c r="A409" t="s">
        <v>23</v>
      </c>
      <c r="B409" t="s">
        <v>26</v>
      </c>
      <c r="C409" t="s">
        <v>27</v>
      </c>
      <c r="D409" s="1">
        <v>44589</v>
      </c>
      <c r="E409" s="2">
        <v>6020</v>
      </c>
      <c r="F409">
        <v>147</v>
      </c>
      <c r="G409" s="2">
        <f t="shared" si="24"/>
        <v>40.952380952380949</v>
      </c>
      <c r="H409" t="str">
        <f t="shared" si="25"/>
        <v>January</v>
      </c>
      <c r="I409" t="str">
        <f t="shared" si="26"/>
        <v>Q1</v>
      </c>
      <c r="J409" t="str">
        <f t="shared" si="27"/>
        <v>Large</v>
      </c>
    </row>
    <row r="410" spans="1:10" x14ac:dyDescent="0.25">
      <c r="A410" t="s">
        <v>41</v>
      </c>
      <c r="B410" t="s">
        <v>10</v>
      </c>
      <c r="C410" t="s">
        <v>39</v>
      </c>
      <c r="D410" s="1">
        <v>44804</v>
      </c>
      <c r="E410" s="2">
        <v>5614</v>
      </c>
      <c r="F410">
        <v>137</v>
      </c>
      <c r="G410" s="2">
        <f t="shared" si="24"/>
        <v>40.978102189781019</v>
      </c>
      <c r="H410" t="str">
        <f t="shared" si="25"/>
        <v>August</v>
      </c>
      <c r="I410" t="str">
        <f t="shared" si="26"/>
        <v>Q3</v>
      </c>
      <c r="J410" t="str">
        <f t="shared" si="27"/>
        <v>Large</v>
      </c>
    </row>
    <row r="411" spans="1:10" x14ac:dyDescent="0.25">
      <c r="A411" t="s">
        <v>28</v>
      </c>
      <c r="B411" t="s">
        <v>26</v>
      </c>
      <c r="C411" t="s">
        <v>22</v>
      </c>
      <c r="D411" s="1">
        <v>44670</v>
      </c>
      <c r="E411" s="2">
        <v>1736</v>
      </c>
      <c r="F411">
        <v>13</v>
      </c>
      <c r="G411" s="2">
        <f t="shared" si="24"/>
        <v>133.53846153846155</v>
      </c>
      <c r="H411" t="str">
        <f t="shared" si="25"/>
        <v>April</v>
      </c>
      <c r="I411" t="str">
        <f t="shared" si="26"/>
        <v>Q2</v>
      </c>
      <c r="J411" t="str">
        <f t="shared" si="27"/>
        <v>Large</v>
      </c>
    </row>
    <row r="412" spans="1:10" x14ac:dyDescent="0.25">
      <c r="A412" t="s">
        <v>28</v>
      </c>
      <c r="B412" t="s">
        <v>7</v>
      </c>
      <c r="C412" t="s">
        <v>8</v>
      </c>
      <c r="D412" s="1">
        <v>44741</v>
      </c>
      <c r="E412" s="2">
        <v>6384</v>
      </c>
      <c r="F412">
        <v>2</v>
      </c>
      <c r="G412" s="2">
        <f t="shared" si="24"/>
        <v>3192</v>
      </c>
      <c r="H412" t="str">
        <f t="shared" si="25"/>
        <v>June</v>
      </c>
      <c r="I412" t="str">
        <f t="shared" si="26"/>
        <v>Q2</v>
      </c>
      <c r="J412" t="str">
        <f t="shared" si="27"/>
        <v>Large</v>
      </c>
    </row>
    <row r="413" spans="1:10" x14ac:dyDescent="0.25">
      <c r="A413" t="s">
        <v>34</v>
      </c>
      <c r="B413" t="s">
        <v>10</v>
      </c>
      <c r="C413" t="s">
        <v>52</v>
      </c>
      <c r="D413" s="1">
        <v>44616</v>
      </c>
      <c r="E413" s="2">
        <v>3577</v>
      </c>
      <c r="F413">
        <v>261</v>
      </c>
      <c r="G413" s="2">
        <f t="shared" si="24"/>
        <v>13.704980842911878</v>
      </c>
      <c r="H413" t="str">
        <f t="shared" si="25"/>
        <v>February</v>
      </c>
      <c r="I413" t="str">
        <f t="shared" si="26"/>
        <v>Q1</v>
      </c>
      <c r="J413" t="str">
        <f t="shared" si="27"/>
        <v>Large</v>
      </c>
    </row>
    <row r="414" spans="1:10" x14ac:dyDescent="0.25">
      <c r="A414" t="s">
        <v>53</v>
      </c>
      <c r="B414" t="s">
        <v>7</v>
      </c>
      <c r="C414" t="s">
        <v>16</v>
      </c>
      <c r="D414" s="1">
        <v>44624</v>
      </c>
      <c r="E414" s="2">
        <v>14539</v>
      </c>
      <c r="F414">
        <v>84</v>
      </c>
      <c r="G414" s="2">
        <f t="shared" si="24"/>
        <v>173.08333333333334</v>
      </c>
      <c r="H414" t="str">
        <f t="shared" si="25"/>
        <v>March</v>
      </c>
      <c r="I414" t="str">
        <f t="shared" si="26"/>
        <v>Q1</v>
      </c>
      <c r="J414" t="str">
        <f t="shared" si="27"/>
        <v>Large</v>
      </c>
    </row>
    <row r="415" spans="1:10" x14ac:dyDescent="0.25">
      <c r="A415" t="s">
        <v>12</v>
      </c>
      <c r="B415" t="s">
        <v>10</v>
      </c>
      <c r="C415" t="s">
        <v>30</v>
      </c>
      <c r="D415" s="1">
        <v>44733</v>
      </c>
      <c r="E415" s="2">
        <v>3493</v>
      </c>
      <c r="F415">
        <v>68</v>
      </c>
      <c r="G415" s="2">
        <f t="shared" si="24"/>
        <v>51.367647058823529</v>
      </c>
      <c r="H415" t="str">
        <f t="shared" si="25"/>
        <v>June</v>
      </c>
      <c r="I415" t="str">
        <f t="shared" si="26"/>
        <v>Q2</v>
      </c>
      <c r="J415" t="str">
        <f t="shared" si="27"/>
        <v>Large</v>
      </c>
    </row>
    <row r="416" spans="1:10" x14ac:dyDescent="0.25">
      <c r="A416" t="s">
        <v>24</v>
      </c>
      <c r="B416" t="s">
        <v>15</v>
      </c>
      <c r="C416" t="s">
        <v>35</v>
      </c>
      <c r="D416" s="1">
        <v>44587</v>
      </c>
      <c r="E416" s="2">
        <v>994</v>
      </c>
      <c r="F416">
        <v>105</v>
      </c>
      <c r="G416" s="2">
        <f t="shared" si="24"/>
        <v>9.4666666666666668</v>
      </c>
      <c r="H416" t="str">
        <f t="shared" si="25"/>
        <v>January</v>
      </c>
      <c r="I416" t="str">
        <f t="shared" si="26"/>
        <v>Q1</v>
      </c>
      <c r="J416" t="str">
        <f t="shared" si="27"/>
        <v>Large</v>
      </c>
    </row>
    <row r="417" spans="1:10" x14ac:dyDescent="0.25">
      <c r="A417" t="s">
        <v>17</v>
      </c>
      <c r="B417" t="s">
        <v>21</v>
      </c>
      <c r="C417" t="s">
        <v>44</v>
      </c>
      <c r="D417" s="1">
        <v>44722</v>
      </c>
      <c r="E417" s="2">
        <v>4361</v>
      </c>
      <c r="F417">
        <v>40</v>
      </c>
      <c r="G417" s="2">
        <f t="shared" si="24"/>
        <v>109.02500000000001</v>
      </c>
      <c r="H417" t="str">
        <f t="shared" si="25"/>
        <v>June</v>
      </c>
      <c r="I417" t="str">
        <f t="shared" si="26"/>
        <v>Q2</v>
      </c>
      <c r="J417" t="str">
        <f t="shared" si="27"/>
        <v>Large</v>
      </c>
    </row>
    <row r="418" spans="1:10" x14ac:dyDescent="0.25">
      <c r="A418" t="s">
        <v>48</v>
      </c>
      <c r="B418" t="s">
        <v>7</v>
      </c>
      <c r="C418" t="s">
        <v>32</v>
      </c>
      <c r="D418" s="1">
        <v>44704</v>
      </c>
      <c r="E418" s="2">
        <v>1554</v>
      </c>
      <c r="F418">
        <v>65</v>
      </c>
      <c r="G418" s="2">
        <f t="shared" si="24"/>
        <v>23.907692307692308</v>
      </c>
      <c r="H418" t="str">
        <f t="shared" si="25"/>
        <v>May</v>
      </c>
      <c r="I418" t="str">
        <f t="shared" si="26"/>
        <v>Q2</v>
      </c>
      <c r="J418" t="str">
        <f t="shared" si="27"/>
        <v>Large</v>
      </c>
    </row>
    <row r="419" spans="1:10" x14ac:dyDescent="0.25">
      <c r="A419" t="s">
        <v>49</v>
      </c>
      <c r="B419" t="s">
        <v>10</v>
      </c>
      <c r="C419" t="s">
        <v>37</v>
      </c>
      <c r="D419" s="1">
        <v>44666</v>
      </c>
      <c r="E419" s="2">
        <v>966</v>
      </c>
      <c r="F419">
        <v>107</v>
      </c>
      <c r="G419" s="2">
        <f t="shared" si="24"/>
        <v>9.0280373831775709</v>
      </c>
      <c r="H419" t="str">
        <f t="shared" si="25"/>
        <v>April</v>
      </c>
      <c r="I419" t="str">
        <f t="shared" si="26"/>
        <v>Q2</v>
      </c>
      <c r="J419" t="str">
        <f t="shared" si="27"/>
        <v>Large</v>
      </c>
    </row>
    <row r="420" spans="1:10" x14ac:dyDescent="0.25">
      <c r="A420" t="s">
        <v>31</v>
      </c>
      <c r="B420" t="s">
        <v>21</v>
      </c>
      <c r="C420" t="s">
        <v>57</v>
      </c>
      <c r="D420" s="1">
        <v>44592</v>
      </c>
      <c r="E420" s="2">
        <v>5334</v>
      </c>
      <c r="F420">
        <v>227</v>
      </c>
      <c r="G420" s="2">
        <f t="shared" si="24"/>
        <v>23.497797356828194</v>
      </c>
      <c r="H420" t="str">
        <f t="shared" si="25"/>
        <v>January</v>
      </c>
      <c r="I420" t="str">
        <f t="shared" si="26"/>
        <v>Q1</v>
      </c>
      <c r="J420" t="str">
        <f t="shared" si="27"/>
        <v>Large</v>
      </c>
    </row>
    <row r="421" spans="1:10" x14ac:dyDescent="0.25">
      <c r="A421" t="s">
        <v>48</v>
      </c>
      <c r="B421" t="s">
        <v>21</v>
      </c>
      <c r="C421" t="s">
        <v>35</v>
      </c>
      <c r="D421" s="1">
        <v>44624</v>
      </c>
      <c r="E421" s="2">
        <v>4935</v>
      </c>
      <c r="F421">
        <v>39</v>
      </c>
      <c r="G421" s="2">
        <f t="shared" si="24"/>
        <v>126.53846153846153</v>
      </c>
      <c r="H421" t="str">
        <f t="shared" si="25"/>
        <v>March</v>
      </c>
      <c r="I421" t="str">
        <f t="shared" si="26"/>
        <v>Q1</v>
      </c>
      <c r="J421" t="str">
        <f t="shared" si="27"/>
        <v>Large</v>
      </c>
    </row>
    <row r="422" spans="1:10" x14ac:dyDescent="0.25">
      <c r="A422" t="s">
        <v>25</v>
      </c>
      <c r="B422" t="s">
        <v>21</v>
      </c>
      <c r="C422" t="s">
        <v>20</v>
      </c>
      <c r="D422" s="1">
        <v>44670</v>
      </c>
      <c r="E422" s="2">
        <v>10024</v>
      </c>
      <c r="F422">
        <v>84</v>
      </c>
      <c r="G422" s="2">
        <f t="shared" si="24"/>
        <v>119.33333333333333</v>
      </c>
      <c r="H422" t="str">
        <f t="shared" si="25"/>
        <v>April</v>
      </c>
      <c r="I422" t="str">
        <f t="shared" si="26"/>
        <v>Q2</v>
      </c>
      <c r="J422" t="str">
        <f t="shared" si="27"/>
        <v>Large</v>
      </c>
    </row>
    <row r="423" spans="1:10" x14ac:dyDescent="0.25">
      <c r="A423" t="s">
        <v>34</v>
      </c>
      <c r="B423" t="s">
        <v>7</v>
      </c>
      <c r="C423" t="s">
        <v>47</v>
      </c>
      <c r="D423" s="1">
        <v>44697</v>
      </c>
      <c r="E423" s="2">
        <v>2506</v>
      </c>
      <c r="F423">
        <v>100</v>
      </c>
      <c r="G423" s="2">
        <f t="shared" si="24"/>
        <v>25.06</v>
      </c>
      <c r="H423" t="str">
        <f t="shared" si="25"/>
        <v>May</v>
      </c>
      <c r="I423" t="str">
        <f t="shared" si="26"/>
        <v>Q2</v>
      </c>
      <c r="J423" t="str">
        <f t="shared" si="27"/>
        <v>Large</v>
      </c>
    </row>
    <row r="424" spans="1:10" x14ac:dyDescent="0.25">
      <c r="A424" t="s">
        <v>17</v>
      </c>
      <c r="B424" t="s">
        <v>15</v>
      </c>
      <c r="C424" t="s">
        <v>51</v>
      </c>
      <c r="D424" s="1">
        <v>44609</v>
      </c>
      <c r="E424" s="2">
        <v>1043</v>
      </c>
      <c r="F424">
        <v>120</v>
      </c>
      <c r="G424" s="2">
        <f t="shared" si="24"/>
        <v>8.6916666666666664</v>
      </c>
      <c r="H424" t="str">
        <f t="shared" si="25"/>
        <v>February</v>
      </c>
      <c r="I424" t="str">
        <f t="shared" si="26"/>
        <v>Q1</v>
      </c>
      <c r="J424" t="str">
        <f t="shared" si="27"/>
        <v>Large</v>
      </c>
    </row>
    <row r="425" spans="1:10" x14ac:dyDescent="0.25">
      <c r="A425" t="s">
        <v>43</v>
      </c>
      <c r="B425" t="s">
        <v>26</v>
      </c>
      <c r="C425" t="s">
        <v>51</v>
      </c>
      <c r="D425" s="1">
        <v>44579</v>
      </c>
      <c r="E425" s="2">
        <v>6524</v>
      </c>
      <c r="F425">
        <v>257</v>
      </c>
      <c r="G425" s="2">
        <f t="shared" si="24"/>
        <v>25.3852140077821</v>
      </c>
      <c r="H425" t="str">
        <f t="shared" si="25"/>
        <v>January</v>
      </c>
      <c r="I425" t="str">
        <f t="shared" si="26"/>
        <v>Q1</v>
      </c>
      <c r="J425" t="str">
        <f t="shared" si="27"/>
        <v>Large</v>
      </c>
    </row>
    <row r="426" spans="1:10" x14ac:dyDescent="0.25">
      <c r="A426" t="s">
        <v>36</v>
      </c>
      <c r="B426" t="s">
        <v>29</v>
      </c>
      <c r="C426" t="s">
        <v>27</v>
      </c>
      <c r="D426" s="1">
        <v>44601</v>
      </c>
      <c r="E426" s="2">
        <v>8148</v>
      </c>
      <c r="F426">
        <v>85</v>
      </c>
      <c r="G426" s="2">
        <f t="shared" si="24"/>
        <v>95.858823529411765</v>
      </c>
      <c r="H426" t="str">
        <f t="shared" si="25"/>
        <v>February</v>
      </c>
      <c r="I426" t="str">
        <f t="shared" si="26"/>
        <v>Q1</v>
      </c>
      <c r="J426" t="str">
        <f t="shared" si="27"/>
        <v>Large</v>
      </c>
    </row>
    <row r="427" spans="1:10" x14ac:dyDescent="0.25">
      <c r="A427" t="s">
        <v>28</v>
      </c>
      <c r="B427" t="s">
        <v>29</v>
      </c>
      <c r="C427" t="s">
        <v>27</v>
      </c>
      <c r="D427" s="1">
        <v>44643</v>
      </c>
      <c r="E427" s="2">
        <v>3577</v>
      </c>
      <c r="F427">
        <v>178</v>
      </c>
      <c r="G427" s="2">
        <f t="shared" si="24"/>
        <v>20.09550561797753</v>
      </c>
      <c r="H427" t="str">
        <f t="shared" si="25"/>
        <v>March</v>
      </c>
      <c r="I427" t="str">
        <f t="shared" si="26"/>
        <v>Q1</v>
      </c>
      <c r="J427" t="str">
        <f t="shared" si="27"/>
        <v>Large</v>
      </c>
    </row>
    <row r="428" spans="1:10" x14ac:dyDescent="0.25">
      <c r="A428" t="s">
        <v>53</v>
      </c>
      <c r="B428" t="s">
        <v>21</v>
      </c>
      <c r="C428" t="s">
        <v>57</v>
      </c>
      <c r="D428" s="1">
        <v>44593</v>
      </c>
      <c r="E428" s="2">
        <v>3374</v>
      </c>
      <c r="F428">
        <v>151</v>
      </c>
      <c r="G428" s="2">
        <f t="shared" si="24"/>
        <v>22.344370860927153</v>
      </c>
      <c r="H428" t="str">
        <f t="shared" si="25"/>
        <v>February</v>
      </c>
      <c r="I428" t="str">
        <f t="shared" si="26"/>
        <v>Q1</v>
      </c>
      <c r="J428" t="str">
        <f t="shared" si="27"/>
        <v>Large</v>
      </c>
    </row>
    <row r="429" spans="1:10" x14ac:dyDescent="0.25">
      <c r="A429" t="s">
        <v>28</v>
      </c>
      <c r="B429" t="s">
        <v>10</v>
      </c>
      <c r="C429" t="s">
        <v>32</v>
      </c>
      <c r="D429" s="1">
        <v>44627</v>
      </c>
      <c r="E429" s="2">
        <v>3948</v>
      </c>
      <c r="F429">
        <v>142</v>
      </c>
      <c r="G429" s="2">
        <f t="shared" si="24"/>
        <v>27.802816901408452</v>
      </c>
      <c r="H429" t="str">
        <f t="shared" si="25"/>
        <v>March</v>
      </c>
      <c r="I429" t="str">
        <f t="shared" si="26"/>
        <v>Q1</v>
      </c>
      <c r="J429" t="str">
        <f t="shared" si="27"/>
        <v>Large</v>
      </c>
    </row>
    <row r="430" spans="1:10" x14ac:dyDescent="0.25">
      <c r="A430" t="s">
        <v>55</v>
      </c>
      <c r="B430" t="s">
        <v>7</v>
      </c>
      <c r="C430" t="s">
        <v>44</v>
      </c>
      <c r="D430" s="1">
        <v>44564</v>
      </c>
      <c r="E430" s="2">
        <v>3269</v>
      </c>
      <c r="F430">
        <v>226</v>
      </c>
      <c r="G430" s="2">
        <f t="shared" si="24"/>
        <v>14.464601769911505</v>
      </c>
      <c r="H430" t="str">
        <f t="shared" si="25"/>
        <v>January</v>
      </c>
      <c r="I430" t="str">
        <f t="shared" si="26"/>
        <v>Q1</v>
      </c>
      <c r="J430" t="str">
        <f t="shared" si="27"/>
        <v>Large</v>
      </c>
    </row>
    <row r="431" spans="1:10" x14ac:dyDescent="0.25">
      <c r="A431" t="s">
        <v>55</v>
      </c>
      <c r="B431" t="s">
        <v>26</v>
      </c>
      <c r="C431" t="s">
        <v>44</v>
      </c>
      <c r="D431" s="1">
        <v>44603</v>
      </c>
      <c r="E431" s="2">
        <v>5271</v>
      </c>
      <c r="F431">
        <v>341</v>
      </c>
      <c r="G431" s="2">
        <f t="shared" si="24"/>
        <v>15.457478005865102</v>
      </c>
      <c r="H431" t="str">
        <f t="shared" si="25"/>
        <v>February</v>
      </c>
      <c r="I431" t="str">
        <f t="shared" si="26"/>
        <v>Q1</v>
      </c>
      <c r="J431" t="str">
        <f t="shared" si="27"/>
        <v>Large</v>
      </c>
    </row>
    <row r="432" spans="1:10" x14ac:dyDescent="0.25">
      <c r="A432" t="s">
        <v>43</v>
      </c>
      <c r="B432" t="s">
        <v>21</v>
      </c>
      <c r="C432" t="s">
        <v>27</v>
      </c>
      <c r="D432" s="1">
        <v>44636</v>
      </c>
      <c r="E432" s="2">
        <v>4571</v>
      </c>
      <c r="F432">
        <v>140</v>
      </c>
      <c r="G432" s="2">
        <f t="shared" si="24"/>
        <v>32.65</v>
      </c>
      <c r="H432" t="str">
        <f t="shared" si="25"/>
        <v>March</v>
      </c>
      <c r="I432" t="str">
        <f t="shared" si="26"/>
        <v>Q1</v>
      </c>
      <c r="J432" t="str">
        <f t="shared" si="27"/>
        <v>Large</v>
      </c>
    </row>
    <row r="433" spans="1:10" x14ac:dyDescent="0.25">
      <c r="A433" t="s">
        <v>54</v>
      </c>
      <c r="B433" t="s">
        <v>10</v>
      </c>
      <c r="C433" t="s">
        <v>44</v>
      </c>
      <c r="D433" s="1">
        <v>44788</v>
      </c>
      <c r="E433" s="2">
        <v>12327</v>
      </c>
      <c r="F433">
        <v>330</v>
      </c>
      <c r="G433" s="2">
        <f t="shared" si="24"/>
        <v>37.354545454545452</v>
      </c>
      <c r="H433" t="str">
        <f t="shared" si="25"/>
        <v>August</v>
      </c>
      <c r="I433" t="str">
        <f t="shared" si="26"/>
        <v>Q3</v>
      </c>
      <c r="J433" t="str">
        <f t="shared" si="27"/>
        <v>Large</v>
      </c>
    </row>
    <row r="434" spans="1:10" x14ac:dyDescent="0.25">
      <c r="A434" t="s">
        <v>12</v>
      </c>
      <c r="B434" t="s">
        <v>10</v>
      </c>
      <c r="C434" t="s">
        <v>45</v>
      </c>
      <c r="D434" s="1">
        <v>44693</v>
      </c>
      <c r="E434" s="2">
        <v>4935</v>
      </c>
      <c r="F434">
        <v>73</v>
      </c>
      <c r="G434" s="2">
        <f t="shared" si="24"/>
        <v>67.602739726027394</v>
      </c>
      <c r="H434" t="str">
        <f t="shared" si="25"/>
        <v>May</v>
      </c>
      <c r="I434" t="str">
        <f t="shared" si="26"/>
        <v>Q2</v>
      </c>
      <c r="J434" t="str">
        <f t="shared" si="27"/>
        <v>Large</v>
      </c>
    </row>
    <row r="435" spans="1:10" x14ac:dyDescent="0.25">
      <c r="A435" t="s">
        <v>9</v>
      </c>
      <c r="B435" t="s">
        <v>10</v>
      </c>
      <c r="C435" t="s">
        <v>39</v>
      </c>
      <c r="D435" s="1">
        <v>44662</v>
      </c>
      <c r="E435" s="2">
        <v>6167</v>
      </c>
      <c r="F435">
        <v>4</v>
      </c>
      <c r="G435" s="2">
        <f t="shared" si="24"/>
        <v>1541.75</v>
      </c>
      <c r="H435" t="str">
        <f t="shared" si="25"/>
        <v>April</v>
      </c>
      <c r="I435" t="str">
        <f t="shared" si="26"/>
        <v>Q2</v>
      </c>
      <c r="J435" t="str">
        <f t="shared" si="27"/>
        <v>Large</v>
      </c>
    </row>
    <row r="436" spans="1:10" x14ac:dyDescent="0.25">
      <c r="A436" t="s">
        <v>14</v>
      </c>
      <c r="B436" t="s">
        <v>21</v>
      </c>
      <c r="C436" t="s">
        <v>8</v>
      </c>
      <c r="D436" s="1">
        <v>44742</v>
      </c>
      <c r="E436" s="2">
        <v>18340</v>
      </c>
      <c r="F436">
        <v>285</v>
      </c>
      <c r="G436" s="2">
        <f t="shared" si="24"/>
        <v>64.350877192982452</v>
      </c>
      <c r="H436" t="str">
        <f t="shared" si="25"/>
        <v>June</v>
      </c>
      <c r="I436" t="str">
        <f t="shared" si="26"/>
        <v>Q2</v>
      </c>
      <c r="J436" t="str">
        <f t="shared" si="27"/>
        <v>Large</v>
      </c>
    </row>
    <row r="437" spans="1:10" x14ac:dyDescent="0.25">
      <c r="A437" t="s">
        <v>54</v>
      </c>
      <c r="B437" t="s">
        <v>21</v>
      </c>
      <c r="C437" t="s">
        <v>44</v>
      </c>
      <c r="D437" s="1">
        <v>44727</v>
      </c>
      <c r="E437" s="2">
        <v>7014</v>
      </c>
      <c r="F437">
        <v>60</v>
      </c>
      <c r="G437" s="2">
        <f t="shared" si="24"/>
        <v>116.9</v>
      </c>
      <c r="H437" t="str">
        <f t="shared" si="25"/>
        <v>June</v>
      </c>
      <c r="I437" t="str">
        <f t="shared" si="26"/>
        <v>Q2</v>
      </c>
      <c r="J437" t="str">
        <f t="shared" si="27"/>
        <v>Large</v>
      </c>
    </row>
    <row r="438" spans="1:10" x14ac:dyDescent="0.25">
      <c r="A438" t="s">
        <v>24</v>
      </c>
      <c r="B438" t="s">
        <v>29</v>
      </c>
      <c r="C438" t="s">
        <v>57</v>
      </c>
      <c r="D438" s="1">
        <v>44774</v>
      </c>
      <c r="E438" s="2">
        <v>7119</v>
      </c>
      <c r="F438">
        <v>101</v>
      </c>
      <c r="G438" s="2">
        <f t="shared" si="24"/>
        <v>70.485148514851488</v>
      </c>
      <c r="H438" t="str">
        <f t="shared" si="25"/>
        <v>August</v>
      </c>
      <c r="I438" t="str">
        <f t="shared" si="26"/>
        <v>Q3</v>
      </c>
      <c r="J438" t="str">
        <f t="shared" si="27"/>
        <v>Large</v>
      </c>
    </row>
    <row r="439" spans="1:10" x14ac:dyDescent="0.25">
      <c r="A439" t="s">
        <v>41</v>
      </c>
      <c r="B439" t="s">
        <v>26</v>
      </c>
      <c r="C439" t="s">
        <v>37</v>
      </c>
      <c r="D439" s="1">
        <v>44727</v>
      </c>
      <c r="E439" s="2">
        <v>15491</v>
      </c>
      <c r="F439">
        <v>58</v>
      </c>
      <c r="G439" s="2">
        <f t="shared" si="24"/>
        <v>267.08620689655174</v>
      </c>
      <c r="H439" t="str">
        <f t="shared" si="25"/>
        <v>June</v>
      </c>
      <c r="I439" t="str">
        <f t="shared" si="26"/>
        <v>Q2</v>
      </c>
      <c r="J439" t="str">
        <f t="shared" si="27"/>
        <v>Large</v>
      </c>
    </row>
    <row r="440" spans="1:10" x14ac:dyDescent="0.25">
      <c r="A440" t="s">
        <v>23</v>
      </c>
      <c r="B440" t="s">
        <v>10</v>
      </c>
      <c r="C440" t="s">
        <v>20</v>
      </c>
      <c r="D440" s="1">
        <v>44728</v>
      </c>
      <c r="E440" s="2">
        <v>5747</v>
      </c>
      <c r="F440">
        <v>45</v>
      </c>
      <c r="G440" s="2">
        <f t="shared" si="24"/>
        <v>127.71111111111111</v>
      </c>
      <c r="H440" t="str">
        <f t="shared" si="25"/>
        <v>June</v>
      </c>
      <c r="I440" t="str">
        <f t="shared" si="26"/>
        <v>Q2</v>
      </c>
      <c r="J440" t="str">
        <f t="shared" si="27"/>
        <v>Large</v>
      </c>
    </row>
    <row r="441" spans="1:10" x14ac:dyDescent="0.25">
      <c r="A441" t="s">
        <v>17</v>
      </c>
      <c r="B441" t="s">
        <v>21</v>
      </c>
      <c r="C441" t="s">
        <v>51</v>
      </c>
      <c r="D441" s="1">
        <v>44694</v>
      </c>
      <c r="E441" s="2">
        <v>4550</v>
      </c>
      <c r="F441">
        <v>281</v>
      </c>
      <c r="G441" s="2">
        <f t="shared" si="24"/>
        <v>16.192170818505339</v>
      </c>
      <c r="H441" t="str">
        <f t="shared" si="25"/>
        <v>May</v>
      </c>
      <c r="I441" t="str">
        <f t="shared" si="26"/>
        <v>Q2</v>
      </c>
      <c r="J441" t="str">
        <f t="shared" si="27"/>
        <v>Large</v>
      </c>
    </row>
    <row r="442" spans="1:10" x14ac:dyDescent="0.25">
      <c r="A442" t="s">
        <v>43</v>
      </c>
      <c r="B442" t="s">
        <v>26</v>
      </c>
      <c r="C442" t="s">
        <v>32</v>
      </c>
      <c r="D442" s="1">
        <v>44691</v>
      </c>
      <c r="E442" s="2">
        <v>2191</v>
      </c>
      <c r="F442">
        <v>138</v>
      </c>
      <c r="G442" s="2">
        <f t="shared" si="24"/>
        <v>15.876811594202898</v>
      </c>
      <c r="H442" t="str">
        <f t="shared" si="25"/>
        <v>May</v>
      </c>
      <c r="I442" t="str">
        <f t="shared" si="26"/>
        <v>Q2</v>
      </c>
      <c r="J442" t="str">
        <f t="shared" si="27"/>
        <v>Large</v>
      </c>
    </row>
    <row r="443" spans="1:10" x14ac:dyDescent="0.25">
      <c r="A443" t="s">
        <v>17</v>
      </c>
      <c r="B443" t="s">
        <v>10</v>
      </c>
      <c r="C443" t="s">
        <v>30</v>
      </c>
      <c r="D443" s="1">
        <v>44798</v>
      </c>
      <c r="E443" s="2">
        <v>5663</v>
      </c>
      <c r="F443">
        <v>322</v>
      </c>
      <c r="G443" s="2">
        <f t="shared" si="24"/>
        <v>17.586956521739129</v>
      </c>
      <c r="H443" t="str">
        <f t="shared" si="25"/>
        <v>August</v>
      </c>
      <c r="I443" t="str">
        <f t="shared" si="26"/>
        <v>Q3</v>
      </c>
      <c r="J443" t="str">
        <f t="shared" si="27"/>
        <v>Large</v>
      </c>
    </row>
    <row r="444" spans="1:10" x14ac:dyDescent="0.25">
      <c r="A444" t="s">
        <v>55</v>
      </c>
      <c r="B444" t="s">
        <v>21</v>
      </c>
      <c r="C444" t="s">
        <v>35</v>
      </c>
      <c r="D444" s="1">
        <v>44757</v>
      </c>
      <c r="E444" s="2">
        <v>7623</v>
      </c>
      <c r="F444">
        <v>85</v>
      </c>
      <c r="G444" s="2">
        <f t="shared" si="24"/>
        <v>89.682352941176475</v>
      </c>
      <c r="H444" t="str">
        <f t="shared" si="25"/>
        <v>July</v>
      </c>
      <c r="I444" t="str">
        <f t="shared" si="26"/>
        <v>Q3</v>
      </c>
      <c r="J444" t="str">
        <f t="shared" si="27"/>
        <v>Large</v>
      </c>
    </row>
    <row r="445" spans="1:10" x14ac:dyDescent="0.25">
      <c r="A445" t="s">
        <v>12</v>
      </c>
      <c r="B445" t="s">
        <v>7</v>
      </c>
      <c r="C445" t="s">
        <v>56</v>
      </c>
      <c r="D445" s="1">
        <v>44697</v>
      </c>
      <c r="E445" s="2">
        <v>9023</v>
      </c>
      <c r="F445">
        <v>409</v>
      </c>
      <c r="G445" s="2">
        <f t="shared" si="24"/>
        <v>22.061124694376527</v>
      </c>
      <c r="H445" t="str">
        <f t="shared" si="25"/>
        <v>May</v>
      </c>
      <c r="I445" t="str">
        <f t="shared" si="26"/>
        <v>Q2</v>
      </c>
      <c r="J445" t="str">
        <f t="shared" si="27"/>
        <v>Large</v>
      </c>
    </row>
    <row r="446" spans="1:10" x14ac:dyDescent="0.25">
      <c r="A446" t="s">
        <v>14</v>
      </c>
      <c r="B446" t="s">
        <v>15</v>
      </c>
      <c r="C446" t="s">
        <v>22</v>
      </c>
      <c r="D446" s="1">
        <v>44726</v>
      </c>
      <c r="E446" s="2">
        <v>3402</v>
      </c>
      <c r="F446">
        <v>182</v>
      </c>
      <c r="G446" s="2">
        <f t="shared" si="24"/>
        <v>18.692307692307693</v>
      </c>
      <c r="H446" t="str">
        <f t="shared" si="25"/>
        <v>June</v>
      </c>
      <c r="I446" t="str">
        <f t="shared" si="26"/>
        <v>Q2</v>
      </c>
      <c r="J446" t="str">
        <f t="shared" si="27"/>
        <v>Large</v>
      </c>
    </row>
    <row r="447" spans="1:10" x14ac:dyDescent="0.25">
      <c r="A447" t="s">
        <v>34</v>
      </c>
      <c r="B447" t="s">
        <v>15</v>
      </c>
      <c r="C447" t="s">
        <v>16</v>
      </c>
      <c r="D447" s="1">
        <v>44586</v>
      </c>
      <c r="E447" s="2">
        <v>10507</v>
      </c>
      <c r="F447">
        <v>467</v>
      </c>
      <c r="G447" s="2">
        <f t="shared" si="24"/>
        <v>22.498929336188436</v>
      </c>
      <c r="H447" t="str">
        <f t="shared" si="25"/>
        <v>January</v>
      </c>
      <c r="I447" t="str">
        <f t="shared" si="26"/>
        <v>Q1</v>
      </c>
      <c r="J447" t="str">
        <f t="shared" si="27"/>
        <v>Large</v>
      </c>
    </row>
    <row r="448" spans="1:10" x14ac:dyDescent="0.25">
      <c r="A448" t="s">
        <v>55</v>
      </c>
      <c r="B448" t="s">
        <v>26</v>
      </c>
      <c r="C448" t="s">
        <v>35</v>
      </c>
      <c r="D448" s="1">
        <v>44770</v>
      </c>
      <c r="E448" s="2">
        <v>7721</v>
      </c>
      <c r="F448">
        <v>14</v>
      </c>
      <c r="G448" s="2">
        <f t="shared" si="24"/>
        <v>551.5</v>
      </c>
      <c r="H448" t="str">
        <f t="shared" si="25"/>
        <v>July</v>
      </c>
      <c r="I448" t="str">
        <f t="shared" si="26"/>
        <v>Q3</v>
      </c>
      <c r="J448" t="str">
        <f t="shared" si="27"/>
        <v>Large</v>
      </c>
    </row>
    <row r="449" spans="1:10" x14ac:dyDescent="0.25">
      <c r="A449" t="s">
        <v>23</v>
      </c>
      <c r="B449" t="s">
        <v>29</v>
      </c>
      <c r="C449" t="s">
        <v>8</v>
      </c>
      <c r="D449" s="1">
        <v>44589</v>
      </c>
      <c r="E449" s="2">
        <v>5033</v>
      </c>
      <c r="F449">
        <v>178</v>
      </c>
      <c r="G449" s="2">
        <f t="shared" si="24"/>
        <v>28.275280898876403</v>
      </c>
      <c r="H449" t="str">
        <f t="shared" si="25"/>
        <v>January</v>
      </c>
      <c r="I449" t="str">
        <f t="shared" si="26"/>
        <v>Q1</v>
      </c>
      <c r="J449" t="str">
        <f t="shared" si="27"/>
        <v>Large</v>
      </c>
    </row>
    <row r="450" spans="1:10" x14ac:dyDescent="0.25">
      <c r="A450" t="s">
        <v>41</v>
      </c>
      <c r="B450" t="s">
        <v>7</v>
      </c>
      <c r="C450" t="s">
        <v>27</v>
      </c>
      <c r="D450" s="1">
        <v>44741</v>
      </c>
      <c r="E450" s="2">
        <v>1960</v>
      </c>
      <c r="F450">
        <v>191</v>
      </c>
      <c r="G450" s="2">
        <f t="shared" si="24"/>
        <v>10.261780104712042</v>
      </c>
      <c r="H450" t="str">
        <f t="shared" si="25"/>
        <v>June</v>
      </c>
      <c r="I450" t="str">
        <f t="shared" si="26"/>
        <v>Q2</v>
      </c>
      <c r="J450" t="str">
        <f t="shared" si="27"/>
        <v>Large</v>
      </c>
    </row>
    <row r="451" spans="1:10" x14ac:dyDescent="0.25">
      <c r="A451" t="s">
        <v>31</v>
      </c>
      <c r="B451" t="s">
        <v>15</v>
      </c>
      <c r="C451" t="s">
        <v>58</v>
      </c>
      <c r="D451" s="1">
        <v>44736</v>
      </c>
      <c r="E451" s="2">
        <v>238</v>
      </c>
      <c r="F451">
        <v>317</v>
      </c>
      <c r="G451" s="2">
        <f t="shared" ref="G451:G514" si="28">E451/F451</f>
        <v>0.75078864353312302</v>
      </c>
      <c r="H451" t="str">
        <f t="shared" ref="H451:H514" si="29">TEXT(D451, "mmmm")</f>
        <v>June</v>
      </c>
      <c r="I451" t="str">
        <f t="shared" ref="I451:I514" si="30">"Q" &amp; ROUNDUP(MONTH(D451)/3,0)</f>
        <v>Q2</v>
      </c>
      <c r="J451" t="str">
        <f t="shared" ref="J451:J514" si="31">IF(E451 &gt; 500, "Large", "Small")</f>
        <v>Small</v>
      </c>
    </row>
    <row r="452" spans="1:10" x14ac:dyDescent="0.25">
      <c r="A452" t="s">
        <v>19</v>
      </c>
      <c r="B452" t="s">
        <v>29</v>
      </c>
      <c r="C452" t="s">
        <v>8</v>
      </c>
      <c r="D452" s="1">
        <v>44743</v>
      </c>
      <c r="E452" s="2">
        <v>7756</v>
      </c>
      <c r="F452">
        <v>410</v>
      </c>
      <c r="G452" s="2">
        <f t="shared" si="28"/>
        <v>18.917073170731708</v>
      </c>
      <c r="H452" t="str">
        <f t="shared" si="29"/>
        <v>July</v>
      </c>
      <c r="I452" t="str">
        <f t="shared" si="30"/>
        <v>Q3</v>
      </c>
      <c r="J452" t="str">
        <f t="shared" si="31"/>
        <v>Large</v>
      </c>
    </row>
    <row r="453" spans="1:10" x14ac:dyDescent="0.25">
      <c r="A453" t="s">
        <v>36</v>
      </c>
      <c r="B453" t="s">
        <v>26</v>
      </c>
      <c r="C453" t="s">
        <v>13</v>
      </c>
      <c r="D453" s="1">
        <v>44617</v>
      </c>
      <c r="E453" s="2">
        <v>1736</v>
      </c>
      <c r="F453">
        <v>137</v>
      </c>
      <c r="G453" s="2">
        <f t="shared" si="28"/>
        <v>12.671532846715328</v>
      </c>
      <c r="H453" t="str">
        <f t="shared" si="29"/>
        <v>February</v>
      </c>
      <c r="I453" t="str">
        <f t="shared" si="30"/>
        <v>Q1</v>
      </c>
      <c r="J453" t="str">
        <f t="shared" si="31"/>
        <v>Large</v>
      </c>
    </row>
    <row r="454" spans="1:10" x14ac:dyDescent="0.25">
      <c r="A454" t="s">
        <v>38</v>
      </c>
      <c r="B454" t="s">
        <v>29</v>
      </c>
      <c r="C454" t="s">
        <v>16</v>
      </c>
      <c r="D454" s="1">
        <v>44774</v>
      </c>
      <c r="E454" s="2">
        <v>2660</v>
      </c>
      <c r="F454">
        <v>12</v>
      </c>
      <c r="G454" s="2">
        <f t="shared" si="28"/>
        <v>221.66666666666666</v>
      </c>
      <c r="H454" t="str">
        <f t="shared" si="29"/>
        <v>August</v>
      </c>
      <c r="I454" t="str">
        <f t="shared" si="30"/>
        <v>Q3</v>
      </c>
      <c r="J454" t="str">
        <f t="shared" si="31"/>
        <v>Large</v>
      </c>
    </row>
    <row r="455" spans="1:10" x14ac:dyDescent="0.25">
      <c r="A455" t="s">
        <v>17</v>
      </c>
      <c r="B455" t="s">
        <v>15</v>
      </c>
      <c r="C455" t="s">
        <v>37</v>
      </c>
      <c r="D455" s="1">
        <v>44733</v>
      </c>
      <c r="E455" s="2">
        <v>7672</v>
      </c>
      <c r="F455">
        <v>254</v>
      </c>
      <c r="G455" s="2">
        <f t="shared" si="28"/>
        <v>30.204724409448819</v>
      </c>
      <c r="H455" t="str">
        <f t="shared" si="29"/>
        <v>June</v>
      </c>
      <c r="I455" t="str">
        <f t="shared" si="30"/>
        <v>Q2</v>
      </c>
      <c r="J455" t="str">
        <f t="shared" si="31"/>
        <v>Large</v>
      </c>
    </row>
    <row r="456" spans="1:10" x14ac:dyDescent="0.25">
      <c r="A456" t="s">
        <v>50</v>
      </c>
      <c r="B456" t="s">
        <v>21</v>
      </c>
      <c r="C456" t="s">
        <v>39</v>
      </c>
      <c r="D456" s="1">
        <v>44586</v>
      </c>
      <c r="E456" s="2">
        <v>11564</v>
      </c>
      <c r="F456">
        <v>24</v>
      </c>
      <c r="G456" s="2">
        <f t="shared" si="28"/>
        <v>481.83333333333331</v>
      </c>
      <c r="H456" t="str">
        <f t="shared" si="29"/>
        <v>January</v>
      </c>
      <c r="I456" t="str">
        <f t="shared" si="30"/>
        <v>Q1</v>
      </c>
      <c r="J456" t="str">
        <f t="shared" si="31"/>
        <v>Large</v>
      </c>
    </row>
    <row r="457" spans="1:10" x14ac:dyDescent="0.25">
      <c r="A457" t="s">
        <v>12</v>
      </c>
      <c r="B457" t="s">
        <v>7</v>
      </c>
      <c r="C457" t="s">
        <v>37</v>
      </c>
      <c r="D457" s="1">
        <v>44698</v>
      </c>
      <c r="E457" s="2">
        <v>1365</v>
      </c>
      <c r="F457">
        <v>232</v>
      </c>
      <c r="G457" s="2">
        <f t="shared" si="28"/>
        <v>5.8836206896551726</v>
      </c>
      <c r="H457" t="str">
        <f t="shared" si="29"/>
        <v>May</v>
      </c>
      <c r="I457" t="str">
        <f t="shared" si="30"/>
        <v>Q2</v>
      </c>
      <c r="J457" t="str">
        <f t="shared" si="31"/>
        <v>Large</v>
      </c>
    </row>
    <row r="458" spans="1:10" x14ac:dyDescent="0.25">
      <c r="A458" t="s">
        <v>48</v>
      </c>
      <c r="B458" t="s">
        <v>15</v>
      </c>
      <c r="C458" t="s">
        <v>11</v>
      </c>
      <c r="D458" s="1">
        <v>44796</v>
      </c>
      <c r="E458" s="2">
        <v>4186</v>
      </c>
      <c r="F458">
        <v>233</v>
      </c>
      <c r="G458" s="2">
        <f t="shared" si="28"/>
        <v>17.965665236051503</v>
      </c>
      <c r="H458" t="str">
        <f t="shared" si="29"/>
        <v>August</v>
      </c>
      <c r="I458" t="str">
        <f t="shared" si="30"/>
        <v>Q3</v>
      </c>
      <c r="J458" t="str">
        <f t="shared" si="31"/>
        <v>Large</v>
      </c>
    </row>
    <row r="459" spans="1:10" x14ac:dyDescent="0.25">
      <c r="A459" t="s">
        <v>50</v>
      </c>
      <c r="B459" t="s">
        <v>15</v>
      </c>
      <c r="C459" t="s">
        <v>16</v>
      </c>
      <c r="D459" s="1">
        <v>44623</v>
      </c>
      <c r="E459" s="2">
        <v>7406</v>
      </c>
      <c r="F459">
        <v>118</v>
      </c>
      <c r="G459" s="2">
        <f t="shared" si="28"/>
        <v>62.762711864406782</v>
      </c>
      <c r="H459" t="str">
        <f t="shared" si="29"/>
        <v>March</v>
      </c>
      <c r="I459" t="str">
        <f t="shared" si="30"/>
        <v>Q1</v>
      </c>
      <c r="J459" t="str">
        <f t="shared" si="31"/>
        <v>Large</v>
      </c>
    </row>
    <row r="460" spans="1:10" x14ac:dyDescent="0.25">
      <c r="A460" t="s">
        <v>36</v>
      </c>
      <c r="B460" t="s">
        <v>10</v>
      </c>
      <c r="C460" t="s">
        <v>57</v>
      </c>
      <c r="D460" s="1">
        <v>44711</v>
      </c>
      <c r="E460" s="2">
        <v>8911</v>
      </c>
      <c r="F460">
        <v>543</v>
      </c>
      <c r="G460" s="2">
        <f t="shared" si="28"/>
        <v>16.410681399631677</v>
      </c>
      <c r="H460" t="str">
        <f t="shared" si="29"/>
        <v>May</v>
      </c>
      <c r="I460" t="str">
        <f t="shared" si="30"/>
        <v>Q2</v>
      </c>
      <c r="J460" t="str">
        <f t="shared" si="31"/>
        <v>Large</v>
      </c>
    </row>
    <row r="461" spans="1:10" x14ac:dyDescent="0.25">
      <c r="A461" t="s">
        <v>31</v>
      </c>
      <c r="B461" t="s">
        <v>26</v>
      </c>
      <c r="C461" t="s">
        <v>32</v>
      </c>
      <c r="D461" s="1">
        <v>44741</v>
      </c>
      <c r="E461" s="2">
        <v>112</v>
      </c>
      <c r="F461">
        <v>223</v>
      </c>
      <c r="G461" s="2">
        <f t="shared" si="28"/>
        <v>0.50224215246636772</v>
      </c>
      <c r="H461" t="str">
        <f t="shared" si="29"/>
        <v>June</v>
      </c>
      <c r="I461" t="str">
        <f t="shared" si="30"/>
        <v>Q2</v>
      </c>
      <c r="J461" t="str">
        <f t="shared" si="31"/>
        <v>Small</v>
      </c>
    </row>
    <row r="462" spans="1:10" x14ac:dyDescent="0.25">
      <c r="A462" t="s">
        <v>48</v>
      </c>
      <c r="B462" t="s">
        <v>29</v>
      </c>
      <c r="C462" t="s">
        <v>35</v>
      </c>
      <c r="D462" s="1">
        <v>44565</v>
      </c>
      <c r="E462" s="2">
        <v>8204</v>
      </c>
      <c r="F462">
        <v>204</v>
      </c>
      <c r="G462" s="2">
        <f t="shared" si="28"/>
        <v>40.215686274509807</v>
      </c>
      <c r="H462" t="str">
        <f t="shared" si="29"/>
        <v>January</v>
      </c>
      <c r="I462" t="str">
        <f t="shared" si="30"/>
        <v>Q1</v>
      </c>
      <c r="J462" t="str">
        <f t="shared" si="31"/>
        <v>Large</v>
      </c>
    </row>
    <row r="463" spans="1:10" x14ac:dyDescent="0.25">
      <c r="A463" t="s">
        <v>6</v>
      </c>
      <c r="B463" t="s">
        <v>15</v>
      </c>
      <c r="C463" t="s">
        <v>32</v>
      </c>
      <c r="D463" s="1">
        <v>44575</v>
      </c>
      <c r="E463" s="2">
        <v>2611</v>
      </c>
      <c r="F463">
        <v>65</v>
      </c>
      <c r="G463" s="2">
        <f t="shared" si="28"/>
        <v>40.169230769230772</v>
      </c>
      <c r="H463" t="str">
        <f t="shared" si="29"/>
        <v>January</v>
      </c>
      <c r="I463" t="str">
        <f t="shared" si="30"/>
        <v>Q1</v>
      </c>
      <c r="J463" t="str">
        <f t="shared" si="31"/>
        <v>Large</v>
      </c>
    </row>
    <row r="464" spans="1:10" x14ac:dyDescent="0.25">
      <c r="A464" t="s">
        <v>31</v>
      </c>
      <c r="B464" t="s">
        <v>26</v>
      </c>
      <c r="C464" t="s">
        <v>8</v>
      </c>
      <c r="D464" s="1">
        <v>44607</v>
      </c>
      <c r="E464" s="2">
        <v>15652</v>
      </c>
      <c r="F464">
        <v>53</v>
      </c>
      <c r="G464" s="2">
        <f t="shared" si="28"/>
        <v>295.32075471698113</v>
      </c>
      <c r="H464" t="str">
        <f t="shared" si="29"/>
        <v>February</v>
      </c>
      <c r="I464" t="str">
        <f t="shared" si="30"/>
        <v>Q1</v>
      </c>
      <c r="J464" t="str">
        <f t="shared" si="31"/>
        <v>Large</v>
      </c>
    </row>
    <row r="465" spans="1:10" x14ac:dyDescent="0.25">
      <c r="A465" t="s">
        <v>38</v>
      </c>
      <c r="B465" t="s">
        <v>21</v>
      </c>
      <c r="C465" t="s">
        <v>39</v>
      </c>
      <c r="D465" s="1">
        <v>44571</v>
      </c>
      <c r="E465" s="2">
        <v>4074</v>
      </c>
      <c r="F465">
        <v>469</v>
      </c>
      <c r="G465" s="2">
        <f t="shared" si="28"/>
        <v>8.6865671641791042</v>
      </c>
      <c r="H465" t="str">
        <f t="shared" si="29"/>
        <v>January</v>
      </c>
      <c r="I465" t="str">
        <f t="shared" si="30"/>
        <v>Q1</v>
      </c>
      <c r="J465" t="str">
        <f t="shared" si="31"/>
        <v>Large</v>
      </c>
    </row>
    <row r="466" spans="1:10" x14ac:dyDescent="0.25">
      <c r="A466" t="s">
        <v>53</v>
      </c>
      <c r="B466" t="s">
        <v>26</v>
      </c>
      <c r="C466" t="s">
        <v>44</v>
      </c>
      <c r="D466" s="1">
        <v>44685</v>
      </c>
      <c r="E466" s="2">
        <v>12250</v>
      </c>
      <c r="F466">
        <v>213</v>
      </c>
      <c r="G466" s="2">
        <f t="shared" si="28"/>
        <v>57.51173708920188</v>
      </c>
      <c r="H466" t="str">
        <f t="shared" si="29"/>
        <v>May</v>
      </c>
      <c r="I466" t="str">
        <f t="shared" si="30"/>
        <v>Q2</v>
      </c>
      <c r="J466" t="str">
        <f t="shared" si="31"/>
        <v>Large</v>
      </c>
    </row>
    <row r="467" spans="1:10" x14ac:dyDescent="0.25">
      <c r="A467" t="s">
        <v>48</v>
      </c>
      <c r="B467" t="s">
        <v>26</v>
      </c>
      <c r="C467" t="s">
        <v>39</v>
      </c>
      <c r="D467" s="1">
        <v>44704</v>
      </c>
      <c r="E467" s="2">
        <v>2366</v>
      </c>
      <c r="F467">
        <v>5</v>
      </c>
      <c r="G467" s="2">
        <f t="shared" si="28"/>
        <v>473.2</v>
      </c>
      <c r="H467" t="str">
        <f t="shared" si="29"/>
        <v>May</v>
      </c>
      <c r="I467" t="str">
        <f t="shared" si="30"/>
        <v>Q2</v>
      </c>
      <c r="J467" t="str">
        <f t="shared" si="31"/>
        <v>Large</v>
      </c>
    </row>
    <row r="468" spans="1:10" x14ac:dyDescent="0.25">
      <c r="A468" t="s">
        <v>25</v>
      </c>
      <c r="B468" t="s">
        <v>21</v>
      </c>
      <c r="C468" t="s">
        <v>42</v>
      </c>
      <c r="D468" s="1">
        <v>44677</v>
      </c>
      <c r="E468" s="2">
        <v>1687</v>
      </c>
      <c r="F468">
        <v>147</v>
      </c>
      <c r="G468" s="2">
        <f t="shared" si="28"/>
        <v>11.476190476190476</v>
      </c>
      <c r="H468" t="str">
        <f t="shared" si="29"/>
        <v>April</v>
      </c>
      <c r="I468" t="str">
        <f t="shared" si="30"/>
        <v>Q2</v>
      </c>
      <c r="J468" t="str">
        <f t="shared" si="31"/>
        <v>Large</v>
      </c>
    </row>
    <row r="469" spans="1:10" x14ac:dyDescent="0.25">
      <c r="A469" t="s">
        <v>17</v>
      </c>
      <c r="B469" t="s">
        <v>29</v>
      </c>
      <c r="C469" t="s">
        <v>35</v>
      </c>
      <c r="D469" s="1">
        <v>44747</v>
      </c>
      <c r="E469" s="2">
        <v>1232</v>
      </c>
      <c r="F469">
        <v>74</v>
      </c>
      <c r="G469" s="2">
        <f t="shared" si="28"/>
        <v>16.648648648648649</v>
      </c>
      <c r="H469" t="str">
        <f t="shared" si="29"/>
        <v>July</v>
      </c>
      <c r="I469" t="str">
        <f t="shared" si="30"/>
        <v>Q3</v>
      </c>
      <c r="J469" t="str">
        <f t="shared" si="31"/>
        <v>Large</v>
      </c>
    </row>
    <row r="470" spans="1:10" x14ac:dyDescent="0.25">
      <c r="A470" t="s">
        <v>53</v>
      </c>
      <c r="B470" t="s">
        <v>7</v>
      </c>
      <c r="C470" t="s">
        <v>35</v>
      </c>
      <c r="D470" s="1">
        <v>44763</v>
      </c>
      <c r="E470" s="2">
        <v>6965</v>
      </c>
      <c r="F470">
        <v>163</v>
      </c>
      <c r="G470" s="2">
        <f t="shared" si="28"/>
        <v>42.730061349693251</v>
      </c>
      <c r="H470" t="str">
        <f t="shared" si="29"/>
        <v>July</v>
      </c>
      <c r="I470" t="str">
        <f t="shared" si="30"/>
        <v>Q3</v>
      </c>
      <c r="J470" t="str">
        <f t="shared" si="31"/>
        <v>Large</v>
      </c>
    </row>
    <row r="471" spans="1:10" x14ac:dyDescent="0.25">
      <c r="A471" t="s">
        <v>54</v>
      </c>
      <c r="B471" t="s">
        <v>26</v>
      </c>
      <c r="C471" t="s">
        <v>8</v>
      </c>
      <c r="D471" s="1">
        <v>44613</v>
      </c>
      <c r="E471" s="2">
        <v>5292</v>
      </c>
      <c r="F471">
        <v>248</v>
      </c>
      <c r="G471" s="2">
        <f t="shared" si="28"/>
        <v>21.338709677419356</v>
      </c>
      <c r="H471" t="str">
        <f t="shared" si="29"/>
        <v>February</v>
      </c>
      <c r="I471" t="str">
        <f t="shared" si="30"/>
        <v>Q1</v>
      </c>
      <c r="J471" t="str">
        <f t="shared" si="31"/>
        <v>Large</v>
      </c>
    </row>
    <row r="472" spans="1:10" x14ac:dyDescent="0.25">
      <c r="A472" t="s">
        <v>49</v>
      </c>
      <c r="B472" t="s">
        <v>26</v>
      </c>
      <c r="C472" t="s">
        <v>27</v>
      </c>
      <c r="D472" s="1">
        <v>44595</v>
      </c>
      <c r="E472" s="2">
        <v>1379</v>
      </c>
      <c r="F472">
        <v>138</v>
      </c>
      <c r="G472" s="2">
        <f t="shared" si="28"/>
        <v>9.9927536231884062</v>
      </c>
      <c r="H472" t="str">
        <f t="shared" si="29"/>
        <v>February</v>
      </c>
      <c r="I472" t="str">
        <f t="shared" si="30"/>
        <v>Q1</v>
      </c>
      <c r="J472" t="str">
        <f t="shared" si="31"/>
        <v>Large</v>
      </c>
    </row>
    <row r="473" spans="1:10" x14ac:dyDescent="0.25">
      <c r="A473" t="s">
        <v>12</v>
      </c>
      <c r="B473" t="s">
        <v>15</v>
      </c>
      <c r="C473" t="s">
        <v>57</v>
      </c>
      <c r="D473" s="1">
        <v>44750</v>
      </c>
      <c r="E473" s="2">
        <v>8001</v>
      </c>
      <c r="F473">
        <v>151</v>
      </c>
      <c r="G473" s="2">
        <f t="shared" si="28"/>
        <v>52.986754966887418</v>
      </c>
      <c r="H473" t="str">
        <f t="shared" si="29"/>
        <v>July</v>
      </c>
      <c r="I473" t="str">
        <f t="shared" si="30"/>
        <v>Q3</v>
      </c>
      <c r="J473" t="str">
        <f t="shared" si="31"/>
        <v>Large</v>
      </c>
    </row>
    <row r="474" spans="1:10" x14ac:dyDescent="0.25">
      <c r="A474" t="s">
        <v>28</v>
      </c>
      <c r="B474" t="s">
        <v>10</v>
      </c>
      <c r="C474" t="s">
        <v>22</v>
      </c>
      <c r="D474" s="1">
        <v>44712</v>
      </c>
      <c r="E474" s="2">
        <v>588</v>
      </c>
      <c r="F474">
        <v>139</v>
      </c>
      <c r="G474" s="2">
        <f t="shared" si="28"/>
        <v>4.2302158273381298</v>
      </c>
      <c r="H474" t="str">
        <f t="shared" si="29"/>
        <v>May</v>
      </c>
      <c r="I474" t="str">
        <f t="shared" si="30"/>
        <v>Q2</v>
      </c>
      <c r="J474" t="str">
        <f t="shared" si="31"/>
        <v>Large</v>
      </c>
    </row>
    <row r="475" spans="1:10" x14ac:dyDescent="0.25">
      <c r="A475" t="s">
        <v>9</v>
      </c>
      <c r="B475" t="s">
        <v>21</v>
      </c>
      <c r="C475" t="s">
        <v>8</v>
      </c>
      <c r="D475" s="1">
        <v>44739</v>
      </c>
      <c r="E475" s="2">
        <v>4046</v>
      </c>
      <c r="F475">
        <v>103</v>
      </c>
      <c r="G475" s="2">
        <f t="shared" si="28"/>
        <v>39.28155339805825</v>
      </c>
      <c r="H475" t="str">
        <f t="shared" si="29"/>
        <v>June</v>
      </c>
      <c r="I475" t="str">
        <f t="shared" si="30"/>
        <v>Q2</v>
      </c>
      <c r="J475" t="str">
        <f t="shared" si="31"/>
        <v>Large</v>
      </c>
    </row>
    <row r="476" spans="1:10" x14ac:dyDescent="0.25">
      <c r="A476" t="s">
        <v>9</v>
      </c>
      <c r="B476" t="s">
        <v>10</v>
      </c>
      <c r="C476" t="s">
        <v>22</v>
      </c>
      <c r="D476" s="1">
        <v>44694</v>
      </c>
      <c r="E476" s="2">
        <v>5103</v>
      </c>
      <c r="F476">
        <v>129</v>
      </c>
      <c r="G476" s="2">
        <f t="shared" si="28"/>
        <v>39.558139534883722</v>
      </c>
      <c r="H476" t="str">
        <f t="shared" si="29"/>
        <v>May</v>
      </c>
      <c r="I476" t="str">
        <f t="shared" si="30"/>
        <v>Q2</v>
      </c>
      <c r="J476" t="str">
        <f t="shared" si="31"/>
        <v>Large</v>
      </c>
    </row>
    <row r="477" spans="1:10" x14ac:dyDescent="0.25">
      <c r="A477" t="s">
        <v>9</v>
      </c>
      <c r="B477" t="s">
        <v>26</v>
      </c>
      <c r="C477" t="s">
        <v>45</v>
      </c>
      <c r="D477" s="1">
        <v>44712</v>
      </c>
      <c r="E477" s="2">
        <v>2317</v>
      </c>
      <c r="F477">
        <v>102</v>
      </c>
      <c r="G477" s="2">
        <f t="shared" si="28"/>
        <v>22.715686274509803</v>
      </c>
      <c r="H477" t="str">
        <f t="shared" si="29"/>
        <v>May</v>
      </c>
      <c r="I477" t="str">
        <f t="shared" si="30"/>
        <v>Q2</v>
      </c>
      <c r="J477" t="str">
        <f t="shared" si="31"/>
        <v>Large</v>
      </c>
    </row>
    <row r="478" spans="1:10" x14ac:dyDescent="0.25">
      <c r="A478" t="s">
        <v>46</v>
      </c>
      <c r="B478" t="s">
        <v>26</v>
      </c>
      <c r="C478" t="s">
        <v>27</v>
      </c>
      <c r="D478" s="1">
        <v>44620</v>
      </c>
      <c r="E478" s="2">
        <v>7042</v>
      </c>
      <c r="F478">
        <v>37</v>
      </c>
      <c r="G478" s="2">
        <f t="shared" si="28"/>
        <v>190.32432432432432</v>
      </c>
      <c r="H478" t="str">
        <f t="shared" si="29"/>
        <v>February</v>
      </c>
      <c r="I478" t="str">
        <f t="shared" si="30"/>
        <v>Q1</v>
      </c>
      <c r="J478" t="str">
        <f t="shared" si="31"/>
        <v>Large</v>
      </c>
    </row>
    <row r="479" spans="1:10" x14ac:dyDescent="0.25">
      <c r="A479" t="s">
        <v>25</v>
      </c>
      <c r="B479" t="s">
        <v>21</v>
      </c>
      <c r="C479" t="s">
        <v>30</v>
      </c>
      <c r="D479" s="1">
        <v>44648</v>
      </c>
      <c r="E479" s="2">
        <v>6713</v>
      </c>
      <c r="F479">
        <v>31</v>
      </c>
      <c r="G479" s="2">
        <f t="shared" si="28"/>
        <v>216.54838709677421</v>
      </c>
      <c r="H479" t="str">
        <f t="shared" si="29"/>
        <v>March</v>
      </c>
      <c r="I479" t="str">
        <f t="shared" si="30"/>
        <v>Q1</v>
      </c>
      <c r="J479" t="str">
        <f t="shared" si="31"/>
        <v>Large</v>
      </c>
    </row>
    <row r="480" spans="1:10" x14ac:dyDescent="0.25">
      <c r="A480" t="s">
        <v>12</v>
      </c>
      <c r="B480" t="s">
        <v>26</v>
      </c>
      <c r="C480" t="s">
        <v>20</v>
      </c>
      <c r="D480" s="1">
        <v>44575</v>
      </c>
      <c r="E480" s="2">
        <v>1848</v>
      </c>
      <c r="F480">
        <v>227</v>
      </c>
      <c r="G480" s="2">
        <f t="shared" si="28"/>
        <v>8.140969162995594</v>
      </c>
      <c r="H480" t="str">
        <f t="shared" si="29"/>
        <v>January</v>
      </c>
      <c r="I480" t="str">
        <f t="shared" si="30"/>
        <v>Q1</v>
      </c>
      <c r="J480" t="str">
        <f t="shared" si="31"/>
        <v>Large</v>
      </c>
    </row>
    <row r="481" spans="1:10" x14ac:dyDescent="0.25">
      <c r="A481" t="s">
        <v>25</v>
      </c>
      <c r="B481" t="s">
        <v>21</v>
      </c>
      <c r="C481" t="s">
        <v>8</v>
      </c>
      <c r="D481" s="1">
        <v>44613</v>
      </c>
      <c r="E481" s="2">
        <v>6440</v>
      </c>
      <c r="F481">
        <v>145</v>
      </c>
      <c r="G481" s="2">
        <f t="shared" si="28"/>
        <v>44.413793103448278</v>
      </c>
      <c r="H481" t="str">
        <f t="shared" si="29"/>
        <v>February</v>
      </c>
      <c r="I481" t="str">
        <f t="shared" si="30"/>
        <v>Q1</v>
      </c>
      <c r="J481" t="str">
        <f t="shared" si="31"/>
        <v>Large</v>
      </c>
    </row>
    <row r="482" spans="1:10" x14ac:dyDescent="0.25">
      <c r="A482" t="s">
        <v>43</v>
      </c>
      <c r="B482" t="s">
        <v>29</v>
      </c>
      <c r="C482" t="s">
        <v>11</v>
      </c>
      <c r="D482" s="1">
        <v>44774</v>
      </c>
      <c r="E482" s="2">
        <v>10885</v>
      </c>
      <c r="F482">
        <v>90</v>
      </c>
      <c r="G482" s="2">
        <f t="shared" si="28"/>
        <v>120.94444444444444</v>
      </c>
      <c r="H482" t="str">
        <f t="shared" si="29"/>
        <v>August</v>
      </c>
      <c r="I482" t="str">
        <f t="shared" si="30"/>
        <v>Q3</v>
      </c>
      <c r="J482" t="str">
        <f t="shared" si="31"/>
        <v>Large</v>
      </c>
    </row>
    <row r="483" spans="1:10" x14ac:dyDescent="0.25">
      <c r="A483" t="s">
        <v>34</v>
      </c>
      <c r="B483" t="s">
        <v>21</v>
      </c>
      <c r="C483" t="s">
        <v>16</v>
      </c>
      <c r="D483" s="1">
        <v>44700</v>
      </c>
      <c r="E483" s="2">
        <v>2387</v>
      </c>
      <c r="F483">
        <v>59</v>
      </c>
      <c r="G483" s="2">
        <f t="shared" si="28"/>
        <v>40.457627118644069</v>
      </c>
      <c r="H483" t="str">
        <f t="shared" si="29"/>
        <v>May</v>
      </c>
      <c r="I483" t="str">
        <f t="shared" si="30"/>
        <v>Q2</v>
      </c>
      <c r="J483" t="str">
        <f t="shared" si="31"/>
        <v>Large</v>
      </c>
    </row>
    <row r="484" spans="1:10" x14ac:dyDescent="0.25">
      <c r="A484" t="s">
        <v>40</v>
      </c>
      <c r="B484" t="s">
        <v>26</v>
      </c>
      <c r="C484" t="s">
        <v>44</v>
      </c>
      <c r="D484" s="1">
        <v>44755</v>
      </c>
      <c r="E484" s="2">
        <v>2030</v>
      </c>
      <c r="F484">
        <v>60</v>
      </c>
      <c r="G484" s="2">
        <f t="shared" si="28"/>
        <v>33.833333333333336</v>
      </c>
      <c r="H484" t="str">
        <f t="shared" si="29"/>
        <v>July</v>
      </c>
      <c r="I484" t="str">
        <f t="shared" si="30"/>
        <v>Q3</v>
      </c>
      <c r="J484" t="str">
        <f t="shared" si="31"/>
        <v>Large</v>
      </c>
    </row>
    <row r="485" spans="1:10" x14ac:dyDescent="0.25">
      <c r="A485" t="s">
        <v>48</v>
      </c>
      <c r="B485" t="s">
        <v>15</v>
      </c>
      <c r="C485" t="s">
        <v>13</v>
      </c>
      <c r="D485" s="1">
        <v>44671</v>
      </c>
      <c r="E485" s="2">
        <v>6678</v>
      </c>
      <c r="F485">
        <v>148</v>
      </c>
      <c r="G485" s="2">
        <f t="shared" si="28"/>
        <v>45.121621621621621</v>
      </c>
      <c r="H485" t="str">
        <f t="shared" si="29"/>
        <v>April</v>
      </c>
      <c r="I485" t="str">
        <f t="shared" si="30"/>
        <v>Q2</v>
      </c>
      <c r="J485" t="str">
        <f t="shared" si="31"/>
        <v>Large</v>
      </c>
    </row>
    <row r="486" spans="1:10" x14ac:dyDescent="0.25">
      <c r="A486" t="s">
        <v>43</v>
      </c>
      <c r="B486" t="s">
        <v>10</v>
      </c>
      <c r="C486" t="s">
        <v>11</v>
      </c>
      <c r="D486" s="1">
        <v>44742</v>
      </c>
      <c r="E486" s="2">
        <v>4515</v>
      </c>
      <c r="F486">
        <v>22</v>
      </c>
      <c r="G486" s="2">
        <f t="shared" si="28"/>
        <v>205.22727272727272</v>
      </c>
      <c r="H486" t="str">
        <f t="shared" si="29"/>
        <v>June</v>
      </c>
      <c r="I486" t="str">
        <f t="shared" si="30"/>
        <v>Q2</v>
      </c>
      <c r="J486" t="str">
        <f t="shared" si="31"/>
        <v>Large</v>
      </c>
    </row>
    <row r="487" spans="1:10" x14ac:dyDescent="0.25">
      <c r="A487" t="s">
        <v>38</v>
      </c>
      <c r="B487" t="s">
        <v>7</v>
      </c>
      <c r="C487" t="s">
        <v>22</v>
      </c>
      <c r="D487" s="1">
        <v>44628</v>
      </c>
      <c r="E487" s="2">
        <v>3374</v>
      </c>
      <c r="F487">
        <v>142</v>
      </c>
      <c r="G487" s="2">
        <f t="shared" si="28"/>
        <v>23.760563380281692</v>
      </c>
      <c r="H487" t="str">
        <f t="shared" si="29"/>
        <v>March</v>
      </c>
      <c r="I487" t="str">
        <f t="shared" si="30"/>
        <v>Q1</v>
      </c>
      <c r="J487" t="str">
        <f t="shared" si="31"/>
        <v>Large</v>
      </c>
    </row>
    <row r="488" spans="1:10" x14ac:dyDescent="0.25">
      <c r="A488" t="s">
        <v>19</v>
      </c>
      <c r="B488" t="s">
        <v>26</v>
      </c>
      <c r="C488" t="s">
        <v>42</v>
      </c>
      <c r="D488" s="1">
        <v>44629</v>
      </c>
      <c r="E488" s="2">
        <v>5852</v>
      </c>
      <c r="F488">
        <v>93</v>
      </c>
      <c r="G488" s="2">
        <f t="shared" si="28"/>
        <v>62.924731182795696</v>
      </c>
      <c r="H488" t="str">
        <f t="shared" si="29"/>
        <v>March</v>
      </c>
      <c r="I488" t="str">
        <f t="shared" si="30"/>
        <v>Q1</v>
      </c>
      <c r="J488" t="str">
        <f t="shared" si="31"/>
        <v>Large</v>
      </c>
    </row>
    <row r="489" spans="1:10" x14ac:dyDescent="0.25">
      <c r="A489" t="s">
        <v>17</v>
      </c>
      <c r="B489" t="s">
        <v>29</v>
      </c>
      <c r="C489" t="s">
        <v>51</v>
      </c>
      <c r="D489" s="1">
        <v>44728</v>
      </c>
      <c r="E489" s="2">
        <v>1750</v>
      </c>
      <c r="F489">
        <v>208</v>
      </c>
      <c r="G489" s="2">
        <f t="shared" si="28"/>
        <v>8.4134615384615383</v>
      </c>
      <c r="H489" t="str">
        <f t="shared" si="29"/>
        <v>June</v>
      </c>
      <c r="I489" t="str">
        <f t="shared" si="30"/>
        <v>Q2</v>
      </c>
      <c r="J489" t="str">
        <f t="shared" si="31"/>
        <v>Large</v>
      </c>
    </row>
    <row r="490" spans="1:10" x14ac:dyDescent="0.25">
      <c r="A490" t="s">
        <v>12</v>
      </c>
      <c r="B490" t="s">
        <v>7</v>
      </c>
      <c r="C490" t="s">
        <v>32</v>
      </c>
      <c r="D490" s="1">
        <v>44742</v>
      </c>
      <c r="E490" s="2">
        <v>5782</v>
      </c>
      <c r="F490">
        <v>42</v>
      </c>
      <c r="G490" s="2">
        <f t="shared" si="28"/>
        <v>137.66666666666666</v>
      </c>
      <c r="H490" t="str">
        <f t="shared" si="29"/>
        <v>June</v>
      </c>
      <c r="I490" t="str">
        <f t="shared" si="30"/>
        <v>Q2</v>
      </c>
      <c r="J490" t="str">
        <f t="shared" si="31"/>
        <v>Large</v>
      </c>
    </row>
    <row r="491" spans="1:10" x14ac:dyDescent="0.25">
      <c r="A491" t="s">
        <v>49</v>
      </c>
      <c r="B491" t="s">
        <v>10</v>
      </c>
      <c r="C491" t="s">
        <v>8</v>
      </c>
      <c r="D491" s="1">
        <v>44770</v>
      </c>
      <c r="E491" s="2">
        <v>2870</v>
      </c>
      <c r="F491">
        <v>120</v>
      </c>
      <c r="G491" s="2">
        <f t="shared" si="28"/>
        <v>23.916666666666668</v>
      </c>
      <c r="H491" t="str">
        <f t="shared" si="29"/>
        <v>July</v>
      </c>
      <c r="I491" t="str">
        <f t="shared" si="30"/>
        <v>Q3</v>
      </c>
      <c r="J491" t="str">
        <f t="shared" si="31"/>
        <v>Large</v>
      </c>
    </row>
    <row r="492" spans="1:10" x14ac:dyDescent="0.25">
      <c r="A492" t="s">
        <v>31</v>
      </c>
      <c r="B492" t="s">
        <v>29</v>
      </c>
      <c r="C492" t="s">
        <v>13</v>
      </c>
      <c r="D492" s="1">
        <v>44785</v>
      </c>
      <c r="E492" s="2">
        <v>3094</v>
      </c>
      <c r="F492">
        <v>159</v>
      </c>
      <c r="G492" s="2">
        <f t="shared" si="28"/>
        <v>19.459119496855347</v>
      </c>
      <c r="H492" t="str">
        <f t="shared" si="29"/>
        <v>August</v>
      </c>
      <c r="I492" t="str">
        <f t="shared" si="30"/>
        <v>Q3</v>
      </c>
      <c r="J492" t="str">
        <f t="shared" si="31"/>
        <v>Large</v>
      </c>
    </row>
    <row r="493" spans="1:10" x14ac:dyDescent="0.25">
      <c r="A493" t="s">
        <v>25</v>
      </c>
      <c r="B493" t="s">
        <v>7</v>
      </c>
      <c r="C493" t="s">
        <v>8</v>
      </c>
      <c r="D493" s="1">
        <v>44749</v>
      </c>
      <c r="E493" s="2">
        <v>3724</v>
      </c>
      <c r="F493">
        <v>316</v>
      </c>
      <c r="G493" s="2">
        <f t="shared" si="28"/>
        <v>11.784810126582279</v>
      </c>
      <c r="H493" t="str">
        <f t="shared" si="29"/>
        <v>July</v>
      </c>
      <c r="I493" t="str">
        <f t="shared" si="30"/>
        <v>Q3</v>
      </c>
      <c r="J493" t="str">
        <f t="shared" si="31"/>
        <v>Large</v>
      </c>
    </row>
    <row r="494" spans="1:10" x14ac:dyDescent="0.25">
      <c r="A494" t="s">
        <v>25</v>
      </c>
      <c r="B494" t="s">
        <v>26</v>
      </c>
      <c r="C494" t="s">
        <v>11</v>
      </c>
      <c r="D494" s="1">
        <v>44798</v>
      </c>
      <c r="E494" s="2">
        <v>12761</v>
      </c>
      <c r="F494">
        <v>47</v>
      </c>
      <c r="G494" s="2">
        <f t="shared" si="28"/>
        <v>271.51063829787233</v>
      </c>
      <c r="H494" t="str">
        <f t="shared" si="29"/>
        <v>August</v>
      </c>
      <c r="I494" t="str">
        <f t="shared" si="30"/>
        <v>Q3</v>
      </c>
      <c r="J494" t="str">
        <f t="shared" si="31"/>
        <v>Large</v>
      </c>
    </row>
    <row r="495" spans="1:10" x14ac:dyDescent="0.25">
      <c r="A495" t="s">
        <v>40</v>
      </c>
      <c r="B495" t="s">
        <v>29</v>
      </c>
      <c r="C495" t="s">
        <v>30</v>
      </c>
      <c r="D495" s="1">
        <v>44578</v>
      </c>
      <c r="E495" s="2">
        <v>3696</v>
      </c>
      <c r="F495">
        <v>233</v>
      </c>
      <c r="G495" s="2">
        <f t="shared" si="28"/>
        <v>15.862660944206009</v>
      </c>
      <c r="H495" t="str">
        <f t="shared" si="29"/>
        <v>January</v>
      </c>
      <c r="I495" t="str">
        <f t="shared" si="30"/>
        <v>Q1</v>
      </c>
      <c r="J495" t="str">
        <f t="shared" si="31"/>
        <v>Large</v>
      </c>
    </row>
    <row r="496" spans="1:10" x14ac:dyDescent="0.25">
      <c r="A496" t="s">
        <v>14</v>
      </c>
      <c r="B496" t="s">
        <v>15</v>
      </c>
      <c r="C496" t="s">
        <v>58</v>
      </c>
      <c r="D496" s="1">
        <v>44624</v>
      </c>
      <c r="E496" s="2">
        <v>5222</v>
      </c>
      <c r="F496">
        <v>384</v>
      </c>
      <c r="G496" s="2">
        <f t="shared" si="28"/>
        <v>13.598958333333334</v>
      </c>
      <c r="H496" t="str">
        <f t="shared" si="29"/>
        <v>March</v>
      </c>
      <c r="I496" t="str">
        <f t="shared" si="30"/>
        <v>Q1</v>
      </c>
      <c r="J496" t="str">
        <f t="shared" si="31"/>
        <v>Large</v>
      </c>
    </row>
    <row r="497" spans="1:10" x14ac:dyDescent="0.25">
      <c r="A497" t="s">
        <v>33</v>
      </c>
      <c r="B497" t="s">
        <v>21</v>
      </c>
      <c r="C497" t="s">
        <v>42</v>
      </c>
      <c r="D497" s="1">
        <v>44798</v>
      </c>
      <c r="E497" s="2">
        <v>8939</v>
      </c>
      <c r="F497">
        <v>4</v>
      </c>
      <c r="G497" s="2">
        <f t="shared" si="28"/>
        <v>2234.75</v>
      </c>
      <c r="H497" t="str">
        <f t="shared" si="29"/>
        <v>August</v>
      </c>
      <c r="I497" t="str">
        <f t="shared" si="30"/>
        <v>Q3</v>
      </c>
      <c r="J497" t="str">
        <f t="shared" si="31"/>
        <v>Large</v>
      </c>
    </row>
    <row r="498" spans="1:10" x14ac:dyDescent="0.25">
      <c r="A498" t="s">
        <v>55</v>
      </c>
      <c r="B498" t="s">
        <v>7</v>
      </c>
      <c r="C498" t="s">
        <v>13</v>
      </c>
      <c r="D498" s="1">
        <v>44666</v>
      </c>
      <c r="E498" s="2">
        <v>2156</v>
      </c>
      <c r="F498">
        <v>260</v>
      </c>
      <c r="G498" s="2">
        <f t="shared" si="28"/>
        <v>8.292307692307693</v>
      </c>
      <c r="H498" t="str">
        <f t="shared" si="29"/>
        <v>April</v>
      </c>
      <c r="I498" t="str">
        <f t="shared" si="30"/>
        <v>Q2</v>
      </c>
      <c r="J498" t="str">
        <f t="shared" si="31"/>
        <v>Large</v>
      </c>
    </row>
    <row r="499" spans="1:10" x14ac:dyDescent="0.25">
      <c r="A499" t="s">
        <v>41</v>
      </c>
      <c r="B499" t="s">
        <v>26</v>
      </c>
      <c r="C499" t="s">
        <v>35</v>
      </c>
      <c r="D499" s="1">
        <v>44631</v>
      </c>
      <c r="E499" s="2">
        <v>2380</v>
      </c>
      <c r="F499">
        <v>22</v>
      </c>
      <c r="G499" s="2">
        <f t="shared" si="28"/>
        <v>108.18181818181819</v>
      </c>
      <c r="H499" t="str">
        <f t="shared" si="29"/>
        <v>March</v>
      </c>
      <c r="I499" t="str">
        <f t="shared" si="30"/>
        <v>Q1</v>
      </c>
      <c r="J499" t="str">
        <f t="shared" si="31"/>
        <v>Large</v>
      </c>
    </row>
    <row r="500" spans="1:10" x14ac:dyDescent="0.25">
      <c r="A500" t="s">
        <v>50</v>
      </c>
      <c r="B500" t="s">
        <v>26</v>
      </c>
      <c r="C500" t="s">
        <v>51</v>
      </c>
      <c r="D500" s="1">
        <v>44701</v>
      </c>
      <c r="E500" s="2">
        <v>3339</v>
      </c>
      <c r="F500">
        <v>18</v>
      </c>
      <c r="G500" s="2">
        <f t="shared" si="28"/>
        <v>185.5</v>
      </c>
      <c r="H500" t="str">
        <f t="shared" si="29"/>
        <v>May</v>
      </c>
      <c r="I500" t="str">
        <f t="shared" si="30"/>
        <v>Q2</v>
      </c>
      <c r="J500" t="str">
        <f t="shared" si="31"/>
        <v>Large</v>
      </c>
    </row>
    <row r="501" spans="1:10" x14ac:dyDescent="0.25">
      <c r="A501" t="s">
        <v>23</v>
      </c>
      <c r="B501" t="s">
        <v>21</v>
      </c>
      <c r="C501" t="s">
        <v>45</v>
      </c>
      <c r="D501" s="1">
        <v>44726</v>
      </c>
      <c r="E501" s="2">
        <v>14980</v>
      </c>
      <c r="F501">
        <v>42</v>
      </c>
      <c r="G501" s="2">
        <f t="shared" si="28"/>
        <v>356.66666666666669</v>
      </c>
      <c r="H501" t="str">
        <f t="shared" si="29"/>
        <v>June</v>
      </c>
      <c r="I501" t="str">
        <f t="shared" si="30"/>
        <v>Q2</v>
      </c>
      <c r="J501" t="str">
        <f t="shared" si="31"/>
        <v>Large</v>
      </c>
    </row>
    <row r="502" spans="1:10" x14ac:dyDescent="0.25">
      <c r="A502" t="s">
        <v>6</v>
      </c>
      <c r="B502" t="s">
        <v>21</v>
      </c>
      <c r="C502" t="s">
        <v>20</v>
      </c>
      <c r="D502" s="1">
        <v>44665</v>
      </c>
      <c r="E502" s="2">
        <v>1512</v>
      </c>
      <c r="F502">
        <v>73</v>
      </c>
      <c r="G502" s="2">
        <f t="shared" si="28"/>
        <v>20.712328767123289</v>
      </c>
      <c r="H502" t="str">
        <f t="shared" si="29"/>
        <v>April</v>
      </c>
      <c r="I502" t="str">
        <f t="shared" si="30"/>
        <v>Q2</v>
      </c>
      <c r="J502" t="str">
        <f t="shared" si="31"/>
        <v>Large</v>
      </c>
    </row>
    <row r="503" spans="1:10" x14ac:dyDescent="0.25">
      <c r="A503" t="s">
        <v>6</v>
      </c>
      <c r="B503" t="s">
        <v>26</v>
      </c>
      <c r="C503" t="s">
        <v>16</v>
      </c>
      <c r="D503" s="1">
        <v>44749</v>
      </c>
      <c r="E503" s="2">
        <v>6657</v>
      </c>
      <c r="F503">
        <v>154</v>
      </c>
      <c r="G503" s="2">
        <f t="shared" si="28"/>
        <v>43.227272727272727</v>
      </c>
      <c r="H503" t="str">
        <f t="shared" si="29"/>
        <v>July</v>
      </c>
      <c r="I503" t="str">
        <f t="shared" si="30"/>
        <v>Q3</v>
      </c>
      <c r="J503" t="str">
        <f t="shared" si="31"/>
        <v>Large</v>
      </c>
    </row>
    <row r="504" spans="1:10" x14ac:dyDescent="0.25">
      <c r="A504" t="s">
        <v>53</v>
      </c>
      <c r="B504" t="s">
        <v>10</v>
      </c>
      <c r="C504" t="s">
        <v>8</v>
      </c>
      <c r="D504" s="1">
        <v>44797</v>
      </c>
      <c r="E504" s="2">
        <v>3836</v>
      </c>
      <c r="F504">
        <v>71</v>
      </c>
      <c r="G504" s="2">
        <f t="shared" si="28"/>
        <v>54.028169014084504</v>
      </c>
      <c r="H504" t="str">
        <f t="shared" si="29"/>
        <v>August</v>
      </c>
      <c r="I504" t="str">
        <f t="shared" si="30"/>
        <v>Q3</v>
      </c>
      <c r="J504" t="str">
        <f t="shared" si="31"/>
        <v>Large</v>
      </c>
    </row>
    <row r="505" spans="1:10" x14ac:dyDescent="0.25">
      <c r="A505" t="s">
        <v>6</v>
      </c>
      <c r="B505" t="s">
        <v>10</v>
      </c>
      <c r="C505" t="s">
        <v>30</v>
      </c>
      <c r="D505" s="1">
        <v>44616</v>
      </c>
      <c r="E505" s="2">
        <v>8771</v>
      </c>
      <c r="F505">
        <v>127</v>
      </c>
      <c r="G505" s="2">
        <f t="shared" si="28"/>
        <v>69.062992125984252</v>
      </c>
      <c r="H505" t="str">
        <f t="shared" si="29"/>
        <v>February</v>
      </c>
      <c r="I505" t="str">
        <f t="shared" si="30"/>
        <v>Q1</v>
      </c>
      <c r="J505" t="str">
        <f t="shared" si="31"/>
        <v>Large</v>
      </c>
    </row>
    <row r="506" spans="1:10" x14ac:dyDescent="0.25">
      <c r="A506" t="s">
        <v>31</v>
      </c>
      <c r="B506" t="s">
        <v>29</v>
      </c>
      <c r="C506" t="s">
        <v>51</v>
      </c>
      <c r="D506" s="1">
        <v>44690</v>
      </c>
      <c r="E506" s="2">
        <v>651</v>
      </c>
      <c r="F506">
        <v>224</v>
      </c>
      <c r="G506" s="2">
        <f t="shared" si="28"/>
        <v>2.90625</v>
      </c>
      <c r="H506" t="str">
        <f t="shared" si="29"/>
        <v>May</v>
      </c>
      <c r="I506" t="str">
        <f t="shared" si="30"/>
        <v>Q2</v>
      </c>
      <c r="J506" t="str">
        <f t="shared" si="31"/>
        <v>Large</v>
      </c>
    </row>
    <row r="507" spans="1:10" x14ac:dyDescent="0.25">
      <c r="A507" t="s">
        <v>41</v>
      </c>
      <c r="B507" t="s">
        <v>15</v>
      </c>
      <c r="C507" t="s">
        <v>58</v>
      </c>
      <c r="D507" s="1">
        <v>44600</v>
      </c>
      <c r="E507" s="2">
        <v>6706</v>
      </c>
      <c r="F507">
        <v>223</v>
      </c>
      <c r="G507" s="2">
        <f t="shared" si="28"/>
        <v>30.071748878923767</v>
      </c>
      <c r="H507" t="str">
        <f t="shared" si="29"/>
        <v>February</v>
      </c>
      <c r="I507" t="str">
        <f t="shared" si="30"/>
        <v>Q1</v>
      </c>
      <c r="J507" t="str">
        <f t="shared" si="31"/>
        <v>Large</v>
      </c>
    </row>
    <row r="508" spans="1:10" x14ac:dyDescent="0.25">
      <c r="A508" t="s">
        <v>36</v>
      </c>
      <c r="B508" t="s">
        <v>7</v>
      </c>
      <c r="C508" t="s">
        <v>58</v>
      </c>
      <c r="D508" s="1">
        <v>44644</v>
      </c>
      <c r="E508" s="2">
        <v>1421</v>
      </c>
      <c r="F508">
        <v>284</v>
      </c>
      <c r="G508" s="2">
        <f t="shared" si="28"/>
        <v>5.003521126760563</v>
      </c>
      <c r="H508" t="str">
        <f t="shared" si="29"/>
        <v>March</v>
      </c>
      <c r="I508" t="str">
        <f t="shared" si="30"/>
        <v>Q1</v>
      </c>
      <c r="J508" t="str">
        <f t="shared" si="31"/>
        <v>Large</v>
      </c>
    </row>
    <row r="509" spans="1:10" x14ac:dyDescent="0.25">
      <c r="A509" t="s">
        <v>24</v>
      </c>
      <c r="B509" t="s">
        <v>26</v>
      </c>
      <c r="C509" t="s">
        <v>32</v>
      </c>
      <c r="D509" s="1">
        <v>44732</v>
      </c>
      <c r="E509" s="2">
        <v>8526</v>
      </c>
      <c r="F509">
        <v>73</v>
      </c>
      <c r="G509" s="2">
        <f t="shared" si="28"/>
        <v>116.79452054794521</v>
      </c>
      <c r="H509" t="str">
        <f t="shared" si="29"/>
        <v>June</v>
      </c>
      <c r="I509" t="str">
        <f t="shared" si="30"/>
        <v>Q2</v>
      </c>
      <c r="J509" t="str">
        <f t="shared" si="31"/>
        <v>Large</v>
      </c>
    </row>
    <row r="510" spans="1:10" x14ac:dyDescent="0.25">
      <c r="A510" t="s">
        <v>28</v>
      </c>
      <c r="B510" t="s">
        <v>29</v>
      </c>
      <c r="C510" t="s">
        <v>45</v>
      </c>
      <c r="D510" s="1">
        <v>44627</v>
      </c>
      <c r="E510" s="2">
        <v>1435</v>
      </c>
      <c r="F510">
        <v>112</v>
      </c>
      <c r="G510" s="2">
        <f t="shared" si="28"/>
        <v>12.8125</v>
      </c>
      <c r="H510" t="str">
        <f t="shared" si="29"/>
        <v>March</v>
      </c>
      <c r="I510" t="str">
        <f t="shared" si="30"/>
        <v>Q1</v>
      </c>
      <c r="J510" t="str">
        <f t="shared" si="31"/>
        <v>Large</v>
      </c>
    </row>
    <row r="511" spans="1:10" x14ac:dyDescent="0.25">
      <c r="A511" t="s">
        <v>41</v>
      </c>
      <c r="B511" t="s">
        <v>15</v>
      </c>
      <c r="C511" t="s">
        <v>42</v>
      </c>
      <c r="D511" s="1">
        <v>44732</v>
      </c>
      <c r="E511" s="2">
        <v>7434</v>
      </c>
      <c r="F511">
        <v>85</v>
      </c>
      <c r="G511" s="2">
        <f t="shared" si="28"/>
        <v>87.45882352941176</v>
      </c>
      <c r="H511" t="str">
        <f t="shared" si="29"/>
        <v>June</v>
      </c>
      <c r="I511" t="str">
        <f t="shared" si="30"/>
        <v>Q2</v>
      </c>
      <c r="J511" t="str">
        <f t="shared" si="31"/>
        <v>Large</v>
      </c>
    </row>
    <row r="512" spans="1:10" x14ac:dyDescent="0.25">
      <c r="A512" t="s">
        <v>17</v>
      </c>
      <c r="B512" t="s">
        <v>21</v>
      </c>
      <c r="C512" t="s">
        <v>35</v>
      </c>
      <c r="D512" s="1">
        <v>44609</v>
      </c>
      <c r="E512" s="2">
        <v>15316</v>
      </c>
      <c r="F512">
        <v>270</v>
      </c>
      <c r="G512" s="2">
        <f t="shared" si="28"/>
        <v>56.725925925925928</v>
      </c>
      <c r="H512" t="str">
        <f t="shared" si="29"/>
        <v>February</v>
      </c>
      <c r="I512" t="str">
        <f t="shared" si="30"/>
        <v>Q1</v>
      </c>
      <c r="J512" t="str">
        <f t="shared" si="31"/>
        <v>Large</v>
      </c>
    </row>
    <row r="513" spans="1:10" x14ac:dyDescent="0.25">
      <c r="A513" t="s">
        <v>53</v>
      </c>
      <c r="B513" t="s">
        <v>7</v>
      </c>
      <c r="C513" t="s">
        <v>18</v>
      </c>
      <c r="D513" s="1">
        <v>44587</v>
      </c>
      <c r="E513" s="2">
        <v>10479</v>
      </c>
      <c r="F513">
        <v>45</v>
      </c>
      <c r="G513" s="2">
        <f t="shared" si="28"/>
        <v>232.86666666666667</v>
      </c>
      <c r="H513" t="str">
        <f t="shared" si="29"/>
        <v>January</v>
      </c>
      <c r="I513" t="str">
        <f t="shared" si="30"/>
        <v>Q1</v>
      </c>
      <c r="J513" t="str">
        <f t="shared" si="31"/>
        <v>Large</v>
      </c>
    </row>
    <row r="514" spans="1:10" x14ac:dyDescent="0.25">
      <c r="A514" t="s">
        <v>53</v>
      </c>
      <c r="B514" t="s">
        <v>15</v>
      </c>
      <c r="C514" t="s">
        <v>8</v>
      </c>
      <c r="D514" s="1">
        <v>44683</v>
      </c>
      <c r="E514" s="2">
        <v>2751</v>
      </c>
      <c r="F514">
        <v>153</v>
      </c>
      <c r="G514" s="2">
        <f t="shared" si="28"/>
        <v>17.980392156862745</v>
      </c>
      <c r="H514" t="str">
        <f t="shared" si="29"/>
        <v>May</v>
      </c>
      <c r="I514" t="str">
        <f t="shared" si="30"/>
        <v>Q2</v>
      </c>
      <c r="J514" t="str">
        <f t="shared" si="31"/>
        <v>Large</v>
      </c>
    </row>
    <row r="515" spans="1:10" x14ac:dyDescent="0.25">
      <c r="A515" t="s">
        <v>38</v>
      </c>
      <c r="B515" t="s">
        <v>29</v>
      </c>
      <c r="C515" t="s">
        <v>18</v>
      </c>
      <c r="D515" s="1">
        <v>44749</v>
      </c>
      <c r="E515" s="2">
        <v>12586</v>
      </c>
      <c r="F515">
        <v>7</v>
      </c>
      <c r="G515" s="2">
        <f t="shared" ref="G515:G578" si="32">E515/F515</f>
        <v>1798</v>
      </c>
      <c r="H515" t="str">
        <f t="shared" ref="H515:H578" si="33">TEXT(D515, "mmmm")</f>
        <v>July</v>
      </c>
      <c r="I515" t="str">
        <f t="shared" ref="I515:I578" si="34">"Q" &amp; ROUNDUP(MONTH(D515)/3,0)</f>
        <v>Q3</v>
      </c>
      <c r="J515" t="str">
        <f t="shared" ref="J515:J578" si="35">IF(E515 &gt; 500, "Large", "Small")</f>
        <v>Large</v>
      </c>
    </row>
    <row r="516" spans="1:10" x14ac:dyDescent="0.25">
      <c r="A516" t="s">
        <v>24</v>
      </c>
      <c r="B516" t="s">
        <v>15</v>
      </c>
      <c r="C516" t="s">
        <v>56</v>
      </c>
      <c r="D516" s="1">
        <v>44795</v>
      </c>
      <c r="E516" s="2">
        <v>2786</v>
      </c>
      <c r="F516">
        <v>51</v>
      </c>
      <c r="G516" s="2">
        <f t="shared" si="32"/>
        <v>54.627450980392155</v>
      </c>
      <c r="H516" t="str">
        <f t="shared" si="33"/>
        <v>August</v>
      </c>
      <c r="I516" t="str">
        <f t="shared" si="34"/>
        <v>Q3</v>
      </c>
      <c r="J516" t="str">
        <f t="shared" si="35"/>
        <v>Large</v>
      </c>
    </row>
    <row r="517" spans="1:10" x14ac:dyDescent="0.25">
      <c r="A517" t="s">
        <v>31</v>
      </c>
      <c r="B517" t="s">
        <v>15</v>
      </c>
      <c r="C517" t="s">
        <v>20</v>
      </c>
      <c r="D517" s="1">
        <v>44784</v>
      </c>
      <c r="E517" s="2">
        <v>2303</v>
      </c>
      <c r="F517">
        <v>67</v>
      </c>
      <c r="G517" s="2">
        <f t="shared" si="32"/>
        <v>34.373134328358212</v>
      </c>
      <c r="H517" t="str">
        <f t="shared" si="33"/>
        <v>August</v>
      </c>
      <c r="I517" t="str">
        <f t="shared" si="34"/>
        <v>Q3</v>
      </c>
      <c r="J517" t="str">
        <f t="shared" si="35"/>
        <v>Large</v>
      </c>
    </row>
    <row r="518" spans="1:10" x14ac:dyDescent="0.25">
      <c r="A518" t="s">
        <v>33</v>
      </c>
      <c r="B518" t="s">
        <v>7</v>
      </c>
      <c r="C518" t="s">
        <v>18</v>
      </c>
      <c r="D518" s="1">
        <v>44574</v>
      </c>
      <c r="E518" s="2">
        <v>8113</v>
      </c>
      <c r="F518">
        <v>194</v>
      </c>
      <c r="G518" s="2">
        <f t="shared" si="32"/>
        <v>41.819587628865982</v>
      </c>
      <c r="H518" t="str">
        <f t="shared" si="33"/>
        <v>January</v>
      </c>
      <c r="I518" t="str">
        <f t="shared" si="34"/>
        <v>Q1</v>
      </c>
      <c r="J518" t="str">
        <f t="shared" si="35"/>
        <v>Large</v>
      </c>
    </row>
    <row r="519" spans="1:10" x14ac:dyDescent="0.25">
      <c r="A519" t="s">
        <v>19</v>
      </c>
      <c r="B519" t="s">
        <v>15</v>
      </c>
      <c r="C519" t="s">
        <v>22</v>
      </c>
      <c r="D519" s="1">
        <v>44622</v>
      </c>
      <c r="E519" s="2">
        <v>12271</v>
      </c>
      <c r="F519">
        <v>116</v>
      </c>
      <c r="G519" s="2">
        <f t="shared" si="32"/>
        <v>105.78448275862068</v>
      </c>
      <c r="H519" t="str">
        <f t="shared" si="33"/>
        <v>March</v>
      </c>
      <c r="I519" t="str">
        <f t="shared" si="34"/>
        <v>Q1</v>
      </c>
      <c r="J519" t="str">
        <f t="shared" si="35"/>
        <v>Large</v>
      </c>
    </row>
    <row r="520" spans="1:10" x14ac:dyDescent="0.25">
      <c r="A520" t="s">
        <v>33</v>
      </c>
      <c r="B520" t="s">
        <v>15</v>
      </c>
      <c r="C520" t="s">
        <v>52</v>
      </c>
      <c r="D520" s="1">
        <v>44769</v>
      </c>
      <c r="E520" s="2">
        <v>11298</v>
      </c>
      <c r="F520">
        <v>41</v>
      </c>
      <c r="G520" s="2">
        <f t="shared" si="32"/>
        <v>275.5609756097561</v>
      </c>
      <c r="H520" t="str">
        <f t="shared" si="33"/>
        <v>July</v>
      </c>
      <c r="I520" t="str">
        <f t="shared" si="34"/>
        <v>Q3</v>
      </c>
      <c r="J520" t="str">
        <f t="shared" si="35"/>
        <v>Large</v>
      </c>
    </row>
    <row r="521" spans="1:10" x14ac:dyDescent="0.25">
      <c r="A521" t="s">
        <v>49</v>
      </c>
      <c r="B521" t="s">
        <v>21</v>
      </c>
      <c r="C521" t="s">
        <v>32</v>
      </c>
      <c r="D521" s="1">
        <v>44630</v>
      </c>
      <c r="E521" s="2">
        <v>15855</v>
      </c>
      <c r="F521">
        <v>111</v>
      </c>
      <c r="G521" s="2">
        <f t="shared" si="32"/>
        <v>142.83783783783784</v>
      </c>
      <c r="H521" t="str">
        <f t="shared" si="33"/>
        <v>March</v>
      </c>
      <c r="I521" t="str">
        <f t="shared" si="34"/>
        <v>Q1</v>
      </c>
      <c r="J521" t="str">
        <f t="shared" si="35"/>
        <v>Large</v>
      </c>
    </row>
    <row r="522" spans="1:10" x14ac:dyDescent="0.25">
      <c r="A522" t="s">
        <v>34</v>
      </c>
      <c r="B522" t="s">
        <v>26</v>
      </c>
      <c r="C522" t="s">
        <v>11</v>
      </c>
      <c r="D522" s="1">
        <v>44796</v>
      </c>
      <c r="E522" s="2">
        <v>12404</v>
      </c>
      <c r="F522">
        <v>334</v>
      </c>
      <c r="G522" s="2">
        <f t="shared" si="32"/>
        <v>37.137724550898206</v>
      </c>
      <c r="H522" t="str">
        <f t="shared" si="33"/>
        <v>August</v>
      </c>
      <c r="I522" t="str">
        <f t="shared" si="34"/>
        <v>Q3</v>
      </c>
      <c r="J522" t="str">
        <f t="shared" si="35"/>
        <v>Large</v>
      </c>
    </row>
    <row r="523" spans="1:10" x14ac:dyDescent="0.25">
      <c r="A523" t="s">
        <v>36</v>
      </c>
      <c r="B523" t="s">
        <v>26</v>
      </c>
      <c r="C523" t="s">
        <v>30</v>
      </c>
      <c r="D523" s="1">
        <v>44676</v>
      </c>
      <c r="E523" s="2">
        <v>3990</v>
      </c>
      <c r="F523">
        <v>155</v>
      </c>
      <c r="G523" s="2">
        <f t="shared" si="32"/>
        <v>25.741935483870968</v>
      </c>
      <c r="H523" t="str">
        <f t="shared" si="33"/>
        <v>April</v>
      </c>
      <c r="I523" t="str">
        <f t="shared" si="34"/>
        <v>Q2</v>
      </c>
      <c r="J523" t="str">
        <f t="shared" si="35"/>
        <v>Large</v>
      </c>
    </row>
    <row r="524" spans="1:10" x14ac:dyDescent="0.25">
      <c r="A524" t="s">
        <v>43</v>
      </c>
      <c r="B524" t="s">
        <v>7</v>
      </c>
      <c r="C524" t="s">
        <v>37</v>
      </c>
      <c r="D524" s="1">
        <v>44627</v>
      </c>
      <c r="E524" s="2">
        <v>10808</v>
      </c>
      <c r="F524">
        <v>407</v>
      </c>
      <c r="G524" s="2">
        <f t="shared" si="32"/>
        <v>26.555282555282556</v>
      </c>
      <c r="H524" t="str">
        <f t="shared" si="33"/>
        <v>March</v>
      </c>
      <c r="I524" t="str">
        <f t="shared" si="34"/>
        <v>Q1</v>
      </c>
      <c r="J524" t="str">
        <f t="shared" si="35"/>
        <v>Large</v>
      </c>
    </row>
    <row r="525" spans="1:10" x14ac:dyDescent="0.25">
      <c r="A525" t="s">
        <v>46</v>
      </c>
      <c r="B525" t="s">
        <v>7</v>
      </c>
      <c r="C525" t="s">
        <v>35</v>
      </c>
      <c r="D525" s="1">
        <v>44754</v>
      </c>
      <c r="E525" s="2">
        <v>4858</v>
      </c>
      <c r="F525">
        <v>52</v>
      </c>
      <c r="G525" s="2">
        <f t="shared" si="32"/>
        <v>93.42307692307692</v>
      </c>
      <c r="H525" t="str">
        <f t="shared" si="33"/>
        <v>July</v>
      </c>
      <c r="I525" t="str">
        <f t="shared" si="34"/>
        <v>Q3</v>
      </c>
      <c r="J525" t="str">
        <f t="shared" si="35"/>
        <v>Large</v>
      </c>
    </row>
    <row r="526" spans="1:10" x14ac:dyDescent="0.25">
      <c r="A526" t="s">
        <v>53</v>
      </c>
      <c r="B526" t="s">
        <v>26</v>
      </c>
      <c r="C526" t="s">
        <v>27</v>
      </c>
      <c r="D526" s="1">
        <v>44697</v>
      </c>
      <c r="E526" s="2">
        <v>7742</v>
      </c>
      <c r="F526">
        <v>138</v>
      </c>
      <c r="G526" s="2">
        <f t="shared" si="32"/>
        <v>56.10144927536232</v>
      </c>
      <c r="H526" t="str">
        <f t="shared" si="33"/>
        <v>May</v>
      </c>
      <c r="I526" t="str">
        <f t="shared" si="34"/>
        <v>Q2</v>
      </c>
      <c r="J526" t="str">
        <f t="shared" si="35"/>
        <v>Large</v>
      </c>
    </row>
    <row r="527" spans="1:10" x14ac:dyDescent="0.25">
      <c r="A527" t="s">
        <v>19</v>
      </c>
      <c r="B527" t="s">
        <v>10</v>
      </c>
      <c r="C527" t="s">
        <v>16</v>
      </c>
      <c r="D527" s="1">
        <v>44622</v>
      </c>
      <c r="E527" s="2">
        <v>3752</v>
      </c>
      <c r="F527">
        <v>70</v>
      </c>
      <c r="G527" s="2">
        <f t="shared" si="32"/>
        <v>53.6</v>
      </c>
      <c r="H527" t="str">
        <f t="shared" si="33"/>
        <v>March</v>
      </c>
      <c r="I527" t="str">
        <f t="shared" si="34"/>
        <v>Q1</v>
      </c>
      <c r="J527" t="str">
        <f t="shared" si="35"/>
        <v>Large</v>
      </c>
    </row>
    <row r="528" spans="1:10" x14ac:dyDescent="0.25">
      <c r="A528" t="s">
        <v>33</v>
      </c>
      <c r="B528" t="s">
        <v>21</v>
      </c>
      <c r="C528" t="s">
        <v>11</v>
      </c>
      <c r="D528" s="1">
        <v>44711</v>
      </c>
      <c r="E528" s="2">
        <v>1218</v>
      </c>
      <c r="F528">
        <v>149</v>
      </c>
      <c r="G528" s="2">
        <f t="shared" si="32"/>
        <v>8.1744966442953029</v>
      </c>
      <c r="H528" t="str">
        <f t="shared" si="33"/>
        <v>May</v>
      </c>
      <c r="I528" t="str">
        <f t="shared" si="34"/>
        <v>Q2</v>
      </c>
      <c r="J528" t="str">
        <f t="shared" si="35"/>
        <v>Large</v>
      </c>
    </row>
    <row r="529" spans="1:10" x14ac:dyDescent="0.25">
      <c r="A529" t="s">
        <v>33</v>
      </c>
      <c r="B529" t="s">
        <v>7</v>
      </c>
      <c r="C529" t="s">
        <v>45</v>
      </c>
      <c r="D529" s="1">
        <v>44722</v>
      </c>
      <c r="E529" s="2">
        <v>10983</v>
      </c>
      <c r="F529">
        <v>179</v>
      </c>
      <c r="G529" s="2">
        <f t="shared" si="32"/>
        <v>61.357541899441344</v>
      </c>
      <c r="H529" t="str">
        <f t="shared" si="33"/>
        <v>June</v>
      </c>
      <c r="I529" t="str">
        <f t="shared" si="34"/>
        <v>Q2</v>
      </c>
      <c r="J529" t="str">
        <f t="shared" si="35"/>
        <v>Large</v>
      </c>
    </row>
    <row r="530" spans="1:10" x14ac:dyDescent="0.25">
      <c r="A530" t="s">
        <v>23</v>
      </c>
      <c r="B530" t="s">
        <v>26</v>
      </c>
      <c r="C530" t="s">
        <v>18</v>
      </c>
      <c r="D530" s="1">
        <v>44767</v>
      </c>
      <c r="E530" s="2">
        <v>6769</v>
      </c>
      <c r="F530">
        <v>353</v>
      </c>
      <c r="G530" s="2">
        <f t="shared" si="32"/>
        <v>19.175637393767705</v>
      </c>
      <c r="H530" t="str">
        <f t="shared" si="33"/>
        <v>July</v>
      </c>
      <c r="I530" t="str">
        <f t="shared" si="34"/>
        <v>Q3</v>
      </c>
      <c r="J530" t="str">
        <f t="shared" si="35"/>
        <v>Large</v>
      </c>
    </row>
    <row r="531" spans="1:10" x14ac:dyDescent="0.25">
      <c r="A531" t="s">
        <v>34</v>
      </c>
      <c r="B531" t="s">
        <v>21</v>
      </c>
      <c r="C531" t="s">
        <v>8</v>
      </c>
      <c r="D531" s="1">
        <v>44721</v>
      </c>
      <c r="E531" s="2">
        <v>4361</v>
      </c>
      <c r="F531">
        <v>97</v>
      </c>
      <c r="G531" s="2">
        <f t="shared" si="32"/>
        <v>44.958762886597938</v>
      </c>
      <c r="H531" t="str">
        <f t="shared" si="33"/>
        <v>June</v>
      </c>
      <c r="I531" t="str">
        <f t="shared" si="34"/>
        <v>Q2</v>
      </c>
      <c r="J531" t="str">
        <f t="shared" si="35"/>
        <v>Large</v>
      </c>
    </row>
    <row r="532" spans="1:10" x14ac:dyDescent="0.25">
      <c r="A532" t="s">
        <v>43</v>
      </c>
      <c r="B532" t="s">
        <v>26</v>
      </c>
      <c r="C532" t="s">
        <v>37</v>
      </c>
      <c r="D532" s="1">
        <v>44693</v>
      </c>
      <c r="E532" s="2">
        <v>777</v>
      </c>
      <c r="F532">
        <v>60</v>
      </c>
      <c r="G532" s="2">
        <f t="shared" si="32"/>
        <v>12.95</v>
      </c>
      <c r="H532" t="str">
        <f t="shared" si="33"/>
        <v>May</v>
      </c>
      <c r="I532" t="str">
        <f t="shared" si="34"/>
        <v>Q2</v>
      </c>
      <c r="J532" t="str">
        <f t="shared" si="35"/>
        <v>Large</v>
      </c>
    </row>
    <row r="533" spans="1:10" x14ac:dyDescent="0.25">
      <c r="A533" t="s">
        <v>19</v>
      </c>
      <c r="B533" t="s">
        <v>26</v>
      </c>
      <c r="C533" t="s">
        <v>32</v>
      </c>
      <c r="D533" s="1">
        <v>44690</v>
      </c>
      <c r="E533" s="2">
        <v>3843</v>
      </c>
      <c r="F533">
        <v>5</v>
      </c>
      <c r="G533" s="2">
        <f t="shared" si="32"/>
        <v>768.6</v>
      </c>
      <c r="H533" t="str">
        <f t="shared" si="33"/>
        <v>May</v>
      </c>
      <c r="I533" t="str">
        <f t="shared" si="34"/>
        <v>Q2</v>
      </c>
      <c r="J533" t="str">
        <f t="shared" si="35"/>
        <v>Large</v>
      </c>
    </row>
    <row r="534" spans="1:10" x14ac:dyDescent="0.25">
      <c r="A534" t="s">
        <v>23</v>
      </c>
      <c r="B534" t="s">
        <v>29</v>
      </c>
      <c r="C534" t="s">
        <v>45</v>
      </c>
      <c r="D534" s="1">
        <v>44782</v>
      </c>
      <c r="E534" s="2">
        <v>6930</v>
      </c>
      <c r="F534">
        <v>182</v>
      </c>
      <c r="G534" s="2">
        <f t="shared" si="32"/>
        <v>38.07692307692308</v>
      </c>
      <c r="H534" t="str">
        <f t="shared" si="33"/>
        <v>August</v>
      </c>
      <c r="I534" t="str">
        <f t="shared" si="34"/>
        <v>Q3</v>
      </c>
      <c r="J534" t="str">
        <f t="shared" si="35"/>
        <v>Large</v>
      </c>
    </row>
    <row r="535" spans="1:10" x14ac:dyDescent="0.25">
      <c r="A535" t="s">
        <v>9</v>
      </c>
      <c r="B535" t="s">
        <v>10</v>
      </c>
      <c r="C535" t="s">
        <v>52</v>
      </c>
      <c r="D535" s="1">
        <v>44664</v>
      </c>
      <c r="E535" s="2">
        <v>5733</v>
      </c>
      <c r="F535">
        <v>114</v>
      </c>
      <c r="G535" s="2">
        <f t="shared" si="32"/>
        <v>50.289473684210527</v>
      </c>
      <c r="H535" t="str">
        <f t="shared" si="33"/>
        <v>April</v>
      </c>
      <c r="I535" t="str">
        <f t="shared" si="34"/>
        <v>Q2</v>
      </c>
      <c r="J535" t="str">
        <f t="shared" si="35"/>
        <v>Large</v>
      </c>
    </row>
    <row r="536" spans="1:10" x14ac:dyDescent="0.25">
      <c r="A536" t="s">
        <v>48</v>
      </c>
      <c r="B536" t="s">
        <v>26</v>
      </c>
      <c r="C536" t="s">
        <v>57</v>
      </c>
      <c r="D536" s="1">
        <v>44683</v>
      </c>
      <c r="E536" s="2">
        <v>8393</v>
      </c>
      <c r="F536">
        <v>46</v>
      </c>
      <c r="G536" s="2">
        <f t="shared" si="32"/>
        <v>182.45652173913044</v>
      </c>
      <c r="H536" t="str">
        <f t="shared" si="33"/>
        <v>May</v>
      </c>
      <c r="I536" t="str">
        <f t="shared" si="34"/>
        <v>Q2</v>
      </c>
      <c r="J536" t="str">
        <f t="shared" si="35"/>
        <v>Large</v>
      </c>
    </row>
    <row r="537" spans="1:10" x14ac:dyDescent="0.25">
      <c r="A537" t="s">
        <v>54</v>
      </c>
      <c r="B537" t="s">
        <v>26</v>
      </c>
      <c r="C537" t="s">
        <v>18</v>
      </c>
      <c r="D537" s="1">
        <v>44782</v>
      </c>
      <c r="E537" s="2">
        <v>3822</v>
      </c>
      <c r="F537">
        <v>320</v>
      </c>
      <c r="G537" s="2">
        <f t="shared" si="32"/>
        <v>11.94375</v>
      </c>
      <c r="H537" t="str">
        <f t="shared" si="33"/>
        <v>August</v>
      </c>
      <c r="I537" t="str">
        <f t="shared" si="34"/>
        <v>Q3</v>
      </c>
      <c r="J537" t="str">
        <f t="shared" si="35"/>
        <v>Large</v>
      </c>
    </row>
    <row r="538" spans="1:10" x14ac:dyDescent="0.25">
      <c r="A538" t="s">
        <v>50</v>
      </c>
      <c r="B538" t="s">
        <v>15</v>
      </c>
      <c r="C538" t="s">
        <v>51</v>
      </c>
      <c r="D538" s="1">
        <v>44796</v>
      </c>
      <c r="E538" s="2">
        <v>6342</v>
      </c>
      <c r="F538">
        <v>178</v>
      </c>
      <c r="G538" s="2">
        <f t="shared" si="32"/>
        <v>35.629213483146067</v>
      </c>
      <c r="H538" t="str">
        <f t="shared" si="33"/>
        <v>August</v>
      </c>
      <c r="I538" t="str">
        <f t="shared" si="34"/>
        <v>Q3</v>
      </c>
      <c r="J538" t="str">
        <f t="shared" si="35"/>
        <v>Large</v>
      </c>
    </row>
    <row r="539" spans="1:10" x14ac:dyDescent="0.25">
      <c r="A539" t="s">
        <v>19</v>
      </c>
      <c r="B539" t="s">
        <v>10</v>
      </c>
      <c r="C539" t="s">
        <v>39</v>
      </c>
      <c r="D539" s="1">
        <v>44694</v>
      </c>
      <c r="E539" s="2">
        <v>6510</v>
      </c>
      <c r="F539">
        <v>170</v>
      </c>
      <c r="G539" s="2">
        <f t="shared" si="32"/>
        <v>38.294117647058826</v>
      </c>
      <c r="H539" t="str">
        <f t="shared" si="33"/>
        <v>May</v>
      </c>
      <c r="I539" t="str">
        <f t="shared" si="34"/>
        <v>Q2</v>
      </c>
      <c r="J539" t="str">
        <f t="shared" si="35"/>
        <v>Large</v>
      </c>
    </row>
    <row r="540" spans="1:10" x14ac:dyDescent="0.25">
      <c r="A540" t="s">
        <v>31</v>
      </c>
      <c r="B540" t="s">
        <v>26</v>
      </c>
      <c r="C540" t="s">
        <v>45</v>
      </c>
      <c r="D540" s="1">
        <v>44593</v>
      </c>
      <c r="E540" s="2">
        <v>10171</v>
      </c>
      <c r="F540">
        <v>67</v>
      </c>
      <c r="G540" s="2">
        <f t="shared" si="32"/>
        <v>151.80597014925374</v>
      </c>
      <c r="H540" t="str">
        <f t="shared" si="33"/>
        <v>February</v>
      </c>
      <c r="I540" t="str">
        <f t="shared" si="34"/>
        <v>Q1</v>
      </c>
      <c r="J540" t="str">
        <f t="shared" si="35"/>
        <v>Large</v>
      </c>
    </row>
    <row r="541" spans="1:10" x14ac:dyDescent="0.25">
      <c r="A541" t="s">
        <v>50</v>
      </c>
      <c r="B541" t="s">
        <v>26</v>
      </c>
      <c r="C541" t="s">
        <v>22</v>
      </c>
      <c r="D541" s="1">
        <v>44735</v>
      </c>
      <c r="E541" s="2">
        <v>5908</v>
      </c>
      <c r="F541">
        <v>301</v>
      </c>
      <c r="G541" s="2">
        <f t="shared" si="32"/>
        <v>19.627906976744185</v>
      </c>
      <c r="H541" t="str">
        <f t="shared" si="33"/>
        <v>June</v>
      </c>
      <c r="I541" t="str">
        <f t="shared" si="34"/>
        <v>Q2</v>
      </c>
      <c r="J541" t="str">
        <f t="shared" si="35"/>
        <v>Large</v>
      </c>
    </row>
    <row r="542" spans="1:10" x14ac:dyDescent="0.25">
      <c r="A542" t="s">
        <v>53</v>
      </c>
      <c r="B542" t="s">
        <v>7</v>
      </c>
      <c r="C542" t="s">
        <v>52</v>
      </c>
      <c r="D542" s="1">
        <v>44705</v>
      </c>
      <c r="E542" s="2">
        <v>10164</v>
      </c>
      <c r="F542">
        <v>134</v>
      </c>
      <c r="G542" s="2">
        <f t="shared" si="32"/>
        <v>75.850746268656721</v>
      </c>
      <c r="H542" t="str">
        <f t="shared" si="33"/>
        <v>May</v>
      </c>
      <c r="I542" t="str">
        <f t="shared" si="34"/>
        <v>Q2</v>
      </c>
      <c r="J542" t="str">
        <f t="shared" si="35"/>
        <v>Large</v>
      </c>
    </row>
    <row r="543" spans="1:10" x14ac:dyDescent="0.25">
      <c r="A543" t="s">
        <v>14</v>
      </c>
      <c r="B543" t="s">
        <v>29</v>
      </c>
      <c r="C543" t="s">
        <v>8</v>
      </c>
      <c r="D543" s="1">
        <v>44652</v>
      </c>
      <c r="E543" s="2">
        <v>1064</v>
      </c>
      <c r="F543">
        <v>211</v>
      </c>
      <c r="G543" s="2">
        <f t="shared" si="32"/>
        <v>5.0426540284360186</v>
      </c>
      <c r="H543" t="str">
        <f t="shared" si="33"/>
        <v>April</v>
      </c>
      <c r="I543" t="str">
        <f t="shared" si="34"/>
        <v>Q2</v>
      </c>
      <c r="J543" t="str">
        <f t="shared" si="35"/>
        <v>Large</v>
      </c>
    </row>
    <row r="544" spans="1:10" x14ac:dyDescent="0.25">
      <c r="A544" t="s">
        <v>50</v>
      </c>
      <c r="B544" t="s">
        <v>29</v>
      </c>
      <c r="C544" t="s">
        <v>58</v>
      </c>
      <c r="D544" s="1">
        <v>44769</v>
      </c>
      <c r="E544" s="2">
        <v>9716</v>
      </c>
      <c r="F544">
        <v>151</v>
      </c>
      <c r="G544" s="2">
        <f t="shared" si="32"/>
        <v>64.344370860927157</v>
      </c>
      <c r="H544" t="str">
        <f t="shared" si="33"/>
        <v>July</v>
      </c>
      <c r="I544" t="str">
        <f t="shared" si="34"/>
        <v>Q3</v>
      </c>
      <c r="J544" t="str">
        <f t="shared" si="35"/>
        <v>Large</v>
      </c>
    </row>
    <row r="545" spans="1:10" x14ac:dyDescent="0.25">
      <c r="A545" t="s">
        <v>55</v>
      </c>
      <c r="B545" t="s">
        <v>10</v>
      </c>
      <c r="C545" t="s">
        <v>13</v>
      </c>
      <c r="D545" s="1">
        <v>44588</v>
      </c>
      <c r="E545" s="2">
        <v>22050</v>
      </c>
      <c r="F545">
        <v>208</v>
      </c>
      <c r="G545" s="2">
        <f t="shared" si="32"/>
        <v>106.00961538461539</v>
      </c>
      <c r="H545" t="str">
        <f t="shared" si="33"/>
        <v>January</v>
      </c>
      <c r="I545" t="str">
        <f t="shared" si="34"/>
        <v>Q1</v>
      </c>
      <c r="J545" t="str">
        <f t="shared" si="35"/>
        <v>Large</v>
      </c>
    </row>
    <row r="546" spans="1:10" x14ac:dyDescent="0.25">
      <c r="A546" t="s">
        <v>14</v>
      </c>
      <c r="B546" t="s">
        <v>10</v>
      </c>
      <c r="C546" t="s">
        <v>52</v>
      </c>
      <c r="D546" s="1">
        <v>44785</v>
      </c>
      <c r="E546" s="2">
        <v>2541</v>
      </c>
      <c r="F546">
        <v>134</v>
      </c>
      <c r="G546" s="2">
        <f t="shared" si="32"/>
        <v>18.96268656716418</v>
      </c>
      <c r="H546" t="str">
        <f t="shared" si="33"/>
        <v>August</v>
      </c>
      <c r="I546" t="str">
        <f t="shared" si="34"/>
        <v>Q3</v>
      </c>
      <c r="J546" t="str">
        <f t="shared" si="35"/>
        <v>Large</v>
      </c>
    </row>
    <row r="547" spans="1:10" x14ac:dyDescent="0.25">
      <c r="A547" t="s">
        <v>12</v>
      </c>
      <c r="B547" t="s">
        <v>29</v>
      </c>
      <c r="C547" t="s">
        <v>47</v>
      </c>
      <c r="D547" s="1">
        <v>44593</v>
      </c>
      <c r="E547" s="2">
        <v>9989</v>
      </c>
      <c r="F547">
        <v>49</v>
      </c>
      <c r="G547" s="2">
        <f t="shared" si="32"/>
        <v>203.85714285714286</v>
      </c>
      <c r="H547" t="str">
        <f t="shared" si="33"/>
        <v>February</v>
      </c>
      <c r="I547" t="str">
        <f t="shared" si="34"/>
        <v>Q1</v>
      </c>
      <c r="J547" t="str">
        <f t="shared" si="35"/>
        <v>Large</v>
      </c>
    </row>
    <row r="548" spans="1:10" x14ac:dyDescent="0.25">
      <c r="A548" t="s">
        <v>24</v>
      </c>
      <c r="B548" t="s">
        <v>10</v>
      </c>
      <c r="C548" t="s">
        <v>20</v>
      </c>
      <c r="D548" s="1">
        <v>44622</v>
      </c>
      <c r="E548" s="2">
        <v>4739</v>
      </c>
      <c r="F548">
        <v>204</v>
      </c>
      <c r="G548" s="2">
        <f t="shared" si="32"/>
        <v>23.230392156862745</v>
      </c>
      <c r="H548" t="str">
        <f t="shared" si="33"/>
        <v>March</v>
      </c>
      <c r="I548" t="str">
        <f t="shared" si="34"/>
        <v>Q1</v>
      </c>
      <c r="J548" t="str">
        <f t="shared" si="35"/>
        <v>Large</v>
      </c>
    </row>
    <row r="549" spans="1:10" x14ac:dyDescent="0.25">
      <c r="A549" t="s">
        <v>49</v>
      </c>
      <c r="B549" t="s">
        <v>15</v>
      </c>
      <c r="C549" t="s">
        <v>18</v>
      </c>
      <c r="D549" s="1">
        <v>44742</v>
      </c>
      <c r="E549" s="2">
        <v>3185</v>
      </c>
      <c r="F549">
        <v>34</v>
      </c>
      <c r="G549" s="2">
        <f t="shared" si="32"/>
        <v>93.67647058823529</v>
      </c>
      <c r="H549" t="str">
        <f t="shared" si="33"/>
        <v>June</v>
      </c>
      <c r="I549" t="str">
        <f t="shared" si="34"/>
        <v>Q2</v>
      </c>
      <c r="J549" t="str">
        <f t="shared" si="35"/>
        <v>Large</v>
      </c>
    </row>
    <row r="550" spans="1:10" x14ac:dyDescent="0.25">
      <c r="A550" t="s">
        <v>54</v>
      </c>
      <c r="B550" t="s">
        <v>15</v>
      </c>
      <c r="C550" t="s">
        <v>39</v>
      </c>
      <c r="D550" s="1">
        <v>44578</v>
      </c>
      <c r="E550" s="2">
        <v>8225</v>
      </c>
      <c r="F550">
        <v>91</v>
      </c>
      <c r="G550" s="2">
        <f t="shared" si="32"/>
        <v>90.384615384615387</v>
      </c>
      <c r="H550" t="str">
        <f t="shared" si="33"/>
        <v>January</v>
      </c>
      <c r="I550" t="str">
        <f t="shared" si="34"/>
        <v>Q1</v>
      </c>
      <c r="J550" t="str">
        <f t="shared" si="35"/>
        <v>Large</v>
      </c>
    </row>
    <row r="551" spans="1:10" x14ac:dyDescent="0.25">
      <c r="A551" t="s">
        <v>23</v>
      </c>
      <c r="B551" t="s">
        <v>26</v>
      </c>
      <c r="C551" t="s">
        <v>37</v>
      </c>
      <c r="D551" s="1">
        <v>44749</v>
      </c>
      <c r="E551" s="2">
        <v>14301</v>
      </c>
      <c r="F551">
        <v>130</v>
      </c>
      <c r="G551" s="2">
        <f t="shared" si="32"/>
        <v>110.00769230769231</v>
      </c>
      <c r="H551" t="str">
        <f t="shared" si="33"/>
        <v>July</v>
      </c>
      <c r="I551" t="str">
        <f t="shared" si="34"/>
        <v>Q3</v>
      </c>
      <c r="J551" t="str">
        <f t="shared" si="35"/>
        <v>Large</v>
      </c>
    </row>
    <row r="552" spans="1:10" x14ac:dyDescent="0.25">
      <c r="A552" t="s">
        <v>28</v>
      </c>
      <c r="B552" t="s">
        <v>21</v>
      </c>
      <c r="C552" t="s">
        <v>8</v>
      </c>
      <c r="D552" s="1">
        <v>44592</v>
      </c>
      <c r="E552" s="2">
        <v>1316</v>
      </c>
      <c r="F552">
        <v>107</v>
      </c>
      <c r="G552" s="2">
        <f t="shared" si="32"/>
        <v>12.299065420560748</v>
      </c>
      <c r="H552" t="str">
        <f t="shared" si="33"/>
        <v>January</v>
      </c>
      <c r="I552" t="str">
        <f t="shared" si="34"/>
        <v>Q1</v>
      </c>
      <c r="J552" t="str">
        <f t="shared" si="35"/>
        <v>Large</v>
      </c>
    </row>
    <row r="553" spans="1:10" x14ac:dyDescent="0.25">
      <c r="A553" t="s">
        <v>34</v>
      </c>
      <c r="B553" t="s">
        <v>7</v>
      </c>
      <c r="C553" t="s">
        <v>18</v>
      </c>
      <c r="D553" s="1">
        <v>44783</v>
      </c>
      <c r="E553" s="2">
        <v>3486</v>
      </c>
      <c r="F553">
        <v>121</v>
      </c>
      <c r="G553" s="2">
        <f t="shared" si="32"/>
        <v>28.809917355371901</v>
      </c>
      <c r="H553" t="str">
        <f t="shared" si="33"/>
        <v>August</v>
      </c>
      <c r="I553" t="str">
        <f t="shared" si="34"/>
        <v>Q3</v>
      </c>
      <c r="J553" t="str">
        <f t="shared" si="35"/>
        <v>Large</v>
      </c>
    </row>
    <row r="554" spans="1:10" x14ac:dyDescent="0.25">
      <c r="A554" t="s">
        <v>34</v>
      </c>
      <c r="B554" t="s">
        <v>26</v>
      </c>
      <c r="C554" t="s">
        <v>13</v>
      </c>
      <c r="D554" s="1">
        <v>44791</v>
      </c>
      <c r="E554" s="2">
        <v>13930</v>
      </c>
      <c r="F554">
        <v>339</v>
      </c>
      <c r="G554" s="2">
        <f t="shared" si="32"/>
        <v>41.091445427728615</v>
      </c>
      <c r="H554" t="str">
        <f t="shared" si="33"/>
        <v>August</v>
      </c>
      <c r="I554" t="str">
        <f t="shared" si="34"/>
        <v>Q3</v>
      </c>
      <c r="J554" t="str">
        <f t="shared" si="35"/>
        <v>Large</v>
      </c>
    </row>
    <row r="555" spans="1:10" x14ac:dyDescent="0.25">
      <c r="A555" t="s">
        <v>23</v>
      </c>
      <c r="B555" t="s">
        <v>21</v>
      </c>
      <c r="C555" t="s">
        <v>44</v>
      </c>
      <c r="D555" s="1">
        <v>44727</v>
      </c>
      <c r="E555" s="2">
        <v>5509</v>
      </c>
      <c r="F555">
        <v>321</v>
      </c>
      <c r="G555" s="2">
        <f t="shared" si="32"/>
        <v>17.161993769470406</v>
      </c>
      <c r="H555" t="str">
        <f t="shared" si="33"/>
        <v>June</v>
      </c>
      <c r="I555" t="str">
        <f t="shared" si="34"/>
        <v>Q2</v>
      </c>
      <c r="J555" t="str">
        <f t="shared" si="35"/>
        <v>Large</v>
      </c>
    </row>
    <row r="556" spans="1:10" x14ac:dyDescent="0.25">
      <c r="A556" t="s">
        <v>33</v>
      </c>
      <c r="B556" t="s">
        <v>26</v>
      </c>
      <c r="C556" t="s">
        <v>56</v>
      </c>
      <c r="D556" s="1">
        <v>44587</v>
      </c>
      <c r="E556" s="2">
        <v>8470</v>
      </c>
      <c r="F556">
        <v>9</v>
      </c>
      <c r="G556" s="2">
        <f t="shared" si="32"/>
        <v>941.11111111111109</v>
      </c>
      <c r="H556" t="str">
        <f t="shared" si="33"/>
        <v>January</v>
      </c>
      <c r="I556" t="str">
        <f t="shared" si="34"/>
        <v>Q1</v>
      </c>
      <c r="J556" t="str">
        <f t="shared" si="35"/>
        <v>Large</v>
      </c>
    </row>
    <row r="557" spans="1:10" x14ac:dyDescent="0.25">
      <c r="A557" t="s">
        <v>49</v>
      </c>
      <c r="B557" t="s">
        <v>26</v>
      </c>
      <c r="C557" t="s">
        <v>39</v>
      </c>
      <c r="D557" s="1">
        <v>44680</v>
      </c>
      <c r="E557" s="2">
        <v>77</v>
      </c>
      <c r="F557">
        <v>69</v>
      </c>
      <c r="G557" s="2">
        <f t="shared" si="32"/>
        <v>1.1159420289855073</v>
      </c>
      <c r="H557" t="str">
        <f t="shared" si="33"/>
        <v>April</v>
      </c>
      <c r="I557" t="str">
        <f t="shared" si="34"/>
        <v>Q2</v>
      </c>
      <c r="J557" t="str">
        <f t="shared" si="35"/>
        <v>Small</v>
      </c>
    </row>
    <row r="558" spans="1:10" x14ac:dyDescent="0.25">
      <c r="A558" t="s">
        <v>28</v>
      </c>
      <c r="B558" t="s">
        <v>29</v>
      </c>
      <c r="C558" t="s">
        <v>44</v>
      </c>
      <c r="D558" s="1">
        <v>44623</v>
      </c>
      <c r="E558" s="2">
        <v>3381</v>
      </c>
      <c r="F558">
        <v>72</v>
      </c>
      <c r="G558" s="2">
        <f t="shared" si="32"/>
        <v>46.958333333333336</v>
      </c>
      <c r="H558" t="str">
        <f t="shared" si="33"/>
        <v>March</v>
      </c>
      <c r="I558" t="str">
        <f t="shared" si="34"/>
        <v>Q1</v>
      </c>
      <c r="J558" t="str">
        <f t="shared" si="35"/>
        <v>Large</v>
      </c>
    </row>
    <row r="559" spans="1:10" x14ac:dyDescent="0.25">
      <c r="A559" t="s">
        <v>41</v>
      </c>
      <c r="B559" t="s">
        <v>15</v>
      </c>
      <c r="C559" t="s">
        <v>47</v>
      </c>
      <c r="D559" s="1">
        <v>44614</v>
      </c>
      <c r="E559" s="2">
        <v>4102</v>
      </c>
      <c r="F559">
        <v>392</v>
      </c>
      <c r="G559" s="2">
        <f t="shared" si="32"/>
        <v>10.464285714285714</v>
      </c>
      <c r="H559" t="str">
        <f t="shared" si="33"/>
        <v>February</v>
      </c>
      <c r="I559" t="str">
        <f t="shared" si="34"/>
        <v>Q1</v>
      </c>
      <c r="J559" t="str">
        <f t="shared" si="35"/>
        <v>Large</v>
      </c>
    </row>
    <row r="560" spans="1:10" x14ac:dyDescent="0.25">
      <c r="A560" t="s">
        <v>17</v>
      </c>
      <c r="B560" t="s">
        <v>26</v>
      </c>
      <c r="C560" t="s">
        <v>16</v>
      </c>
      <c r="D560" s="1">
        <v>44624</v>
      </c>
      <c r="E560" s="2">
        <v>3577</v>
      </c>
      <c r="F560">
        <v>158</v>
      </c>
      <c r="G560" s="2">
        <f t="shared" si="32"/>
        <v>22.639240506329113</v>
      </c>
      <c r="H560" t="str">
        <f t="shared" si="33"/>
        <v>March</v>
      </c>
      <c r="I560" t="str">
        <f t="shared" si="34"/>
        <v>Q1</v>
      </c>
      <c r="J560" t="str">
        <f t="shared" si="35"/>
        <v>Large</v>
      </c>
    </row>
    <row r="561" spans="1:10" x14ac:dyDescent="0.25">
      <c r="A561" t="s">
        <v>43</v>
      </c>
      <c r="B561" t="s">
        <v>10</v>
      </c>
      <c r="C561" t="s">
        <v>16</v>
      </c>
      <c r="D561" s="1">
        <v>44749</v>
      </c>
      <c r="E561" s="2">
        <v>2975</v>
      </c>
      <c r="F561">
        <v>9</v>
      </c>
      <c r="G561" s="2">
        <f t="shared" si="32"/>
        <v>330.55555555555554</v>
      </c>
      <c r="H561" t="str">
        <f t="shared" si="33"/>
        <v>July</v>
      </c>
      <c r="I561" t="str">
        <f t="shared" si="34"/>
        <v>Q3</v>
      </c>
      <c r="J561" t="str">
        <f t="shared" si="35"/>
        <v>Large</v>
      </c>
    </row>
    <row r="562" spans="1:10" x14ac:dyDescent="0.25">
      <c r="A562" t="s">
        <v>50</v>
      </c>
      <c r="B562" t="s">
        <v>21</v>
      </c>
      <c r="C562" t="s">
        <v>57</v>
      </c>
      <c r="D562" s="1">
        <v>44729</v>
      </c>
      <c r="E562" s="2">
        <v>4137</v>
      </c>
      <c r="F562">
        <v>347</v>
      </c>
      <c r="G562" s="2">
        <f t="shared" si="32"/>
        <v>11.922190201729107</v>
      </c>
      <c r="H562" t="str">
        <f t="shared" si="33"/>
        <v>June</v>
      </c>
      <c r="I562" t="str">
        <f t="shared" si="34"/>
        <v>Q2</v>
      </c>
      <c r="J562" t="str">
        <f t="shared" si="35"/>
        <v>Large</v>
      </c>
    </row>
    <row r="563" spans="1:10" x14ac:dyDescent="0.25">
      <c r="A563" t="s">
        <v>14</v>
      </c>
      <c r="B563" t="s">
        <v>29</v>
      </c>
      <c r="C563" t="s">
        <v>57</v>
      </c>
      <c r="D563" s="1">
        <v>44775</v>
      </c>
      <c r="E563" s="2">
        <v>9541</v>
      </c>
      <c r="F563">
        <v>114</v>
      </c>
      <c r="G563" s="2">
        <f t="shared" si="32"/>
        <v>83.692982456140356</v>
      </c>
      <c r="H563" t="str">
        <f t="shared" si="33"/>
        <v>August</v>
      </c>
      <c r="I563" t="str">
        <f t="shared" si="34"/>
        <v>Q3</v>
      </c>
      <c r="J563" t="str">
        <f t="shared" si="35"/>
        <v>Large</v>
      </c>
    </row>
    <row r="564" spans="1:10" x14ac:dyDescent="0.25">
      <c r="A564" t="s">
        <v>17</v>
      </c>
      <c r="B564" t="s">
        <v>26</v>
      </c>
      <c r="C564" t="s">
        <v>56</v>
      </c>
      <c r="D564" s="1">
        <v>44785</v>
      </c>
      <c r="E564" s="2">
        <v>8001</v>
      </c>
      <c r="F564">
        <v>120</v>
      </c>
      <c r="G564" s="2">
        <f t="shared" si="32"/>
        <v>66.674999999999997</v>
      </c>
      <c r="H564" t="str">
        <f t="shared" si="33"/>
        <v>August</v>
      </c>
      <c r="I564" t="str">
        <f t="shared" si="34"/>
        <v>Q3</v>
      </c>
      <c r="J564" t="str">
        <f t="shared" si="35"/>
        <v>Large</v>
      </c>
    </row>
    <row r="565" spans="1:10" x14ac:dyDescent="0.25">
      <c r="A565" t="s">
        <v>53</v>
      </c>
      <c r="B565" t="s">
        <v>21</v>
      </c>
      <c r="C565" t="s">
        <v>13</v>
      </c>
      <c r="D565" s="1">
        <v>44589</v>
      </c>
      <c r="E565" s="2">
        <v>5152</v>
      </c>
      <c r="F565">
        <v>333</v>
      </c>
      <c r="G565" s="2">
        <f t="shared" si="32"/>
        <v>15.471471471471471</v>
      </c>
      <c r="H565" t="str">
        <f t="shared" si="33"/>
        <v>January</v>
      </c>
      <c r="I565" t="str">
        <f t="shared" si="34"/>
        <v>Q1</v>
      </c>
      <c r="J565" t="str">
        <f t="shared" si="35"/>
        <v>Large</v>
      </c>
    </row>
    <row r="566" spans="1:10" x14ac:dyDescent="0.25">
      <c r="A566" t="s">
        <v>49</v>
      </c>
      <c r="B566" t="s">
        <v>15</v>
      </c>
      <c r="C566" t="s">
        <v>27</v>
      </c>
      <c r="D566" s="1">
        <v>44680</v>
      </c>
      <c r="E566" s="2">
        <v>11116</v>
      </c>
      <c r="F566">
        <v>432</v>
      </c>
      <c r="G566" s="2">
        <f t="shared" si="32"/>
        <v>25.731481481481481</v>
      </c>
      <c r="H566" t="str">
        <f t="shared" si="33"/>
        <v>April</v>
      </c>
      <c r="I566" t="str">
        <f t="shared" si="34"/>
        <v>Q2</v>
      </c>
      <c r="J566" t="str">
        <f t="shared" si="35"/>
        <v>Large</v>
      </c>
    </row>
    <row r="567" spans="1:10" x14ac:dyDescent="0.25">
      <c r="A567" t="s">
        <v>33</v>
      </c>
      <c r="B567" t="s">
        <v>15</v>
      </c>
      <c r="C567" t="s">
        <v>45</v>
      </c>
      <c r="D567" s="1">
        <v>44656</v>
      </c>
      <c r="E567" s="2">
        <v>13076</v>
      </c>
      <c r="F567">
        <v>236</v>
      </c>
      <c r="G567" s="2">
        <f t="shared" si="32"/>
        <v>55.406779661016948</v>
      </c>
      <c r="H567" t="str">
        <f t="shared" si="33"/>
        <v>April</v>
      </c>
      <c r="I567" t="str">
        <f t="shared" si="34"/>
        <v>Q2</v>
      </c>
      <c r="J567" t="str">
        <f t="shared" si="35"/>
        <v>Large</v>
      </c>
    </row>
    <row r="568" spans="1:10" x14ac:dyDescent="0.25">
      <c r="A568" t="s">
        <v>41</v>
      </c>
      <c r="B568" t="s">
        <v>29</v>
      </c>
      <c r="C568" t="s">
        <v>45</v>
      </c>
      <c r="D568" s="1">
        <v>44579</v>
      </c>
      <c r="E568" s="2">
        <v>10213</v>
      </c>
      <c r="F568">
        <v>135</v>
      </c>
      <c r="G568" s="2">
        <f t="shared" si="32"/>
        <v>75.651851851851845</v>
      </c>
      <c r="H568" t="str">
        <f t="shared" si="33"/>
        <v>January</v>
      </c>
      <c r="I568" t="str">
        <f t="shared" si="34"/>
        <v>Q1</v>
      </c>
      <c r="J568" t="str">
        <f t="shared" si="35"/>
        <v>Large</v>
      </c>
    </row>
    <row r="569" spans="1:10" x14ac:dyDescent="0.25">
      <c r="A569" t="s">
        <v>6</v>
      </c>
      <c r="B569" t="s">
        <v>7</v>
      </c>
      <c r="C569" t="s">
        <v>56</v>
      </c>
      <c r="D569" s="1">
        <v>44697</v>
      </c>
      <c r="E569" s="2">
        <v>2485</v>
      </c>
      <c r="F569">
        <v>97</v>
      </c>
      <c r="G569" s="2">
        <f t="shared" si="32"/>
        <v>25.618556701030929</v>
      </c>
      <c r="H569" t="str">
        <f t="shared" si="33"/>
        <v>May</v>
      </c>
      <c r="I569" t="str">
        <f t="shared" si="34"/>
        <v>Q2</v>
      </c>
      <c r="J569" t="str">
        <f t="shared" si="35"/>
        <v>Large</v>
      </c>
    </row>
    <row r="570" spans="1:10" x14ac:dyDescent="0.25">
      <c r="A570" t="s">
        <v>49</v>
      </c>
      <c r="B570" t="s">
        <v>15</v>
      </c>
      <c r="C570" t="s">
        <v>44</v>
      </c>
      <c r="D570" s="1">
        <v>44797</v>
      </c>
      <c r="E570" s="2">
        <v>8715</v>
      </c>
      <c r="F570">
        <v>168</v>
      </c>
      <c r="G570" s="2">
        <f t="shared" si="32"/>
        <v>51.875</v>
      </c>
      <c r="H570" t="str">
        <f t="shared" si="33"/>
        <v>August</v>
      </c>
      <c r="I570" t="str">
        <f t="shared" si="34"/>
        <v>Q3</v>
      </c>
      <c r="J570" t="str">
        <f t="shared" si="35"/>
        <v>Large</v>
      </c>
    </row>
    <row r="571" spans="1:10" x14ac:dyDescent="0.25">
      <c r="A571" t="s">
        <v>38</v>
      </c>
      <c r="B571" t="s">
        <v>10</v>
      </c>
      <c r="C571" t="s">
        <v>11</v>
      </c>
      <c r="D571" s="1">
        <v>44579</v>
      </c>
      <c r="E571" s="2">
        <v>273</v>
      </c>
      <c r="F571">
        <v>402</v>
      </c>
      <c r="G571" s="2">
        <f t="shared" si="32"/>
        <v>0.67910447761194026</v>
      </c>
      <c r="H571" t="str">
        <f t="shared" si="33"/>
        <v>January</v>
      </c>
      <c r="I571" t="str">
        <f t="shared" si="34"/>
        <v>Q1</v>
      </c>
      <c r="J571" t="str">
        <f t="shared" si="35"/>
        <v>Small</v>
      </c>
    </row>
    <row r="572" spans="1:10" x14ac:dyDescent="0.25">
      <c r="A572" t="s">
        <v>41</v>
      </c>
      <c r="B572" t="s">
        <v>26</v>
      </c>
      <c r="C572" t="s">
        <v>30</v>
      </c>
      <c r="D572" s="1">
        <v>44795</v>
      </c>
      <c r="E572" s="2">
        <v>7623</v>
      </c>
      <c r="F572">
        <v>10</v>
      </c>
      <c r="G572" s="2">
        <f t="shared" si="32"/>
        <v>762.3</v>
      </c>
      <c r="H572" t="str">
        <f t="shared" si="33"/>
        <v>August</v>
      </c>
      <c r="I572" t="str">
        <f t="shared" si="34"/>
        <v>Q3</v>
      </c>
      <c r="J572" t="str">
        <f t="shared" si="35"/>
        <v>Large</v>
      </c>
    </row>
    <row r="573" spans="1:10" x14ac:dyDescent="0.25">
      <c r="A573" t="s">
        <v>19</v>
      </c>
      <c r="B573" t="s">
        <v>7</v>
      </c>
      <c r="C573" t="s">
        <v>18</v>
      </c>
      <c r="D573" s="1">
        <v>44627</v>
      </c>
      <c r="E573" s="2">
        <v>7</v>
      </c>
      <c r="F573">
        <v>84</v>
      </c>
      <c r="G573" s="2">
        <f t="shared" si="32"/>
        <v>8.3333333333333329E-2</v>
      </c>
      <c r="H573" t="str">
        <f t="shared" si="33"/>
        <v>March</v>
      </c>
      <c r="I573" t="str">
        <f t="shared" si="34"/>
        <v>Q1</v>
      </c>
      <c r="J573" t="str">
        <f t="shared" si="35"/>
        <v>Small</v>
      </c>
    </row>
    <row r="574" spans="1:10" x14ac:dyDescent="0.25">
      <c r="A574" t="s">
        <v>34</v>
      </c>
      <c r="B574" t="s">
        <v>7</v>
      </c>
      <c r="C574" t="s">
        <v>52</v>
      </c>
      <c r="D574" s="1">
        <v>44624</v>
      </c>
      <c r="E574" s="2">
        <v>3010</v>
      </c>
      <c r="F574">
        <v>69</v>
      </c>
      <c r="G574" s="2">
        <f t="shared" si="32"/>
        <v>43.623188405797102</v>
      </c>
      <c r="H574" t="str">
        <f t="shared" si="33"/>
        <v>March</v>
      </c>
      <c r="I574" t="str">
        <f t="shared" si="34"/>
        <v>Q1</v>
      </c>
      <c r="J574" t="str">
        <f t="shared" si="35"/>
        <v>Large</v>
      </c>
    </row>
    <row r="575" spans="1:10" x14ac:dyDescent="0.25">
      <c r="A575" t="s">
        <v>54</v>
      </c>
      <c r="B575" t="s">
        <v>29</v>
      </c>
      <c r="C575" t="s">
        <v>45</v>
      </c>
      <c r="D575" s="1">
        <v>44673</v>
      </c>
      <c r="E575" s="2">
        <v>11550</v>
      </c>
      <c r="F575">
        <v>111</v>
      </c>
      <c r="G575" s="2">
        <f t="shared" si="32"/>
        <v>104.05405405405405</v>
      </c>
      <c r="H575" t="str">
        <f t="shared" si="33"/>
        <v>April</v>
      </c>
      <c r="I575" t="str">
        <f t="shared" si="34"/>
        <v>Q2</v>
      </c>
      <c r="J575" t="str">
        <f t="shared" si="35"/>
        <v>Large</v>
      </c>
    </row>
    <row r="576" spans="1:10" x14ac:dyDescent="0.25">
      <c r="A576" t="s">
        <v>41</v>
      </c>
      <c r="B576" t="s">
        <v>15</v>
      </c>
      <c r="C576" t="s">
        <v>37</v>
      </c>
      <c r="D576" s="1">
        <v>44721</v>
      </c>
      <c r="E576" s="2">
        <v>4046</v>
      </c>
      <c r="F576">
        <v>89</v>
      </c>
      <c r="G576" s="2">
        <f t="shared" si="32"/>
        <v>45.460674157303373</v>
      </c>
      <c r="H576" t="str">
        <f t="shared" si="33"/>
        <v>June</v>
      </c>
      <c r="I576" t="str">
        <f t="shared" si="34"/>
        <v>Q2</v>
      </c>
      <c r="J576" t="str">
        <f t="shared" si="35"/>
        <v>Large</v>
      </c>
    </row>
    <row r="577" spans="1:10" x14ac:dyDescent="0.25">
      <c r="A577" t="s">
        <v>14</v>
      </c>
      <c r="B577" t="s">
        <v>29</v>
      </c>
      <c r="C577" t="s">
        <v>42</v>
      </c>
      <c r="D577" s="1">
        <v>44767</v>
      </c>
      <c r="E577" s="2">
        <v>8904</v>
      </c>
      <c r="F577">
        <v>199</v>
      </c>
      <c r="G577" s="2">
        <f t="shared" si="32"/>
        <v>44.743718592964825</v>
      </c>
      <c r="H577" t="str">
        <f t="shared" si="33"/>
        <v>July</v>
      </c>
      <c r="I577" t="str">
        <f t="shared" si="34"/>
        <v>Q3</v>
      </c>
      <c r="J577" t="str">
        <f t="shared" si="35"/>
        <v>Large</v>
      </c>
    </row>
    <row r="578" spans="1:10" x14ac:dyDescent="0.25">
      <c r="A578" t="s">
        <v>14</v>
      </c>
      <c r="B578" t="s">
        <v>10</v>
      </c>
      <c r="C578" t="s">
        <v>16</v>
      </c>
      <c r="D578" s="1">
        <v>44776</v>
      </c>
      <c r="E578" s="2">
        <v>11298</v>
      </c>
      <c r="F578">
        <v>89</v>
      </c>
      <c r="G578" s="2">
        <f t="shared" si="32"/>
        <v>126.9438202247191</v>
      </c>
      <c r="H578" t="str">
        <f t="shared" si="33"/>
        <v>August</v>
      </c>
      <c r="I578" t="str">
        <f t="shared" si="34"/>
        <v>Q3</v>
      </c>
      <c r="J578" t="str">
        <f t="shared" si="35"/>
        <v>Large</v>
      </c>
    </row>
    <row r="579" spans="1:10" x14ac:dyDescent="0.25">
      <c r="A579" t="s">
        <v>24</v>
      </c>
      <c r="B579" t="s">
        <v>15</v>
      </c>
      <c r="C579" t="s">
        <v>45</v>
      </c>
      <c r="D579" s="1">
        <v>44776</v>
      </c>
      <c r="E579" s="2">
        <v>4396</v>
      </c>
      <c r="F579">
        <v>131</v>
      </c>
      <c r="G579" s="2">
        <f t="shared" ref="G579:G642" si="36">E579/F579</f>
        <v>33.55725190839695</v>
      </c>
      <c r="H579" t="str">
        <f t="shared" ref="H579:H642" si="37">TEXT(D579, "mmmm")</f>
        <v>August</v>
      </c>
      <c r="I579" t="str">
        <f t="shared" ref="I579:I642" si="38">"Q" &amp; ROUNDUP(MONTH(D579)/3,0)</f>
        <v>Q3</v>
      </c>
      <c r="J579" t="str">
        <f t="shared" ref="J579:J642" si="39">IF(E579 &gt; 500, "Large", "Small")</f>
        <v>Large</v>
      </c>
    </row>
    <row r="580" spans="1:10" x14ac:dyDescent="0.25">
      <c r="A580" t="s">
        <v>6</v>
      </c>
      <c r="B580" t="s">
        <v>7</v>
      </c>
      <c r="C580" t="s">
        <v>37</v>
      </c>
      <c r="D580" s="1">
        <v>44684</v>
      </c>
      <c r="E580" s="2">
        <v>12068</v>
      </c>
      <c r="F580">
        <v>227</v>
      </c>
      <c r="G580" s="2">
        <f t="shared" si="36"/>
        <v>53.162995594713657</v>
      </c>
      <c r="H580" t="str">
        <f t="shared" si="37"/>
        <v>May</v>
      </c>
      <c r="I580" t="str">
        <f t="shared" si="38"/>
        <v>Q2</v>
      </c>
      <c r="J580" t="str">
        <f t="shared" si="39"/>
        <v>Large</v>
      </c>
    </row>
    <row r="581" spans="1:10" x14ac:dyDescent="0.25">
      <c r="A581" t="s">
        <v>40</v>
      </c>
      <c r="B581" t="s">
        <v>29</v>
      </c>
      <c r="C581" t="s">
        <v>20</v>
      </c>
      <c r="D581" s="1">
        <v>44580</v>
      </c>
      <c r="E581" s="2">
        <v>9772</v>
      </c>
      <c r="F581">
        <v>301</v>
      </c>
      <c r="G581" s="2">
        <f t="shared" si="36"/>
        <v>32.465116279069768</v>
      </c>
      <c r="H581" t="str">
        <f t="shared" si="37"/>
        <v>January</v>
      </c>
      <c r="I581" t="str">
        <f t="shared" si="38"/>
        <v>Q1</v>
      </c>
      <c r="J581" t="str">
        <f t="shared" si="39"/>
        <v>Large</v>
      </c>
    </row>
    <row r="582" spans="1:10" x14ac:dyDescent="0.25">
      <c r="A582" t="s">
        <v>36</v>
      </c>
      <c r="B582" t="s">
        <v>26</v>
      </c>
      <c r="C582" t="s">
        <v>22</v>
      </c>
      <c r="D582" s="1">
        <v>44603</v>
      </c>
      <c r="E582" s="2">
        <v>10458</v>
      </c>
      <c r="F582">
        <v>316</v>
      </c>
      <c r="G582" s="2">
        <f t="shared" si="36"/>
        <v>33.094936708860757</v>
      </c>
      <c r="H582" t="str">
        <f t="shared" si="37"/>
        <v>February</v>
      </c>
      <c r="I582" t="str">
        <f t="shared" si="38"/>
        <v>Q1</v>
      </c>
      <c r="J582" t="str">
        <f t="shared" si="39"/>
        <v>Large</v>
      </c>
    </row>
    <row r="583" spans="1:10" x14ac:dyDescent="0.25">
      <c r="A583" t="s">
        <v>9</v>
      </c>
      <c r="B583" t="s">
        <v>10</v>
      </c>
      <c r="C583" t="s">
        <v>47</v>
      </c>
      <c r="D583" s="1">
        <v>44726</v>
      </c>
      <c r="E583" s="2">
        <v>6426</v>
      </c>
      <c r="F583">
        <v>390</v>
      </c>
      <c r="G583" s="2">
        <f t="shared" si="36"/>
        <v>16.476923076923075</v>
      </c>
      <c r="H583" t="str">
        <f t="shared" si="37"/>
        <v>June</v>
      </c>
      <c r="I583" t="str">
        <f t="shared" si="38"/>
        <v>Q2</v>
      </c>
      <c r="J583" t="str">
        <f t="shared" si="39"/>
        <v>Large</v>
      </c>
    </row>
    <row r="584" spans="1:10" x14ac:dyDescent="0.25">
      <c r="A584" t="s">
        <v>49</v>
      </c>
      <c r="B584" t="s">
        <v>26</v>
      </c>
      <c r="C584" t="s">
        <v>22</v>
      </c>
      <c r="D584" s="1">
        <v>44643</v>
      </c>
      <c r="E584" s="2">
        <v>6188</v>
      </c>
      <c r="F584">
        <v>223</v>
      </c>
      <c r="G584" s="2">
        <f t="shared" si="36"/>
        <v>27.748878923766817</v>
      </c>
      <c r="H584" t="str">
        <f t="shared" si="37"/>
        <v>March</v>
      </c>
      <c r="I584" t="str">
        <f t="shared" si="38"/>
        <v>Q1</v>
      </c>
      <c r="J584" t="str">
        <f t="shared" si="39"/>
        <v>Large</v>
      </c>
    </row>
    <row r="585" spans="1:10" x14ac:dyDescent="0.25">
      <c r="A585" t="s">
        <v>53</v>
      </c>
      <c r="B585" t="s">
        <v>29</v>
      </c>
      <c r="C585" t="s">
        <v>11</v>
      </c>
      <c r="D585" s="1">
        <v>44609</v>
      </c>
      <c r="E585" s="2">
        <v>7504</v>
      </c>
      <c r="F585">
        <v>101</v>
      </c>
      <c r="G585" s="2">
        <f t="shared" si="36"/>
        <v>74.297029702970292</v>
      </c>
      <c r="H585" t="str">
        <f t="shared" si="37"/>
        <v>February</v>
      </c>
      <c r="I585" t="str">
        <f t="shared" si="38"/>
        <v>Q1</v>
      </c>
      <c r="J585" t="str">
        <f t="shared" si="39"/>
        <v>Large</v>
      </c>
    </row>
    <row r="586" spans="1:10" x14ac:dyDescent="0.25">
      <c r="A586" t="s">
        <v>43</v>
      </c>
      <c r="B586" t="s">
        <v>29</v>
      </c>
      <c r="C586" t="s">
        <v>16</v>
      </c>
      <c r="D586" s="1">
        <v>44637</v>
      </c>
      <c r="E586" s="2">
        <v>1750</v>
      </c>
      <c r="F586">
        <v>479</v>
      </c>
      <c r="G586" s="2">
        <f t="shared" si="36"/>
        <v>3.6534446764091859</v>
      </c>
      <c r="H586" t="str">
        <f t="shared" si="37"/>
        <v>March</v>
      </c>
      <c r="I586" t="str">
        <f t="shared" si="38"/>
        <v>Q1</v>
      </c>
      <c r="J586" t="str">
        <f t="shared" si="39"/>
        <v>Large</v>
      </c>
    </row>
    <row r="587" spans="1:10" x14ac:dyDescent="0.25">
      <c r="A587" t="s">
        <v>28</v>
      </c>
      <c r="B587" t="s">
        <v>15</v>
      </c>
      <c r="C587" t="s">
        <v>39</v>
      </c>
      <c r="D587" s="1">
        <v>44741</v>
      </c>
      <c r="E587" s="2">
        <v>5439</v>
      </c>
      <c r="F587">
        <v>287</v>
      </c>
      <c r="G587" s="2">
        <f t="shared" si="36"/>
        <v>18.951219512195124</v>
      </c>
      <c r="H587" t="str">
        <f t="shared" si="37"/>
        <v>June</v>
      </c>
      <c r="I587" t="str">
        <f t="shared" si="38"/>
        <v>Q2</v>
      </c>
      <c r="J587" t="str">
        <f t="shared" si="39"/>
        <v>Large</v>
      </c>
    </row>
    <row r="588" spans="1:10" x14ac:dyDescent="0.25">
      <c r="A588" t="s">
        <v>55</v>
      </c>
      <c r="B588" t="s">
        <v>29</v>
      </c>
      <c r="C588" t="s">
        <v>52</v>
      </c>
      <c r="D588" s="1">
        <v>44797</v>
      </c>
      <c r="E588" s="2">
        <v>15547</v>
      </c>
      <c r="F588">
        <v>269</v>
      </c>
      <c r="G588" s="2">
        <f t="shared" si="36"/>
        <v>57.795539033457246</v>
      </c>
      <c r="H588" t="str">
        <f t="shared" si="37"/>
        <v>August</v>
      </c>
      <c r="I588" t="str">
        <f t="shared" si="38"/>
        <v>Q3</v>
      </c>
      <c r="J588" t="str">
        <f t="shared" si="39"/>
        <v>Large</v>
      </c>
    </row>
    <row r="589" spans="1:10" x14ac:dyDescent="0.25">
      <c r="A589" t="s">
        <v>12</v>
      </c>
      <c r="B589" t="s">
        <v>29</v>
      </c>
      <c r="C589" t="s">
        <v>39</v>
      </c>
      <c r="D589" s="1">
        <v>44746</v>
      </c>
      <c r="E589" s="2">
        <v>11956</v>
      </c>
      <c r="F589">
        <v>277</v>
      </c>
      <c r="G589" s="2">
        <f t="shared" si="36"/>
        <v>43.162454873646212</v>
      </c>
      <c r="H589" t="str">
        <f t="shared" si="37"/>
        <v>July</v>
      </c>
      <c r="I589" t="str">
        <f t="shared" si="38"/>
        <v>Q3</v>
      </c>
      <c r="J589" t="str">
        <f t="shared" si="39"/>
        <v>Large</v>
      </c>
    </row>
    <row r="590" spans="1:10" x14ac:dyDescent="0.25">
      <c r="A590" t="s">
        <v>36</v>
      </c>
      <c r="B590" t="s">
        <v>21</v>
      </c>
      <c r="C590" t="s">
        <v>47</v>
      </c>
      <c r="D590" s="1">
        <v>44648</v>
      </c>
      <c r="E590" s="2">
        <v>2723</v>
      </c>
      <c r="F590">
        <v>67</v>
      </c>
      <c r="G590" s="2">
        <f t="shared" si="36"/>
        <v>40.64179104477612</v>
      </c>
      <c r="H590" t="str">
        <f t="shared" si="37"/>
        <v>March</v>
      </c>
      <c r="I590" t="str">
        <f t="shared" si="38"/>
        <v>Q1</v>
      </c>
      <c r="J590" t="str">
        <f t="shared" si="39"/>
        <v>Large</v>
      </c>
    </row>
    <row r="591" spans="1:10" x14ac:dyDescent="0.25">
      <c r="A591" t="s">
        <v>38</v>
      </c>
      <c r="B591" t="s">
        <v>10</v>
      </c>
      <c r="C591" t="s">
        <v>16</v>
      </c>
      <c r="D591" s="1">
        <v>44670</v>
      </c>
      <c r="E591" s="2">
        <v>19327</v>
      </c>
      <c r="F591">
        <v>135</v>
      </c>
      <c r="G591" s="2">
        <f t="shared" si="36"/>
        <v>143.16296296296295</v>
      </c>
      <c r="H591" t="str">
        <f t="shared" si="37"/>
        <v>April</v>
      </c>
      <c r="I591" t="str">
        <f t="shared" si="38"/>
        <v>Q2</v>
      </c>
      <c r="J591" t="str">
        <f t="shared" si="39"/>
        <v>Large</v>
      </c>
    </row>
    <row r="592" spans="1:10" x14ac:dyDescent="0.25">
      <c r="A592" t="s">
        <v>55</v>
      </c>
      <c r="B592" t="s">
        <v>21</v>
      </c>
      <c r="C592" t="s">
        <v>8</v>
      </c>
      <c r="D592" s="1">
        <v>44579</v>
      </c>
      <c r="E592" s="2">
        <v>9058</v>
      </c>
      <c r="F592">
        <v>229</v>
      </c>
      <c r="G592" s="2">
        <f t="shared" si="36"/>
        <v>39.554585152838428</v>
      </c>
      <c r="H592" t="str">
        <f t="shared" si="37"/>
        <v>January</v>
      </c>
      <c r="I592" t="str">
        <f t="shared" si="38"/>
        <v>Q1</v>
      </c>
      <c r="J592" t="str">
        <f t="shared" si="39"/>
        <v>Large</v>
      </c>
    </row>
    <row r="593" spans="1:10" x14ac:dyDescent="0.25">
      <c r="A593" t="s">
        <v>9</v>
      </c>
      <c r="B593" t="s">
        <v>21</v>
      </c>
      <c r="C593" t="s">
        <v>42</v>
      </c>
      <c r="D593" s="1">
        <v>44578</v>
      </c>
      <c r="E593" s="2">
        <v>2996</v>
      </c>
      <c r="F593">
        <v>88</v>
      </c>
      <c r="G593" s="2">
        <f t="shared" si="36"/>
        <v>34.045454545454547</v>
      </c>
      <c r="H593" t="str">
        <f t="shared" si="37"/>
        <v>January</v>
      </c>
      <c r="I593" t="str">
        <f t="shared" si="38"/>
        <v>Q1</v>
      </c>
      <c r="J593" t="str">
        <f t="shared" si="39"/>
        <v>Large</v>
      </c>
    </row>
    <row r="594" spans="1:10" x14ac:dyDescent="0.25">
      <c r="A594" t="s">
        <v>48</v>
      </c>
      <c r="B594" t="s">
        <v>21</v>
      </c>
      <c r="C594" t="s">
        <v>8</v>
      </c>
      <c r="D594" s="1">
        <v>44607</v>
      </c>
      <c r="E594" s="2">
        <v>8848</v>
      </c>
      <c r="F594">
        <v>211</v>
      </c>
      <c r="G594" s="2">
        <f t="shared" si="36"/>
        <v>41.933649289099527</v>
      </c>
      <c r="H594" t="str">
        <f t="shared" si="37"/>
        <v>February</v>
      </c>
      <c r="I594" t="str">
        <f t="shared" si="38"/>
        <v>Q1</v>
      </c>
      <c r="J594" t="str">
        <f t="shared" si="39"/>
        <v>Large</v>
      </c>
    </row>
    <row r="595" spans="1:10" x14ac:dyDescent="0.25">
      <c r="A595" t="s">
        <v>48</v>
      </c>
      <c r="B595" t="s">
        <v>7</v>
      </c>
      <c r="C595" t="s">
        <v>37</v>
      </c>
      <c r="D595" s="1">
        <v>44603</v>
      </c>
      <c r="E595" s="2">
        <v>14336</v>
      </c>
      <c r="F595">
        <v>293</v>
      </c>
      <c r="G595" s="2">
        <f t="shared" si="36"/>
        <v>48.928327645051198</v>
      </c>
      <c r="H595" t="str">
        <f t="shared" si="37"/>
        <v>February</v>
      </c>
      <c r="I595" t="str">
        <f t="shared" si="38"/>
        <v>Q1</v>
      </c>
      <c r="J595" t="str">
        <f t="shared" si="39"/>
        <v>Large</v>
      </c>
    </row>
    <row r="596" spans="1:10" x14ac:dyDescent="0.25">
      <c r="A596" t="s">
        <v>50</v>
      </c>
      <c r="B596" t="s">
        <v>26</v>
      </c>
      <c r="C596" t="s">
        <v>45</v>
      </c>
      <c r="D596" s="1">
        <v>44641</v>
      </c>
      <c r="E596" s="2">
        <v>16401</v>
      </c>
      <c r="F596">
        <v>179</v>
      </c>
      <c r="G596" s="2">
        <f t="shared" si="36"/>
        <v>91.625698324022352</v>
      </c>
      <c r="H596" t="str">
        <f t="shared" si="37"/>
        <v>March</v>
      </c>
      <c r="I596" t="str">
        <f t="shared" si="38"/>
        <v>Q1</v>
      </c>
      <c r="J596" t="str">
        <f t="shared" si="39"/>
        <v>Large</v>
      </c>
    </row>
    <row r="597" spans="1:10" x14ac:dyDescent="0.25">
      <c r="A597" t="s">
        <v>19</v>
      </c>
      <c r="B597" t="s">
        <v>21</v>
      </c>
      <c r="C597" t="s">
        <v>47</v>
      </c>
      <c r="D597" s="1">
        <v>44566</v>
      </c>
      <c r="E597" s="2">
        <v>5173</v>
      </c>
      <c r="F597">
        <v>129</v>
      </c>
      <c r="G597" s="2">
        <f t="shared" si="36"/>
        <v>40.100775193798448</v>
      </c>
      <c r="H597" t="str">
        <f t="shared" si="37"/>
        <v>January</v>
      </c>
      <c r="I597" t="str">
        <f t="shared" si="38"/>
        <v>Q1</v>
      </c>
      <c r="J597" t="str">
        <f t="shared" si="39"/>
        <v>Large</v>
      </c>
    </row>
    <row r="598" spans="1:10" x14ac:dyDescent="0.25">
      <c r="A598" t="s">
        <v>23</v>
      </c>
      <c r="B598" t="s">
        <v>10</v>
      </c>
      <c r="C598" t="s">
        <v>51</v>
      </c>
      <c r="D598" s="1">
        <v>44711</v>
      </c>
      <c r="E598" s="2">
        <v>6328</v>
      </c>
      <c r="F598">
        <v>164</v>
      </c>
      <c r="G598" s="2">
        <f t="shared" si="36"/>
        <v>38.585365853658537</v>
      </c>
      <c r="H598" t="str">
        <f t="shared" si="37"/>
        <v>May</v>
      </c>
      <c r="I598" t="str">
        <f t="shared" si="38"/>
        <v>Q2</v>
      </c>
      <c r="J598" t="str">
        <f t="shared" si="39"/>
        <v>Large</v>
      </c>
    </row>
    <row r="599" spans="1:10" x14ac:dyDescent="0.25">
      <c r="A599" t="s">
        <v>6</v>
      </c>
      <c r="B599" t="s">
        <v>26</v>
      </c>
      <c r="C599" t="s">
        <v>18</v>
      </c>
      <c r="D599" s="1">
        <v>44565</v>
      </c>
      <c r="E599" s="2">
        <v>2534</v>
      </c>
      <c r="F599">
        <v>219</v>
      </c>
      <c r="G599" s="2">
        <f t="shared" si="36"/>
        <v>11.570776255707763</v>
      </c>
      <c r="H599" t="str">
        <f t="shared" si="37"/>
        <v>January</v>
      </c>
      <c r="I599" t="str">
        <f t="shared" si="38"/>
        <v>Q1</v>
      </c>
      <c r="J599" t="str">
        <f t="shared" si="39"/>
        <v>Large</v>
      </c>
    </row>
    <row r="600" spans="1:10" x14ac:dyDescent="0.25">
      <c r="A600" t="s">
        <v>34</v>
      </c>
      <c r="B600" t="s">
        <v>15</v>
      </c>
      <c r="C600" t="s">
        <v>42</v>
      </c>
      <c r="D600" s="1">
        <v>44673</v>
      </c>
      <c r="E600" s="2">
        <v>1435</v>
      </c>
      <c r="F600">
        <v>258</v>
      </c>
      <c r="G600" s="2">
        <f t="shared" si="36"/>
        <v>5.5620155038759691</v>
      </c>
      <c r="H600" t="str">
        <f t="shared" si="37"/>
        <v>April</v>
      </c>
      <c r="I600" t="str">
        <f t="shared" si="38"/>
        <v>Q2</v>
      </c>
      <c r="J600" t="str">
        <f t="shared" si="39"/>
        <v>Large</v>
      </c>
    </row>
    <row r="601" spans="1:10" x14ac:dyDescent="0.25">
      <c r="A601" t="s">
        <v>12</v>
      </c>
      <c r="B601" t="s">
        <v>29</v>
      </c>
      <c r="C601" t="s">
        <v>37</v>
      </c>
      <c r="D601" s="1">
        <v>44602</v>
      </c>
      <c r="E601" s="2">
        <v>3052</v>
      </c>
      <c r="F601">
        <v>116</v>
      </c>
      <c r="G601" s="2">
        <f t="shared" si="36"/>
        <v>26.310344827586206</v>
      </c>
      <c r="H601" t="str">
        <f t="shared" si="37"/>
        <v>February</v>
      </c>
      <c r="I601" t="str">
        <f t="shared" si="38"/>
        <v>Q1</v>
      </c>
      <c r="J601" t="str">
        <f t="shared" si="39"/>
        <v>Large</v>
      </c>
    </row>
    <row r="602" spans="1:10" x14ac:dyDescent="0.25">
      <c r="A602" t="s">
        <v>54</v>
      </c>
      <c r="B602" t="s">
        <v>10</v>
      </c>
      <c r="C602" t="s">
        <v>39</v>
      </c>
      <c r="D602" s="1">
        <v>44785</v>
      </c>
      <c r="E602" s="2">
        <v>910</v>
      </c>
      <c r="F602">
        <v>204</v>
      </c>
      <c r="G602" s="2">
        <f t="shared" si="36"/>
        <v>4.4607843137254903</v>
      </c>
      <c r="H602" t="str">
        <f t="shared" si="37"/>
        <v>August</v>
      </c>
      <c r="I602" t="str">
        <f t="shared" si="38"/>
        <v>Q3</v>
      </c>
      <c r="J602" t="str">
        <f t="shared" si="39"/>
        <v>Large</v>
      </c>
    </row>
    <row r="603" spans="1:10" x14ac:dyDescent="0.25">
      <c r="A603" t="s">
        <v>19</v>
      </c>
      <c r="B603" t="s">
        <v>26</v>
      </c>
      <c r="C603" t="s">
        <v>35</v>
      </c>
      <c r="D603" s="1">
        <v>44783</v>
      </c>
      <c r="E603" s="2">
        <v>2331</v>
      </c>
      <c r="F603">
        <v>321</v>
      </c>
      <c r="G603" s="2">
        <f t="shared" si="36"/>
        <v>7.2616822429906538</v>
      </c>
      <c r="H603" t="str">
        <f t="shared" si="37"/>
        <v>August</v>
      </c>
      <c r="I603" t="str">
        <f t="shared" si="38"/>
        <v>Q3</v>
      </c>
      <c r="J603" t="str">
        <f t="shared" si="39"/>
        <v>Large</v>
      </c>
    </row>
    <row r="604" spans="1:10" x14ac:dyDescent="0.25">
      <c r="A604" t="s">
        <v>49</v>
      </c>
      <c r="B604" t="s">
        <v>15</v>
      </c>
      <c r="C604" t="s">
        <v>51</v>
      </c>
      <c r="D604" s="1">
        <v>44719</v>
      </c>
      <c r="E604" s="2">
        <v>679</v>
      </c>
      <c r="F604">
        <v>56</v>
      </c>
      <c r="G604" s="2">
        <f t="shared" si="36"/>
        <v>12.125</v>
      </c>
      <c r="H604" t="str">
        <f t="shared" si="37"/>
        <v>June</v>
      </c>
      <c r="I604" t="str">
        <f t="shared" si="38"/>
        <v>Q2</v>
      </c>
      <c r="J604" t="str">
        <f t="shared" si="39"/>
        <v>Large</v>
      </c>
    </row>
    <row r="605" spans="1:10" x14ac:dyDescent="0.25">
      <c r="A605" t="s">
        <v>6</v>
      </c>
      <c r="B605" t="s">
        <v>10</v>
      </c>
      <c r="C605" t="s">
        <v>56</v>
      </c>
      <c r="D605" s="1">
        <v>44718</v>
      </c>
      <c r="E605" s="2">
        <v>2086</v>
      </c>
      <c r="F605">
        <v>74</v>
      </c>
      <c r="G605" s="2">
        <f t="shared" si="36"/>
        <v>28.189189189189189</v>
      </c>
      <c r="H605" t="str">
        <f t="shared" si="37"/>
        <v>June</v>
      </c>
      <c r="I605" t="str">
        <f t="shared" si="38"/>
        <v>Q2</v>
      </c>
      <c r="J605" t="str">
        <f t="shared" si="39"/>
        <v>Large</v>
      </c>
    </row>
    <row r="606" spans="1:10" x14ac:dyDescent="0.25">
      <c r="A606" t="s">
        <v>31</v>
      </c>
      <c r="B606" t="s">
        <v>21</v>
      </c>
      <c r="C606" t="s">
        <v>56</v>
      </c>
      <c r="D606" s="1">
        <v>44656</v>
      </c>
      <c r="E606" s="2">
        <v>5012</v>
      </c>
      <c r="F606">
        <v>189</v>
      </c>
      <c r="G606" s="2">
        <f t="shared" si="36"/>
        <v>26.518518518518519</v>
      </c>
      <c r="H606" t="str">
        <f t="shared" si="37"/>
        <v>April</v>
      </c>
      <c r="I606" t="str">
        <f t="shared" si="38"/>
        <v>Q2</v>
      </c>
      <c r="J606" t="str">
        <f t="shared" si="39"/>
        <v>Large</v>
      </c>
    </row>
    <row r="607" spans="1:10" x14ac:dyDescent="0.25">
      <c r="A607" t="s">
        <v>46</v>
      </c>
      <c r="B607" t="s">
        <v>26</v>
      </c>
      <c r="C607" t="s">
        <v>22</v>
      </c>
      <c r="D607" s="1">
        <v>44669</v>
      </c>
      <c r="E607" s="2">
        <v>4501</v>
      </c>
      <c r="F607">
        <v>131</v>
      </c>
      <c r="G607" s="2">
        <f t="shared" si="36"/>
        <v>34.358778625954201</v>
      </c>
      <c r="H607" t="str">
        <f t="shared" si="37"/>
        <v>April</v>
      </c>
      <c r="I607" t="str">
        <f t="shared" si="38"/>
        <v>Q2</v>
      </c>
      <c r="J607" t="str">
        <f t="shared" si="39"/>
        <v>Large</v>
      </c>
    </row>
    <row r="608" spans="1:10" x14ac:dyDescent="0.25">
      <c r="A608" t="s">
        <v>48</v>
      </c>
      <c r="B608" t="s">
        <v>10</v>
      </c>
      <c r="C608" t="s">
        <v>22</v>
      </c>
      <c r="D608" s="1">
        <v>44592</v>
      </c>
      <c r="E608" s="2">
        <v>13482</v>
      </c>
      <c r="F608">
        <v>15</v>
      </c>
      <c r="G608" s="2">
        <f t="shared" si="36"/>
        <v>898.8</v>
      </c>
      <c r="H608" t="str">
        <f t="shared" si="37"/>
        <v>January</v>
      </c>
      <c r="I608" t="str">
        <f t="shared" si="38"/>
        <v>Q1</v>
      </c>
      <c r="J608" t="str">
        <f t="shared" si="39"/>
        <v>Large</v>
      </c>
    </row>
    <row r="609" spans="1:10" x14ac:dyDescent="0.25">
      <c r="A609" t="s">
        <v>53</v>
      </c>
      <c r="B609" t="s">
        <v>26</v>
      </c>
      <c r="C609" t="s">
        <v>56</v>
      </c>
      <c r="D609" s="1">
        <v>44795</v>
      </c>
      <c r="E609" s="2">
        <v>5621</v>
      </c>
      <c r="F609">
        <v>140</v>
      </c>
      <c r="G609" s="2">
        <f t="shared" si="36"/>
        <v>40.15</v>
      </c>
      <c r="H609" t="str">
        <f t="shared" si="37"/>
        <v>August</v>
      </c>
      <c r="I609" t="str">
        <f t="shared" si="38"/>
        <v>Q3</v>
      </c>
      <c r="J609" t="str">
        <f t="shared" si="39"/>
        <v>Large</v>
      </c>
    </row>
    <row r="610" spans="1:10" x14ac:dyDescent="0.25">
      <c r="A610" t="s">
        <v>6</v>
      </c>
      <c r="B610" t="s">
        <v>15</v>
      </c>
      <c r="C610" t="s">
        <v>18</v>
      </c>
      <c r="D610" s="1">
        <v>44617</v>
      </c>
      <c r="E610" s="2">
        <v>10486</v>
      </c>
      <c r="F610">
        <v>198</v>
      </c>
      <c r="G610" s="2">
        <f t="shared" si="36"/>
        <v>52.959595959595958</v>
      </c>
      <c r="H610" t="str">
        <f t="shared" si="37"/>
        <v>February</v>
      </c>
      <c r="I610" t="str">
        <f t="shared" si="38"/>
        <v>Q1</v>
      </c>
      <c r="J610" t="str">
        <f t="shared" si="39"/>
        <v>Large</v>
      </c>
    </row>
    <row r="611" spans="1:10" x14ac:dyDescent="0.25">
      <c r="A611" t="s">
        <v>14</v>
      </c>
      <c r="B611" t="s">
        <v>15</v>
      </c>
      <c r="C611" t="s">
        <v>8</v>
      </c>
      <c r="D611" s="1">
        <v>44614</v>
      </c>
      <c r="E611" s="2">
        <v>17626</v>
      </c>
      <c r="F611">
        <v>103</v>
      </c>
      <c r="G611" s="2">
        <f t="shared" si="36"/>
        <v>171.126213592233</v>
      </c>
      <c r="H611" t="str">
        <f t="shared" si="37"/>
        <v>February</v>
      </c>
      <c r="I611" t="str">
        <f t="shared" si="38"/>
        <v>Q1</v>
      </c>
      <c r="J611" t="str">
        <f t="shared" si="39"/>
        <v>Large</v>
      </c>
    </row>
    <row r="612" spans="1:10" x14ac:dyDescent="0.25">
      <c r="A612" t="s">
        <v>17</v>
      </c>
      <c r="B612" t="s">
        <v>21</v>
      </c>
      <c r="C612" t="s">
        <v>37</v>
      </c>
      <c r="D612" s="1">
        <v>44573</v>
      </c>
      <c r="E612" s="2">
        <v>4494</v>
      </c>
      <c r="F612">
        <v>187</v>
      </c>
      <c r="G612" s="2">
        <f t="shared" si="36"/>
        <v>24.032085561497325</v>
      </c>
      <c r="H612" t="str">
        <f t="shared" si="37"/>
        <v>January</v>
      </c>
      <c r="I612" t="str">
        <f t="shared" si="38"/>
        <v>Q1</v>
      </c>
      <c r="J612" t="str">
        <f t="shared" si="39"/>
        <v>Large</v>
      </c>
    </row>
    <row r="613" spans="1:10" x14ac:dyDescent="0.25">
      <c r="A613" t="s">
        <v>23</v>
      </c>
      <c r="B613" t="s">
        <v>7</v>
      </c>
      <c r="C613" t="s">
        <v>47</v>
      </c>
      <c r="D613" s="1">
        <v>44706</v>
      </c>
      <c r="E613" s="2">
        <v>105</v>
      </c>
      <c r="F613">
        <v>125</v>
      </c>
      <c r="G613" s="2">
        <f t="shared" si="36"/>
        <v>0.84</v>
      </c>
      <c r="H613" t="str">
        <f t="shared" si="37"/>
        <v>May</v>
      </c>
      <c r="I613" t="str">
        <f t="shared" si="38"/>
        <v>Q2</v>
      </c>
      <c r="J613" t="str">
        <f t="shared" si="39"/>
        <v>Small</v>
      </c>
    </row>
    <row r="614" spans="1:10" x14ac:dyDescent="0.25">
      <c r="A614" t="s">
        <v>49</v>
      </c>
      <c r="B614" t="s">
        <v>10</v>
      </c>
      <c r="C614" t="s">
        <v>16</v>
      </c>
      <c r="D614" s="1">
        <v>44593</v>
      </c>
      <c r="E614" s="2">
        <v>2464</v>
      </c>
      <c r="F614">
        <v>8</v>
      </c>
      <c r="G614" s="2">
        <f t="shared" si="36"/>
        <v>308</v>
      </c>
      <c r="H614" t="str">
        <f t="shared" si="37"/>
        <v>February</v>
      </c>
      <c r="I614" t="str">
        <f t="shared" si="38"/>
        <v>Q1</v>
      </c>
      <c r="J614" t="str">
        <f t="shared" si="39"/>
        <v>Large</v>
      </c>
    </row>
    <row r="615" spans="1:10" x14ac:dyDescent="0.25">
      <c r="A615" t="s">
        <v>24</v>
      </c>
      <c r="B615" t="s">
        <v>7</v>
      </c>
      <c r="C615" t="s">
        <v>30</v>
      </c>
      <c r="D615" s="1">
        <v>44678</v>
      </c>
      <c r="E615" s="2">
        <v>1379</v>
      </c>
      <c r="F615">
        <v>70</v>
      </c>
      <c r="G615" s="2">
        <f t="shared" si="36"/>
        <v>19.7</v>
      </c>
      <c r="H615" t="str">
        <f t="shared" si="37"/>
        <v>April</v>
      </c>
      <c r="I615" t="str">
        <f t="shared" si="38"/>
        <v>Q2</v>
      </c>
      <c r="J615" t="str">
        <f t="shared" si="39"/>
        <v>Large</v>
      </c>
    </row>
    <row r="616" spans="1:10" x14ac:dyDescent="0.25">
      <c r="A616" t="s">
        <v>12</v>
      </c>
      <c r="B616" t="s">
        <v>26</v>
      </c>
      <c r="C616" t="s">
        <v>16</v>
      </c>
      <c r="D616" s="1">
        <v>44764</v>
      </c>
      <c r="E616" s="2">
        <v>2583</v>
      </c>
      <c r="F616">
        <v>126</v>
      </c>
      <c r="G616" s="2">
        <f t="shared" si="36"/>
        <v>20.5</v>
      </c>
      <c r="H616" t="str">
        <f t="shared" si="37"/>
        <v>July</v>
      </c>
      <c r="I616" t="str">
        <f t="shared" si="38"/>
        <v>Q3</v>
      </c>
      <c r="J616" t="str">
        <f t="shared" si="39"/>
        <v>Large</v>
      </c>
    </row>
    <row r="617" spans="1:10" x14ac:dyDescent="0.25">
      <c r="A617" t="s">
        <v>38</v>
      </c>
      <c r="B617" t="s">
        <v>21</v>
      </c>
      <c r="C617" t="s">
        <v>8</v>
      </c>
      <c r="D617" s="1">
        <v>44587</v>
      </c>
      <c r="E617" s="2">
        <v>3220</v>
      </c>
      <c r="F617">
        <v>265</v>
      </c>
      <c r="G617" s="2">
        <f t="shared" si="36"/>
        <v>12.150943396226415</v>
      </c>
      <c r="H617" t="str">
        <f t="shared" si="37"/>
        <v>January</v>
      </c>
      <c r="I617" t="str">
        <f t="shared" si="38"/>
        <v>Q1</v>
      </c>
      <c r="J617" t="str">
        <f t="shared" si="39"/>
        <v>Large</v>
      </c>
    </row>
    <row r="618" spans="1:10" x14ac:dyDescent="0.25">
      <c r="A618" t="s">
        <v>38</v>
      </c>
      <c r="B618" t="s">
        <v>26</v>
      </c>
      <c r="C618" t="s">
        <v>8</v>
      </c>
      <c r="D618" s="1">
        <v>44797</v>
      </c>
      <c r="E618" s="2">
        <v>4802</v>
      </c>
      <c r="F618">
        <v>296</v>
      </c>
      <c r="G618" s="2">
        <f t="shared" si="36"/>
        <v>16.222972972972972</v>
      </c>
      <c r="H618" t="str">
        <f t="shared" si="37"/>
        <v>August</v>
      </c>
      <c r="I618" t="str">
        <f t="shared" si="38"/>
        <v>Q3</v>
      </c>
      <c r="J618" t="str">
        <f t="shared" si="39"/>
        <v>Large</v>
      </c>
    </row>
    <row r="619" spans="1:10" x14ac:dyDescent="0.25">
      <c r="A619" t="s">
        <v>53</v>
      </c>
      <c r="B619" t="s">
        <v>21</v>
      </c>
      <c r="C619" t="s">
        <v>42</v>
      </c>
      <c r="D619" s="1">
        <v>44579</v>
      </c>
      <c r="E619" s="2">
        <v>5677</v>
      </c>
      <c r="F619">
        <v>21</v>
      </c>
      <c r="G619" s="2">
        <f t="shared" si="36"/>
        <v>270.33333333333331</v>
      </c>
      <c r="H619" t="str">
        <f t="shared" si="37"/>
        <v>January</v>
      </c>
      <c r="I619" t="str">
        <f t="shared" si="38"/>
        <v>Q1</v>
      </c>
      <c r="J619" t="str">
        <f t="shared" si="39"/>
        <v>Large</v>
      </c>
    </row>
    <row r="620" spans="1:10" x14ac:dyDescent="0.25">
      <c r="A620" t="s">
        <v>31</v>
      </c>
      <c r="B620" t="s">
        <v>10</v>
      </c>
      <c r="C620" t="s">
        <v>11</v>
      </c>
      <c r="D620" s="1">
        <v>44650</v>
      </c>
      <c r="E620" s="2">
        <v>945</v>
      </c>
      <c r="F620">
        <v>83</v>
      </c>
      <c r="G620" s="2">
        <f t="shared" si="36"/>
        <v>11.385542168674698</v>
      </c>
      <c r="H620" t="str">
        <f t="shared" si="37"/>
        <v>March</v>
      </c>
      <c r="I620" t="str">
        <f t="shared" si="38"/>
        <v>Q1</v>
      </c>
      <c r="J620" t="str">
        <f t="shared" si="39"/>
        <v>Large</v>
      </c>
    </row>
    <row r="621" spans="1:10" x14ac:dyDescent="0.25">
      <c r="A621" t="s">
        <v>55</v>
      </c>
      <c r="B621" t="s">
        <v>15</v>
      </c>
      <c r="C621" t="s">
        <v>57</v>
      </c>
      <c r="D621" s="1">
        <v>44578</v>
      </c>
      <c r="E621" s="2">
        <v>8757</v>
      </c>
      <c r="F621">
        <v>162</v>
      </c>
      <c r="G621" s="2">
        <f t="shared" si="36"/>
        <v>54.055555555555557</v>
      </c>
      <c r="H621" t="str">
        <f t="shared" si="37"/>
        <v>January</v>
      </c>
      <c r="I621" t="str">
        <f t="shared" si="38"/>
        <v>Q1</v>
      </c>
      <c r="J621" t="str">
        <f t="shared" si="39"/>
        <v>Large</v>
      </c>
    </row>
    <row r="622" spans="1:10" x14ac:dyDescent="0.25">
      <c r="A622" t="s">
        <v>49</v>
      </c>
      <c r="B622" t="s">
        <v>26</v>
      </c>
      <c r="C622" t="s">
        <v>42</v>
      </c>
      <c r="D622" s="1">
        <v>44609</v>
      </c>
      <c r="E622" s="2">
        <v>4816</v>
      </c>
      <c r="F622">
        <v>145</v>
      </c>
      <c r="G622" s="2">
        <f t="shared" si="36"/>
        <v>33.213793103448275</v>
      </c>
      <c r="H622" t="str">
        <f t="shared" si="37"/>
        <v>February</v>
      </c>
      <c r="I622" t="str">
        <f t="shared" si="38"/>
        <v>Q1</v>
      </c>
      <c r="J622" t="str">
        <f t="shared" si="39"/>
        <v>Large</v>
      </c>
    </row>
    <row r="623" spans="1:10" x14ac:dyDescent="0.25">
      <c r="A623" t="s">
        <v>49</v>
      </c>
      <c r="B623" t="s">
        <v>29</v>
      </c>
      <c r="C623" t="s">
        <v>13</v>
      </c>
      <c r="D623" s="1">
        <v>44659</v>
      </c>
      <c r="E623" s="2">
        <v>7532</v>
      </c>
      <c r="F623">
        <v>44</v>
      </c>
      <c r="G623" s="2">
        <f t="shared" si="36"/>
        <v>171.18181818181819</v>
      </c>
      <c r="H623" t="str">
        <f t="shared" si="37"/>
        <v>April</v>
      </c>
      <c r="I623" t="str">
        <f t="shared" si="38"/>
        <v>Q2</v>
      </c>
      <c r="J623" t="str">
        <f t="shared" si="39"/>
        <v>Large</v>
      </c>
    </row>
    <row r="624" spans="1:10" x14ac:dyDescent="0.25">
      <c r="A624" t="s">
        <v>12</v>
      </c>
      <c r="B624" t="s">
        <v>29</v>
      </c>
      <c r="C624" t="s">
        <v>32</v>
      </c>
      <c r="D624" s="1">
        <v>44748</v>
      </c>
      <c r="E624" s="2">
        <v>3549</v>
      </c>
      <c r="F624">
        <v>82</v>
      </c>
      <c r="G624" s="2">
        <f t="shared" si="36"/>
        <v>43.280487804878049</v>
      </c>
      <c r="H624" t="str">
        <f t="shared" si="37"/>
        <v>July</v>
      </c>
      <c r="I624" t="str">
        <f t="shared" si="38"/>
        <v>Q3</v>
      </c>
      <c r="J624" t="str">
        <f t="shared" si="39"/>
        <v>Large</v>
      </c>
    </row>
    <row r="625" spans="1:10" x14ac:dyDescent="0.25">
      <c r="A625" t="s">
        <v>40</v>
      </c>
      <c r="B625" t="s">
        <v>10</v>
      </c>
      <c r="C625" t="s">
        <v>42</v>
      </c>
      <c r="D625" s="1">
        <v>44655</v>
      </c>
      <c r="E625" s="2">
        <v>4340</v>
      </c>
      <c r="F625">
        <v>226</v>
      </c>
      <c r="G625" s="2">
        <f t="shared" si="36"/>
        <v>19.20353982300885</v>
      </c>
      <c r="H625" t="str">
        <f t="shared" si="37"/>
        <v>April</v>
      </c>
      <c r="I625" t="str">
        <f t="shared" si="38"/>
        <v>Q2</v>
      </c>
      <c r="J625" t="str">
        <f t="shared" si="39"/>
        <v>Large</v>
      </c>
    </row>
    <row r="626" spans="1:10" x14ac:dyDescent="0.25">
      <c r="A626" t="s">
        <v>14</v>
      </c>
      <c r="B626" t="s">
        <v>21</v>
      </c>
      <c r="C626" t="s">
        <v>35</v>
      </c>
      <c r="D626" s="1">
        <v>44622</v>
      </c>
      <c r="E626" s="2">
        <v>1799</v>
      </c>
      <c r="F626">
        <v>207</v>
      </c>
      <c r="G626" s="2">
        <f t="shared" si="36"/>
        <v>8.6908212560386477</v>
      </c>
      <c r="H626" t="str">
        <f t="shared" si="37"/>
        <v>March</v>
      </c>
      <c r="I626" t="str">
        <f t="shared" si="38"/>
        <v>Q1</v>
      </c>
      <c r="J626" t="str">
        <f t="shared" si="39"/>
        <v>Large</v>
      </c>
    </row>
    <row r="627" spans="1:10" x14ac:dyDescent="0.25">
      <c r="A627" t="s">
        <v>12</v>
      </c>
      <c r="B627" t="s">
        <v>21</v>
      </c>
      <c r="C627" t="s">
        <v>51</v>
      </c>
      <c r="D627" s="1">
        <v>44782</v>
      </c>
      <c r="E627" s="2">
        <v>1127</v>
      </c>
      <c r="F627">
        <v>176</v>
      </c>
      <c r="G627" s="2">
        <f t="shared" si="36"/>
        <v>6.4034090909090908</v>
      </c>
      <c r="H627" t="str">
        <f t="shared" si="37"/>
        <v>August</v>
      </c>
      <c r="I627" t="str">
        <f t="shared" si="38"/>
        <v>Q3</v>
      </c>
      <c r="J627" t="str">
        <f t="shared" si="39"/>
        <v>Large</v>
      </c>
    </row>
    <row r="628" spans="1:10" x14ac:dyDescent="0.25">
      <c r="A628" t="s">
        <v>43</v>
      </c>
      <c r="B628" t="s">
        <v>15</v>
      </c>
      <c r="C628" t="s">
        <v>37</v>
      </c>
      <c r="D628" s="1">
        <v>44721</v>
      </c>
      <c r="E628" s="2">
        <v>10038</v>
      </c>
      <c r="F628">
        <v>286</v>
      </c>
      <c r="G628" s="2">
        <f t="shared" si="36"/>
        <v>35.0979020979021</v>
      </c>
      <c r="H628" t="str">
        <f t="shared" si="37"/>
        <v>June</v>
      </c>
      <c r="I628" t="str">
        <f t="shared" si="38"/>
        <v>Q2</v>
      </c>
      <c r="J628" t="str">
        <f t="shared" si="39"/>
        <v>Large</v>
      </c>
    </row>
    <row r="629" spans="1:10" x14ac:dyDescent="0.25">
      <c r="A629" t="s">
        <v>55</v>
      </c>
      <c r="B629" t="s">
        <v>7</v>
      </c>
      <c r="C629" t="s">
        <v>57</v>
      </c>
      <c r="D629" s="1">
        <v>44714</v>
      </c>
      <c r="E629" s="2">
        <v>2926</v>
      </c>
      <c r="F629">
        <v>300</v>
      </c>
      <c r="G629" s="2">
        <f t="shared" si="36"/>
        <v>9.7533333333333339</v>
      </c>
      <c r="H629" t="str">
        <f t="shared" si="37"/>
        <v>June</v>
      </c>
      <c r="I629" t="str">
        <f t="shared" si="38"/>
        <v>Q2</v>
      </c>
      <c r="J629" t="str">
        <f t="shared" si="39"/>
        <v>Large</v>
      </c>
    </row>
    <row r="630" spans="1:10" x14ac:dyDescent="0.25">
      <c r="A630" t="s">
        <v>9</v>
      </c>
      <c r="B630" t="s">
        <v>26</v>
      </c>
      <c r="C630" t="s">
        <v>42</v>
      </c>
      <c r="D630" s="1">
        <v>44747</v>
      </c>
      <c r="E630" s="2">
        <v>6279</v>
      </c>
      <c r="F630">
        <v>235</v>
      </c>
      <c r="G630" s="2">
        <f t="shared" si="36"/>
        <v>26.719148936170214</v>
      </c>
      <c r="H630" t="str">
        <f t="shared" si="37"/>
        <v>July</v>
      </c>
      <c r="I630" t="str">
        <f t="shared" si="38"/>
        <v>Q3</v>
      </c>
      <c r="J630" t="str">
        <f t="shared" si="39"/>
        <v>Large</v>
      </c>
    </row>
    <row r="631" spans="1:10" x14ac:dyDescent="0.25">
      <c r="A631" t="s">
        <v>48</v>
      </c>
      <c r="B631" t="s">
        <v>29</v>
      </c>
      <c r="C631" t="s">
        <v>30</v>
      </c>
      <c r="D631" s="1">
        <v>44784</v>
      </c>
      <c r="E631" s="2">
        <v>308</v>
      </c>
      <c r="F631">
        <v>125</v>
      </c>
      <c r="G631" s="2">
        <f t="shared" si="36"/>
        <v>2.464</v>
      </c>
      <c r="H631" t="str">
        <f t="shared" si="37"/>
        <v>August</v>
      </c>
      <c r="I631" t="str">
        <f t="shared" si="38"/>
        <v>Q3</v>
      </c>
      <c r="J631" t="str">
        <f t="shared" si="39"/>
        <v>Small</v>
      </c>
    </row>
    <row r="632" spans="1:10" x14ac:dyDescent="0.25">
      <c r="A632" t="s">
        <v>53</v>
      </c>
      <c r="B632" t="s">
        <v>10</v>
      </c>
      <c r="C632" t="s">
        <v>52</v>
      </c>
      <c r="D632" s="1">
        <v>44603</v>
      </c>
      <c r="E632" s="2">
        <v>3500</v>
      </c>
      <c r="F632">
        <v>145</v>
      </c>
      <c r="G632" s="2">
        <f t="shared" si="36"/>
        <v>24.137931034482758</v>
      </c>
      <c r="H632" t="str">
        <f t="shared" si="37"/>
        <v>February</v>
      </c>
      <c r="I632" t="str">
        <f t="shared" si="38"/>
        <v>Q1</v>
      </c>
      <c r="J632" t="str">
        <f t="shared" si="39"/>
        <v>Large</v>
      </c>
    </row>
    <row r="633" spans="1:10" x14ac:dyDescent="0.25">
      <c r="A633" t="s">
        <v>49</v>
      </c>
      <c r="B633" t="s">
        <v>21</v>
      </c>
      <c r="C633" t="s">
        <v>39</v>
      </c>
      <c r="D633" s="1">
        <v>44784</v>
      </c>
      <c r="E633" s="2">
        <v>658</v>
      </c>
      <c r="F633">
        <v>65</v>
      </c>
      <c r="G633" s="2">
        <f t="shared" si="36"/>
        <v>10.123076923076923</v>
      </c>
      <c r="H633" t="str">
        <f t="shared" si="37"/>
        <v>August</v>
      </c>
      <c r="I633" t="str">
        <f t="shared" si="38"/>
        <v>Q3</v>
      </c>
      <c r="J633" t="str">
        <f t="shared" si="39"/>
        <v>Large</v>
      </c>
    </row>
    <row r="634" spans="1:10" x14ac:dyDescent="0.25">
      <c r="A634" t="s">
        <v>36</v>
      </c>
      <c r="B634" t="s">
        <v>15</v>
      </c>
      <c r="C634" t="s">
        <v>32</v>
      </c>
      <c r="D634" s="1">
        <v>44693</v>
      </c>
      <c r="E634" s="2">
        <v>12565</v>
      </c>
      <c r="F634">
        <v>102</v>
      </c>
      <c r="G634" s="2">
        <f t="shared" si="36"/>
        <v>123.18627450980392</v>
      </c>
      <c r="H634" t="str">
        <f t="shared" si="37"/>
        <v>May</v>
      </c>
      <c r="I634" t="str">
        <f t="shared" si="38"/>
        <v>Q2</v>
      </c>
      <c r="J634" t="str">
        <f t="shared" si="39"/>
        <v>Large</v>
      </c>
    </row>
    <row r="635" spans="1:10" x14ac:dyDescent="0.25">
      <c r="A635" t="s">
        <v>46</v>
      </c>
      <c r="B635" t="s">
        <v>26</v>
      </c>
      <c r="C635" t="s">
        <v>37</v>
      </c>
      <c r="D635" s="1">
        <v>44757</v>
      </c>
      <c r="E635" s="2">
        <v>5012</v>
      </c>
      <c r="F635">
        <v>93</v>
      </c>
      <c r="G635" s="2">
        <f t="shared" si="36"/>
        <v>53.892473118279568</v>
      </c>
      <c r="H635" t="str">
        <f t="shared" si="37"/>
        <v>July</v>
      </c>
      <c r="I635" t="str">
        <f t="shared" si="38"/>
        <v>Q3</v>
      </c>
      <c r="J635" t="str">
        <f t="shared" si="39"/>
        <v>Large</v>
      </c>
    </row>
    <row r="636" spans="1:10" x14ac:dyDescent="0.25">
      <c r="A636" t="s">
        <v>48</v>
      </c>
      <c r="B636" t="s">
        <v>10</v>
      </c>
      <c r="C636" t="s">
        <v>35</v>
      </c>
      <c r="D636" s="1">
        <v>44579</v>
      </c>
      <c r="E636" s="2">
        <v>3955</v>
      </c>
      <c r="F636">
        <v>134</v>
      </c>
      <c r="G636" s="2">
        <f t="shared" si="36"/>
        <v>29.514925373134329</v>
      </c>
      <c r="H636" t="str">
        <f t="shared" si="37"/>
        <v>January</v>
      </c>
      <c r="I636" t="str">
        <f t="shared" si="38"/>
        <v>Q1</v>
      </c>
      <c r="J636" t="str">
        <f t="shared" si="39"/>
        <v>Large</v>
      </c>
    </row>
    <row r="637" spans="1:10" x14ac:dyDescent="0.25">
      <c r="A637" t="s">
        <v>53</v>
      </c>
      <c r="B637" t="s">
        <v>7</v>
      </c>
      <c r="C637" t="s">
        <v>42</v>
      </c>
      <c r="D637" s="1">
        <v>44566</v>
      </c>
      <c r="E637" s="2">
        <v>8512</v>
      </c>
      <c r="F637">
        <v>189</v>
      </c>
      <c r="G637" s="2">
        <f t="shared" si="36"/>
        <v>45.037037037037038</v>
      </c>
      <c r="H637" t="str">
        <f t="shared" si="37"/>
        <v>January</v>
      </c>
      <c r="I637" t="str">
        <f t="shared" si="38"/>
        <v>Q1</v>
      </c>
      <c r="J637" t="str">
        <f t="shared" si="39"/>
        <v>Large</v>
      </c>
    </row>
    <row r="638" spans="1:10" x14ac:dyDescent="0.25">
      <c r="A638" t="s">
        <v>38</v>
      </c>
      <c r="B638" t="s">
        <v>15</v>
      </c>
      <c r="C638" t="s">
        <v>22</v>
      </c>
      <c r="D638" s="1">
        <v>44741</v>
      </c>
      <c r="E638" s="2">
        <v>504</v>
      </c>
      <c r="F638">
        <v>232</v>
      </c>
      <c r="G638" s="2">
        <f t="shared" si="36"/>
        <v>2.1724137931034484</v>
      </c>
      <c r="H638" t="str">
        <f t="shared" si="37"/>
        <v>June</v>
      </c>
      <c r="I638" t="str">
        <f t="shared" si="38"/>
        <v>Q2</v>
      </c>
      <c r="J638" t="str">
        <f t="shared" si="39"/>
        <v>Large</v>
      </c>
    </row>
    <row r="639" spans="1:10" x14ac:dyDescent="0.25">
      <c r="A639" t="s">
        <v>23</v>
      </c>
      <c r="B639" t="s">
        <v>29</v>
      </c>
      <c r="C639" t="s">
        <v>51</v>
      </c>
      <c r="D639" s="1">
        <v>44726</v>
      </c>
      <c r="E639" s="2">
        <v>2800</v>
      </c>
      <c r="F639">
        <v>45</v>
      </c>
      <c r="G639" s="2">
        <f t="shared" si="36"/>
        <v>62.222222222222221</v>
      </c>
      <c r="H639" t="str">
        <f t="shared" si="37"/>
        <v>June</v>
      </c>
      <c r="I639" t="str">
        <f t="shared" si="38"/>
        <v>Q2</v>
      </c>
      <c r="J639" t="str">
        <f t="shared" si="39"/>
        <v>Large</v>
      </c>
    </row>
    <row r="640" spans="1:10" x14ac:dyDescent="0.25">
      <c r="A640" t="s">
        <v>19</v>
      </c>
      <c r="B640" t="s">
        <v>10</v>
      </c>
      <c r="C640" t="s">
        <v>8</v>
      </c>
      <c r="D640" s="1">
        <v>44781</v>
      </c>
      <c r="E640" s="2">
        <v>4256</v>
      </c>
      <c r="F640">
        <v>67</v>
      </c>
      <c r="G640" s="2">
        <f t="shared" si="36"/>
        <v>63.522388059701491</v>
      </c>
      <c r="H640" t="str">
        <f t="shared" si="37"/>
        <v>August</v>
      </c>
      <c r="I640" t="str">
        <f t="shared" si="38"/>
        <v>Q3</v>
      </c>
      <c r="J640" t="str">
        <f t="shared" si="39"/>
        <v>Large</v>
      </c>
    </row>
    <row r="641" spans="1:10" x14ac:dyDescent="0.25">
      <c r="A641" t="s">
        <v>43</v>
      </c>
      <c r="B641" t="s">
        <v>10</v>
      </c>
      <c r="C641" t="s">
        <v>8</v>
      </c>
      <c r="D641" s="1">
        <v>44643</v>
      </c>
      <c r="E641" s="2">
        <v>13573</v>
      </c>
      <c r="F641">
        <v>138</v>
      </c>
      <c r="G641" s="2">
        <f t="shared" si="36"/>
        <v>98.35507246376811</v>
      </c>
      <c r="H641" t="str">
        <f t="shared" si="37"/>
        <v>March</v>
      </c>
      <c r="I641" t="str">
        <f t="shared" si="38"/>
        <v>Q1</v>
      </c>
      <c r="J641" t="str">
        <f t="shared" si="39"/>
        <v>Large</v>
      </c>
    </row>
    <row r="642" spans="1:10" x14ac:dyDescent="0.25">
      <c r="A642" t="s">
        <v>25</v>
      </c>
      <c r="B642" t="s">
        <v>10</v>
      </c>
      <c r="C642" t="s">
        <v>57</v>
      </c>
      <c r="D642" s="1">
        <v>44565</v>
      </c>
      <c r="E642" s="2">
        <v>6566</v>
      </c>
      <c r="F642">
        <v>99</v>
      </c>
      <c r="G642" s="2">
        <f t="shared" si="36"/>
        <v>66.323232323232318</v>
      </c>
      <c r="H642" t="str">
        <f t="shared" si="37"/>
        <v>January</v>
      </c>
      <c r="I642" t="str">
        <f t="shared" si="38"/>
        <v>Q1</v>
      </c>
      <c r="J642" t="str">
        <f t="shared" si="39"/>
        <v>Large</v>
      </c>
    </row>
    <row r="643" spans="1:10" x14ac:dyDescent="0.25">
      <c r="A643" t="s">
        <v>23</v>
      </c>
      <c r="B643" t="s">
        <v>10</v>
      </c>
      <c r="C643" t="s">
        <v>37</v>
      </c>
      <c r="D643" s="1">
        <v>44614</v>
      </c>
      <c r="E643" s="2">
        <v>13503</v>
      </c>
      <c r="F643">
        <v>251</v>
      </c>
      <c r="G643" s="2">
        <f t="shared" ref="G643:G706" si="40">E643/F643</f>
        <v>53.796812749003983</v>
      </c>
      <c r="H643" t="str">
        <f t="shared" ref="H643:H706" si="41">TEXT(D643, "mmmm")</f>
        <v>February</v>
      </c>
      <c r="I643" t="str">
        <f t="shared" ref="I643:I706" si="42">"Q" &amp; ROUNDUP(MONTH(D643)/3,0)</f>
        <v>Q1</v>
      </c>
      <c r="J643" t="str">
        <f t="shared" ref="J643:J706" si="43">IF(E643 &gt; 500, "Large", "Small")</f>
        <v>Large</v>
      </c>
    </row>
    <row r="644" spans="1:10" x14ac:dyDescent="0.25">
      <c r="A644" t="s">
        <v>34</v>
      </c>
      <c r="B644" t="s">
        <v>7</v>
      </c>
      <c r="C644" t="s">
        <v>39</v>
      </c>
      <c r="D644" s="1">
        <v>44609</v>
      </c>
      <c r="E644" s="2">
        <v>8680</v>
      </c>
      <c r="F644">
        <v>252</v>
      </c>
      <c r="G644" s="2">
        <f t="shared" si="40"/>
        <v>34.444444444444443</v>
      </c>
      <c r="H644" t="str">
        <f t="shared" si="41"/>
        <v>February</v>
      </c>
      <c r="I644" t="str">
        <f t="shared" si="42"/>
        <v>Q1</v>
      </c>
      <c r="J644" t="str">
        <f t="shared" si="43"/>
        <v>Large</v>
      </c>
    </row>
    <row r="645" spans="1:10" x14ac:dyDescent="0.25">
      <c r="A645" t="s">
        <v>25</v>
      </c>
      <c r="B645" t="s">
        <v>26</v>
      </c>
      <c r="C645" t="s">
        <v>47</v>
      </c>
      <c r="D645" s="1">
        <v>44595</v>
      </c>
      <c r="E645" s="2">
        <v>385</v>
      </c>
      <c r="F645">
        <v>78</v>
      </c>
      <c r="G645" s="2">
        <f t="shared" si="40"/>
        <v>4.9358974358974361</v>
      </c>
      <c r="H645" t="str">
        <f t="shared" si="41"/>
        <v>February</v>
      </c>
      <c r="I645" t="str">
        <f t="shared" si="42"/>
        <v>Q1</v>
      </c>
      <c r="J645" t="str">
        <f t="shared" si="43"/>
        <v>Small</v>
      </c>
    </row>
    <row r="646" spans="1:10" x14ac:dyDescent="0.25">
      <c r="A646" t="s">
        <v>9</v>
      </c>
      <c r="B646" t="s">
        <v>29</v>
      </c>
      <c r="C646" t="s">
        <v>51</v>
      </c>
      <c r="D646" s="1">
        <v>44637</v>
      </c>
      <c r="E646" s="2">
        <v>1267</v>
      </c>
      <c r="F646">
        <v>130</v>
      </c>
      <c r="G646" s="2">
        <f t="shared" si="40"/>
        <v>9.7461538461538453</v>
      </c>
      <c r="H646" t="str">
        <f t="shared" si="41"/>
        <v>March</v>
      </c>
      <c r="I646" t="str">
        <f t="shared" si="42"/>
        <v>Q1</v>
      </c>
      <c r="J646" t="str">
        <f t="shared" si="43"/>
        <v>Large</v>
      </c>
    </row>
    <row r="647" spans="1:10" x14ac:dyDescent="0.25">
      <c r="A647" t="s">
        <v>46</v>
      </c>
      <c r="B647" t="s">
        <v>15</v>
      </c>
      <c r="C647" t="s">
        <v>56</v>
      </c>
      <c r="D647" s="1">
        <v>44586</v>
      </c>
      <c r="E647" s="2">
        <v>2961</v>
      </c>
      <c r="F647">
        <v>154</v>
      </c>
      <c r="G647" s="2">
        <f t="shared" si="40"/>
        <v>19.227272727272727</v>
      </c>
      <c r="H647" t="str">
        <f t="shared" si="41"/>
        <v>January</v>
      </c>
      <c r="I647" t="str">
        <f t="shared" si="42"/>
        <v>Q1</v>
      </c>
      <c r="J647" t="str">
        <f t="shared" si="43"/>
        <v>Large</v>
      </c>
    </row>
    <row r="648" spans="1:10" x14ac:dyDescent="0.25">
      <c r="A648" t="s">
        <v>23</v>
      </c>
      <c r="B648" t="s">
        <v>15</v>
      </c>
      <c r="C648" t="s">
        <v>37</v>
      </c>
      <c r="D648" s="1">
        <v>44769</v>
      </c>
      <c r="E648" s="2">
        <v>1981</v>
      </c>
      <c r="F648">
        <v>52</v>
      </c>
      <c r="G648" s="2">
        <f t="shared" si="40"/>
        <v>38.096153846153847</v>
      </c>
      <c r="H648" t="str">
        <f t="shared" si="41"/>
        <v>July</v>
      </c>
      <c r="I648" t="str">
        <f t="shared" si="42"/>
        <v>Q3</v>
      </c>
      <c r="J648" t="str">
        <f t="shared" si="43"/>
        <v>Large</v>
      </c>
    </row>
    <row r="649" spans="1:10" x14ac:dyDescent="0.25">
      <c r="A649" t="s">
        <v>40</v>
      </c>
      <c r="B649" t="s">
        <v>15</v>
      </c>
      <c r="C649" t="s">
        <v>42</v>
      </c>
      <c r="D649" s="1">
        <v>44589</v>
      </c>
      <c r="E649" s="2">
        <v>7959</v>
      </c>
      <c r="F649">
        <v>53</v>
      </c>
      <c r="G649" s="2">
        <f t="shared" si="40"/>
        <v>150.16981132075472</v>
      </c>
      <c r="H649" t="str">
        <f t="shared" si="41"/>
        <v>January</v>
      </c>
      <c r="I649" t="str">
        <f t="shared" si="42"/>
        <v>Q1</v>
      </c>
      <c r="J649" t="str">
        <f t="shared" si="43"/>
        <v>Large</v>
      </c>
    </row>
    <row r="650" spans="1:10" x14ac:dyDescent="0.25">
      <c r="A650" t="s">
        <v>53</v>
      </c>
      <c r="B650" t="s">
        <v>15</v>
      </c>
      <c r="C650" t="s">
        <v>35</v>
      </c>
      <c r="D650" s="1">
        <v>44747</v>
      </c>
      <c r="E650" s="2">
        <v>10794</v>
      </c>
      <c r="F650">
        <v>50</v>
      </c>
      <c r="G650" s="2">
        <f t="shared" si="40"/>
        <v>215.88</v>
      </c>
      <c r="H650" t="str">
        <f t="shared" si="41"/>
        <v>July</v>
      </c>
      <c r="I650" t="str">
        <f t="shared" si="42"/>
        <v>Q3</v>
      </c>
      <c r="J650" t="str">
        <f t="shared" si="43"/>
        <v>Large</v>
      </c>
    </row>
    <row r="651" spans="1:10" x14ac:dyDescent="0.25">
      <c r="A651" t="s">
        <v>9</v>
      </c>
      <c r="B651" t="s">
        <v>10</v>
      </c>
      <c r="C651" t="s">
        <v>44</v>
      </c>
      <c r="D651" s="1">
        <v>44635</v>
      </c>
      <c r="E651" s="2">
        <v>1897</v>
      </c>
      <c r="F651">
        <v>44</v>
      </c>
      <c r="G651" s="2">
        <f t="shared" si="40"/>
        <v>43.113636363636367</v>
      </c>
      <c r="H651" t="str">
        <f t="shared" si="41"/>
        <v>March</v>
      </c>
      <c r="I651" t="str">
        <f t="shared" si="42"/>
        <v>Q1</v>
      </c>
      <c r="J651" t="str">
        <f t="shared" si="43"/>
        <v>Large</v>
      </c>
    </row>
    <row r="652" spans="1:10" x14ac:dyDescent="0.25">
      <c r="A652" t="s">
        <v>19</v>
      </c>
      <c r="B652" t="s">
        <v>29</v>
      </c>
      <c r="C652" t="s">
        <v>20</v>
      </c>
      <c r="D652" s="1">
        <v>44777</v>
      </c>
      <c r="E652" s="2">
        <v>2744</v>
      </c>
      <c r="F652">
        <v>200</v>
      </c>
      <c r="G652" s="2">
        <f t="shared" si="40"/>
        <v>13.72</v>
      </c>
      <c r="H652" t="str">
        <f t="shared" si="41"/>
        <v>August</v>
      </c>
      <c r="I652" t="str">
        <f t="shared" si="42"/>
        <v>Q3</v>
      </c>
      <c r="J652" t="str">
        <f t="shared" si="43"/>
        <v>Large</v>
      </c>
    </row>
    <row r="653" spans="1:10" x14ac:dyDescent="0.25">
      <c r="A653" t="s">
        <v>14</v>
      </c>
      <c r="B653" t="s">
        <v>26</v>
      </c>
      <c r="C653" t="s">
        <v>42</v>
      </c>
      <c r="D653" s="1">
        <v>44739</v>
      </c>
      <c r="E653" s="2">
        <v>4382</v>
      </c>
      <c r="F653">
        <v>361</v>
      </c>
      <c r="G653" s="2">
        <f t="shared" si="40"/>
        <v>12.138504155124654</v>
      </c>
      <c r="H653" t="str">
        <f t="shared" si="41"/>
        <v>June</v>
      </c>
      <c r="I653" t="str">
        <f t="shared" si="42"/>
        <v>Q2</v>
      </c>
      <c r="J653" t="str">
        <f t="shared" si="43"/>
        <v>Large</v>
      </c>
    </row>
    <row r="654" spans="1:10" x14ac:dyDescent="0.25">
      <c r="A654" t="s">
        <v>14</v>
      </c>
      <c r="B654" t="s">
        <v>29</v>
      </c>
      <c r="C654" t="s">
        <v>20</v>
      </c>
      <c r="D654" s="1">
        <v>44755</v>
      </c>
      <c r="E654" s="2">
        <v>4515</v>
      </c>
      <c r="F654">
        <v>172</v>
      </c>
      <c r="G654" s="2">
        <f t="shared" si="40"/>
        <v>26.25</v>
      </c>
      <c r="H654" t="str">
        <f t="shared" si="41"/>
        <v>July</v>
      </c>
      <c r="I654" t="str">
        <f t="shared" si="42"/>
        <v>Q3</v>
      </c>
      <c r="J654" t="str">
        <f t="shared" si="43"/>
        <v>Large</v>
      </c>
    </row>
    <row r="655" spans="1:10" x14ac:dyDescent="0.25">
      <c r="A655" t="s">
        <v>25</v>
      </c>
      <c r="B655" t="s">
        <v>21</v>
      </c>
      <c r="C655" t="s">
        <v>45</v>
      </c>
      <c r="D655" s="1">
        <v>44616</v>
      </c>
      <c r="E655" s="2">
        <v>5474</v>
      </c>
      <c r="F655">
        <v>239</v>
      </c>
      <c r="G655" s="2">
        <f t="shared" si="40"/>
        <v>22.90376569037657</v>
      </c>
      <c r="H655" t="str">
        <f t="shared" si="41"/>
        <v>February</v>
      </c>
      <c r="I655" t="str">
        <f t="shared" si="42"/>
        <v>Q1</v>
      </c>
      <c r="J655" t="str">
        <f t="shared" si="43"/>
        <v>Large</v>
      </c>
    </row>
    <row r="656" spans="1:10" x14ac:dyDescent="0.25">
      <c r="A656" t="s">
        <v>31</v>
      </c>
      <c r="B656" t="s">
        <v>21</v>
      </c>
      <c r="C656" t="s">
        <v>11</v>
      </c>
      <c r="D656" s="1">
        <v>44740</v>
      </c>
      <c r="E656" s="2">
        <v>6069</v>
      </c>
      <c r="F656">
        <v>55</v>
      </c>
      <c r="G656" s="2">
        <f t="shared" si="40"/>
        <v>110.34545454545454</v>
      </c>
      <c r="H656" t="str">
        <f t="shared" si="41"/>
        <v>June</v>
      </c>
      <c r="I656" t="str">
        <f t="shared" si="42"/>
        <v>Q2</v>
      </c>
      <c r="J656" t="str">
        <f t="shared" si="43"/>
        <v>Large</v>
      </c>
    </row>
    <row r="657" spans="1:10" x14ac:dyDescent="0.25">
      <c r="A657" t="s">
        <v>17</v>
      </c>
      <c r="B657" t="s">
        <v>15</v>
      </c>
      <c r="C657" t="s">
        <v>11</v>
      </c>
      <c r="D657" s="1">
        <v>44742</v>
      </c>
      <c r="E657" s="2">
        <v>6944</v>
      </c>
      <c r="F657">
        <v>27</v>
      </c>
      <c r="G657" s="2">
        <f t="shared" si="40"/>
        <v>257.18518518518516</v>
      </c>
      <c r="H657" t="str">
        <f t="shared" si="41"/>
        <v>June</v>
      </c>
      <c r="I657" t="str">
        <f t="shared" si="42"/>
        <v>Q2</v>
      </c>
      <c r="J657" t="str">
        <f t="shared" si="43"/>
        <v>Large</v>
      </c>
    </row>
    <row r="658" spans="1:10" x14ac:dyDescent="0.25">
      <c r="A658" t="s">
        <v>38</v>
      </c>
      <c r="B658" t="s">
        <v>29</v>
      </c>
      <c r="C658" t="s">
        <v>52</v>
      </c>
      <c r="D658" s="1">
        <v>44791</v>
      </c>
      <c r="E658" s="2">
        <v>5859</v>
      </c>
      <c r="F658">
        <v>7</v>
      </c>
      <c r="G658" s="2">
        <f t="shared" si="40"/>
        <v>837</v>
      </c>
      <c r="H658" t="str">
        <f t="shared" si="41"/>
        <v>August</v>
      </c>
      <c r="I658" t="str">
        <f t="shared" si="42"/>
        <v>Q3</v>
      </c>
      <c r="J658" t="str">
        <f t="shared" si="43"/>
        <v>Large</v>
      </c>
    </row>
    <row r="659" spans="1:10" x14ac:dyDescent="0.25">
      <c r="A659" t="s">
        <v>41</v>
      </c>
      <c r="B659" t="s">
        <v>10</v>
      </c>
      <c r="C659" t="s">
        <v>58</v>
      </c>
      <c r="D659" s="1">
        <v>44585</v>
      </c>
      <c r="E659" s="2">
        <v>12173</v>
      </c>
      <c r="F659">
        <v>301</v>
      </c>
      <c r="G659" s="2">
        <f t="shared" si="40"/>
        <v>40.441860465116278</v>
      </c>
      <c r="H659" t="str">
        <f t="shared" si="41"/>
        <v>January</v>
      </c>
      <c r="I659" t="str">
        <f t="shared" si="42"/>
        <v>Q1</v>
      </c>
      <c r="J659" t="str">
        <f t="shared" si="43"/>
        <v>Large</v>
      </c>
    </row>
    <row r="660" spans="1:10" x14ac:dyDescent="0.25">
      <c r="A660" t="s">
        <v>34</v>
      </c>
      <c r="B660" t="s">
        <v>26</v>
      </c>
      <c r="C660" t="s">
        <v>44</v>
      </c>
      <c r="D660" s="1">
        <v>44631</v>
      </c>
      <c r="E660" s="2">
        <v>5292</v>
      </c>
      <c r="F660">
        <v>134</v>
      </c>
      <c r="G660" s="2">
        <f t="shared" si="40"/>
        <v>39.492537313432834</v>
      </c>
      <c r="H660" t="str">
        <f t="shared" si="41"/>
        <v>March</v>
      </c>
      <c r="I660" t="str">
        <f t="shared" si="42"/>
        <v>Q1</v>
      </c>
      <c r="J660" t="str">
        <f t="shared" si="43"/>
        <v>Large</v>
      </c>
    </row>
    <row r="661" spans="1:10" x14ac:dyDescent="0.25">
      <c r="A661" t="s">
        <v>55</v>
      </c>
      <c r="B661" t="s">
        <v>21</v>
      </c>
      <c r="C661" t="s">
        <v>20</v>
      </c>
      <c r="D661" s="1">
        <v>44735</v>
      </c>
      <c r="E661" s="2">
        <v>5705</v>
      </c>
      <c r="F661">
        <v>350</v>
      </c>
      <c r="G661" s="2">
        <f t="shared" si="40"/>
        <v>16.3</v>
      </c>
      <c r="H661" t="str">
        <f t="shared" si="41"/>
        <v>June</v>
      </c>
      <c r="I661" t="str">
        <f t="shared" si="42"/>
        <v>Q2</v>
      </c>
      <c r="J661" t="str">
        <f t="shared" si="43"/>
        <v>Large</v>
      </c>
    </row>
    <row r="662" spans="1:10" x14ac:dyDescent="0.25">
      <c r="A662" t="s">
        <v>40</v>
      </c>
      <c r="B662" t="s">
        <v>10</v>
      </c>
      <c r="C662" t="s">
        <v>39</v>
      </c>
      <c r="D662" s="1">
        <v>44795</v>
      </c>
      <c r="E662" s="2">
        <v>2492</v>
      </c>
      <c r="F662">
        <v>33</v>
      </c>
      <c r="G662" s="2">
        <f t="shared" si="40"/>
        <v>75.515151515151516</v>
      </c>
      <c r="H662" t="str">
        <f t="shared" si="41"/>
        <v>August</v>
      </c>
      <c r="I662" t="str">
        <f t="shared" si="42"/>
        <v>Q3</v>
      </c>
      <c r="J662" t="str">
        <f t="shared" si="43"/>
        <v>Large</v>
      </c>
    </row>
    <row r="663" spans="1:10" x14ac:dyDescent="0.25">
      <c r="A663" t="s">
        <v>19</v>
      </c>
      <c r="B663" t="s">
        <v>29</v>
      </c>
      <c r="C663" t="s">
        <v>22</v>
      </c>
      <c r="D663" s="1">
        <v>44565</v>
      </c>
      <c r="E663" s="2">
        <v>3024</v>
      </c>
      <c r="F663">
        <v>23</v>
      </c>
      <c r="G663" s="2">
        <f t="shared" si="40"/>
        <v>131.47826086956522</v>
      </c>
      <c r="H663" t="str">
        <f t="shared" si="41"/>
        <v>January</v>
      </c>
      <c r="I663" t="str">
        <f t="shared" si="42"/>
        <v>Q1</v>
      </c>
      <c r="J663" t="str">
        <f t="shared" si="43"/>
        <v>Large</v>
      </c>
    </row>
    <row r="664" spans="1:10" x14ac:dyDescent="0.25">
      <c r="A664" t="s">
        <v>38</v>
      </c>
      <c r="B664" t="s">
        <v>10</v>
      </c>
      <c r="C664" t="s">
        <v>37</v>
      </c>
      <c r="D664" s="1">
        <v>44656</v>
      </c>
      <c r="E664" s="2">
        <v>3437</v>
      </c>
      <c r="F664">
        <v>201</v>
      </c>
      <c r="G664" s="2">
        <f t="shared" si="40"/>
        <v>17.099502487562191</v>
      </c>
      <c r="H664" t="str">
        <f t="shared" si="41"/>
        <v>April</v>
      </c>
      <c r="I664" t="str">
        <f t="shared" si="42"/>
        <v>Q2</v>
      </c>
      <c r="J664" t="str">
        <f t="shared" si="43"/>
        <v>Large</v>
      </c>
    </row>
    <row r="665" spans="1:10" x14ac:dyDescent="0.25">
      <c r="A665" t="s">
        <v>34</v>
      </c>
      <c r="B665" t="s">
        <v>10</v>
      </c>
      <c r="C665" t="s">
        <v>37</v>
      </c>
      <c r="D665" s="1">
        <v>44666</v>
      </c>
      <c r="E665" s="2">
        <v>1869</v>
      </c>
      <c r="F665">
        <v>323</v>
      </c>
      <c r="G665" s="2">
        <f t="shared" si="40"/>
        <v>5.7863777089783284</v>
      </c>
      <c r="H665" t="str">
        <f t="shared" si="41"/>
        <v>April</v>
      </c>
      <c r="I665" t="str">
        <f t="shared" si="42"/>
        <v>Q2</v>
      </c>
      <c r="J665" t="str">
        <f t="shared" si="43"/>
        <v>Large</v>
      </c>
    </row>
    <row r="666" spans="1:10" x14ac:dyDescent="0.25">
      <c r="A666" t="s">
        <v>40</v>
      </c>
      <c r="B666" t="s">
        <v>15</v>
      </c>
      <c r="C666" t="s">
        <v>44</v>
      </c>
      <c r="D666" s="1">
        <v>44692</v>
      </c>
      <c r="E666" s="2">
        <v>3171</v>
      </c>
      <c r="F666">
        <v>220</v>
      </c>
      <c r="G666" s="2">
        <f t="shared" si="40"/>
        <v>14.413636363636364</v>
      </c>
      <c r="H666" t="str">
        <f t="shared" si="41"/>
        <v>May</v>
      </c>
      <c r="I666" t="str">
        <f t="shared" si="42"/>
        <v>Q2</v>
      </c>
      <c r="J666" t="str">
        <f t="shared" si="43"/>
        <v>Large</v>
      </c>
    </row>
    <row r="667" spans="1:10" x14ac:dyDescent="0.25">
      <c r="A667" t="s">
        <v>48</v>
      </c>
      <c r="B667" t="s">
        <v>29</v>
      </c>
      <c r="C667" t="s">
        <v>45</v>
      </c>
      <c r="D667" s="1">
        <v>44763</v>
      </c>
      <c r="E667" s="2">
        <v>4858</v>
      </c>
      <c r="F667">
        <v>488</v>
      </c>
      <c r="G667" s="2">
        <f t="shared" si="40"/>
        <v>9.9549180327868854</v>
      </c>
      <c r="H667" t="str">
        <f t="shared" si="41"/>
        <v>July</v>
      </c>
      <c r="I667" t="str">
        <f t="shared" si="42"/>
        <v>Q3</v>
      </c>
      <c r="J667" t="str">
        <f t="shared" si="43"/>
        <v>Large</v>
      </c>
    </row>
    <row r="668" spans="1:10" x14ac:dyDescent="0.25">
      <c r="A668" t="s">
        <v>14</v>
      </c>
      <c r="B668" t="s">
        <v>21</v>
      </c>
      <c r="C668" t="s">
        <v>27</v>
      </c>
      <c r="D668" s="1">
        <v>44603</v>
      </c>
      <c r="E668" s="2">
        <v>1225</v>
      </c>
      <c r="F668">
        <v>84</v>
      </c>
      <c r="G668" s="2">
        <f t="shared" si="40"/>
        <v>14.583333333333334</v>
      </c>
      <c r="H668" t="str">
        <f t="shared" si="41"/>
        <v>February</v>
      </c>
      <c r="I668" t="str">
        <f t="shared" si="42"/>
        <v>Q1</v>
      </c>
      <c r="J668" t="str">
        <f t="shared" si="43"/>
        <v>Large</v>
      </c>
    </row>
    <row r="669" spans="1:10" x14ac:dyDescent="0.25">
      <c r="A669" t="s">
        <v>48</v>
      </c>
      <c r="B669" t="s">
        <v>29</v>
      </c>
      <c r="C669" t="s">
        <v>16</v>
      </c>
      <c r="D669" s="1">
        <v>44750</v>
      </c>
      <c r="E669" s="2">
        <v>1155</v>
      </c>
      <c r="F669">
        <v>79</v>
      </c>
      <c r="G669" s="2">
        <f t="shared" si="40"/>
        <v>14.620253164556962</v>
      </c>
      <c r="H669" t="str">
        <f t="shared" si="41"/>
        <v>July</v>
      </c>
      <c r="I669" t="str">
        <f t="shared" si="42"/>
        <v>Q3</v>
      </c>
      <c r="J669" t="str">
        <f t="shared" si="43"/>
        <v>Large</v>
      </c>
    </row>
    <row r="670" spans="1:10" x14ac:dyDescent="0.25">
      <c r="A670" t="s">
        <v>19</v>
      </c>
      <c r="B670" t="s">
        <v>7</v>
      </c>
      <c r="C670" t="s">
        <v>51</v>
      </c>
      <c r="D670" s="1">
        <v>44784</v>
      </c>
      <c r="E670" s="2">
        <v>6811</v>
      </c>
      <c r="F670">
        <v>344</v>
      </c>
      <c r="G670" s="2">
        <f t="shared" si="40"/>
        <v>19.799418604651162</v>
      </c>
      <c r="H670" t="str">
        <f t="shared" si="41"/>
        <v>August</v>
      </c>
      <c r="I670" t="str">
        <f t="shared" si="42"/>
        <v>Q3</v>
      </c>
      <c r="J670" t="str">
        <f t="shared" si="43"/>
        <v>Large</v>
      </c>
    </row>
    <row r="671" spans="1:10" x14ac:dyDescent="0.25">
      <c r="A671" t="s">
        <v>40</v>
      </c>
      <c r="B671" t="s">
        <v>21</v>
      </c>
      <c r="C671" t="s">
        <v>20</v>
      </c>
      <c r="D671" s="1">
        <v>44777</v>
      </c>
      <c r="E671" s="2">
        <v>6433</v>
      </c>
      <c r="F671">
        <v>7</v>
      </c>
      <c r="G671" s="2">
        <f t="shared" si="40"/>
        <v>919</v>
      </c>
      <c r="H671" t="str">
        <f t="shared" si="41"/>
        <v>August</v>
      </c>
      <c r="I671" t="str">
        <f t="shared" si="42"/>
        <v>Q3</v>
      </c>
      <c r="J671" t="str">
        <f t="shared" si="43"/>
        <v>Large</v>
      </c>
    </row>
    <row r="672" spans="1:10" x14ac:dyDescent="0.25">
      <c r="A672" t="s">
        <v>48</v>
      </c>
      <c r="B672" t="s">
        <v>21</v>
      </c>
      <c r="C672" t="s">
        <v>27</v>
      </c>
      <c r="D672" s="1">
        <v>44726</v>
      </c>
      <c r="E672" s="2">
        <v>8169</v>
      </c>
      <c r="F672">
        <v>88</v>
      </c>
      <c r="G672" s="2">
        <f t="shared" si="40"/>
        <v>92.829545454545453</v>
      </c>
      <c r="H672" t="str">
        <f t="shared" si="41"/>
        <v>June</v>
      </c>
      <c r="I672" t="str">
        <f t="shared" si="42"/>
        <v>Q2</v>
      </c>
      <c r="J672" t="str">
        <f t="shared" si="43"/>
        <v>Large</v>
      </c>
    </row>
    <row r="673" spans="1:10" x14ac:dyDescent="0.25">
      <c r="A673" t="s">
        <v>43</v>
      </c>
      <c r="B673" t="s">
        <v>7</v>
      </c>
      <c r="C673" t="s">
        <v>56</v>
      </c>
      <c r="D673" s="1">
        <v>44578</v>
      </c>
      <c r="E673" s="2">
        <v>2275</v>
      </c>
      <c r="F673">
        <v>275</v>
      </c>
      <c r="G673" s="2">
        <f t="shared" si="40"/>
        <v>8.2727272727272734</v>
      </c>
      <c r="H673" t="str">
        <f t="shared" si="41"/>
        <v>January</v>
      </c>
      <c r="I673" t="str">
        <f t="shared" si="42"/>
        <v>Q1</v>
      </c>
      <c r="J673" t="str">
        <f t="shared" si="43"/>
        <v>Large</v>
      </c>
    </row>
    <row r="674" spans="1:10" x14ac:dyDescent="0.25">
      <c r="A674" t="s">
        <v>6</v>
      </c>
      <c r="B674" t="s">
        <v>29</v>
      </c>
      <c r="C674" t="s">
        <v>27</v>
      </c>
      <c r="D674" s="1">
        <v>44735</v>
      </c>
      <c r="E674" s="2">
        <v>3857</v>
      </c>
      <c r="F674">
        <v>512</v>
      </c>
      <c r="G674" s="2">
        <f t="shared" si="40"/>
        <v>7.533203125</v>
      </c>
      <c r="H674" t="str">
        <f t="shared" si="41"/>
        <v>June</v>
      </c>
      <c r="I674" t="str">
        <f t="shared" si="42"/>
        <v>Q2</v>
      </c>
      <c r="J674" t="str">
        <f t="shared" si="43"/>
        <v>Large</v>
      </c>
    </row>
    <row r="675" spans="1:10" x14ac:dyDescent="0.25">
      <c r="A675" t="s">
        <v>6</v>
      </c>
      <c r="B675" t="s">
        <v>7</v>
      </c>
      <c r="C675" t="s">
        <v>16</v>
      </c>
      <c r="D675" s="1">
        <v>44797</v>
      </c>
      <c r="E675" s="2">
        <v>1463</v>
      </c>
      <c r="F675">
        <v>113</v>
      </c>
      <c r="G675" s="2">
        <f t="shared" si="40"/>
        <v>12.946902654867257</v>
      </c>
      <c r="H675" t="str">
        <f t="shared" si="41"/>
        <v>August</v>
      </c>
      <c r="I675" t="str">
        <f t="shared" si="42"/>
        <v>Q3</v>
      </c>
      <c r="J675" t="str">
        <f t="shared" si="43"/>
        <v>Large</v>
      </c>
    </row>
    <row r="676" spans="1:10" x14ac:dyDescent="0.25">
      <c r="A676" t="s">
        <v>48</v>
      </c>
      <c r="B676" t="s">
        <v>7</v>
      </c>
      <c r="C676" t="s">
        <v>57</v>
      </c>
      <c r="D676" s="1">
        <v>44719</v>
      </c>
      <c r="E676" s="2">
        <v>7924</v>
      </c>
      <c r="F676">
        <v>275</v>
      </c>
      <c r="G676" s="2">
        <f t="shared" si="40"/>
        <v>28.814545454545456</v>
      </c>
      <c r="H676" t="str">
        <f t="shared" si="41"/>
        <v>June</v>
      </c>
      <c r="I676" t="str">
        <f t="shared" si="42"/>
        <v>Q2</v>
      </c>
      <c r="J676" t="str">
        <f t="shared" si="43"/>
        <v>Large</v>
      </c>
    </row>
    <row r="677" spans="1:10" x14ac:dyDescent="0.25">
      <c r="A677" t="s">
        <v>14</v>
      </c>
      <c r="B677" t="s">
        <v>7</v>
      </c>
      <c r="C677" t="s">
        <v>44</v>
      </c>
      <c r="D677" s="1">
        <v>44734</v>
      </c>
      <c r="E677" s="2">
        <v>8799</v>
      </c>
      <c r="F677">
        <v>47</v>
      </c>
      <c r="G677" s="2">
        <f t="shared" si="40"/>
        <v>187.21276595744681</v>
      </c>
      <c r="H677" t="str">
        <f t="shared" si="41"/>
        <v>June</v>
      </c>
      <c r="I677" t="str">
        <f t="shared" si="42"/>
        <v>Q2</v>
      </c>
      <c r="J677" t="str">
        <f t="shared" si="43"/>
        <v>Large</v>
      </c>
    </row>
    <row r="678" spans="1:10" x14ac:dyDescent="0.25">
      <c r="A678" t="s">
        <v>54</v>
      </c>
      <c r="B678" t="s">
        <v>26</v>
      </c>
      <c r="C678" t="s">
        <v>42</v>
      </c>
      <c r="D678" s="1">
        <v>44755</v>
      </c>
      <c r="E678" s="2">
        <v>2898</v>
      </c>
      <c r="F678">
        <v>276</v>
      </c>
      <c r="G678" s="2">
        <f t="shared" si="40"/>
        <v>10.5</v>
      </c>
      <c r="H678" t="str">
        <f t="shared" si="41"/>
        <v>July</v>
      </c>
      <c r="I678" t="str">
        <f t="shared" si="42"/>
        <v>Q3</v>
      </c>
      <c r="J678" t="str">
        <f t="shared" si="43"/>
        <v>Large</v>
      </c>
    </row>
    <row r="679" spans="1:10" x14ac:dyDescent="0.25">
      <c r="A679" t="s">
        <v>49</v>
      </c>
      <c r="B679" t="s">
        <v>7</v>
      </c>
      <c r="C679" t="s">
        <v>52</v>
      </c>
      <c r="D679" s="1">
        <v>44705</v>
      </c>
      <c r="E679" s="2">
        <v>9506</v>
      </c>
      <c r="F679">
        <v>212</v>
      </c>
      <c r="G679" s="2">
        <f t="shared" si="40"/>
        <v>44.839622641509436</v>
      </c>
      <c r="H679" t="str">
        <f t="shared" si="41"/>
        <v>May</v>
      </c>
      <c r="I679" t="str">
        <f t="shared" si="42"/>
        <v>Q2</v>
      </c>
      <c r="J679" t="str">
        <f t="shared" si="43"/>
        <v>Large</v>
      </c>
    </row>
    <row r="680" spans="1:10" x14ac:dyDescent="0.25">
      <c r="A680" t="s">
        <v>19</v>
      </c>
      <c r="B680" t="s">
        <v>21</v>
      </c>
      <c r="C680" t="s">
        <v>20</v>
      </c>
      <c r="D680" s="1">
        <v>44782</v>
      </c>
      <c r="E680" s="2">
        <v>7175</v>
      </c>
      <c r="F680">
        <v>145</v>
      </c>
      <c r="G680" s="2">
        <f t="shared" si="40"/>
        <v>49.482758620689658</v>
      </c>
      <c r="H680" t="str">
        <f t="shared" si="41"/>
        <v>August</v>
      </c>
      <c r="I680" t="str">
        <f t="shared" si="42"/>
        <v>Q3</v>
      </c>
      <c r="J680" t="str">
        <f t="shared" si="43"/>
        <v>Large</v>
      </c>
    </row>
    <row r="681" spans="1:10" x14ac:dyDescent="0.25">
      <c r="A681" t="s">
        <v>41</v>
      </c>
      <c r="B681" t="s">
        <v>29</v>
      </c>
      <c r="C681" t="s">
        <v>11</v>
      </c>
      <c r="D681" s="1">
        <v>44657</v>
      </c>
      <c r="E681" s="2">
        <v>1729</v>
      </c>
      <c r="F681">
        <v>31</v>
      </c>
      <c r="G681" s="2">
        <f t="shared" si="40"/>
        <v>55.774193548387096</v>
      </c>
      <c r="H681" t="str">
        <f t="shared" si="41"/>
        <v>April</v>
      </c>
      <c r="I681" t="str">
        <f t="shared" si="42"/>
        <v>Q2</v>
      </c>
      <c r="J681" t="str">
        <f t="shared" si="43"/>
        <v>Large</v>
      </c>
    </row>
    <row r="682" spans="1:10" x14ac:dyDescent="0.25">
      <c r="A682" t="s">
        <v>14</v>
      </c>
      <c r="B682" t="s">
        <v>21</v>
      </c>
      <c r="C682" t="s">
        <v>45</v>
      </c>
      <c r="D682" s="1">
        <v>44770</v>
      </c>
      <c r="E682" s="2">
        <v>1589</v>
      </c>
      <c r="F682">
        <v>271</v>
      </c>
      <c r="G682" s="2">
        <f t="shared" si="40"/>
        <v>5.8634686346863472</v>
      </c>
      <c r="H682" t="str">
        <f t="shared" si="41"/>
        <v>July</v>
      </c>
      <c r="I682" t="str">
        <f t="shared" si="42"/>
        <v>Q3</v>
      </c>
      <c r="J682" t="str">
        <f t="shared" si="43"/>
        <v>Large</v>
      </c>
    </row>
    <row r="683" spans="1:10" x14ac:dyDescent="0.25">
      <c r="A683" t="s">
        <v>19</v>
      </c>
      <c r="B683" t="s">
        <v>21</v>
      </c>
      <c r="C683" t="s">
        <v>51</v>
      </c>
      <c r="D683" s="1">
        <v>44797</v>
      </c>
      <c r="E683" s="2">
        <v>630</v>
      </c>
      <c r="F683">
        <v>52</v>
      </c>
      <c r="G683" s="2">
        <f t="shared" si="40"/>
        <v>12.115384615384615</v>
      </c>
      <c r="H683" t="str">
        <f t="shared" si="41"/>
        <v>August</v>
      </c>
      <c r="I683" t="str">
        <f t="shared" si="42"/>
        <v>Q3</v>
      </c>
      <c r="J683" t="str">
        <f t="shared" si="43"/>
        <v>Large</v>
      </c>
    </row>
    <row r="684" spans="1:10" x14ac:dyDescent="0.25">
      <c r="A684" t="s">
        <v>9</v>
      </c>
      <c r="B684" t="s">
        <v>15</v>
      </c>
      <c r="C684" t="s">
        <v>18</v>
      </c>
      <c r="D684" s="1">
        <v>44578</v>
      </c>
      <c r="E684" s="2">
        <v>112</v>
      </c>
      <c r="F684">
        <v>128</v>
      </c>
      <c r="G684" s="2">
        <f t="shared" si="40"/>
        <v>0.875</v>
      </c>
      <c r="H684" t="str">
        <f t="shared" si="41"/>
        <v>January</v>
      </c>
      <c r="I684" t="str">
        <f t="shared" si="42"/>
        <v>Q1</v>
      </c>
      <c r="J684" t="str">
        <f t="shared" si="43"/>
        <v>Small</v>
      </c>
    </row>
    <row r="685" spans="1:10" x14ac:dyDescent="0.25">
      <c r="A685" t="s">
        <v>38</v>
      </c>
      <c r="B685" t="s">
        <v>26</v>
      </c>
      <c r="C685" t="s">
        <v>32</v>
      </c>
      <c r="D685" s="1">
        <v>44599</v>
      </c>
      <c r="E685" s="2">
        <v>5187</v>
      </c>
      <c r="F685">
        <v>142</v>
      </c>
      <c r="G685" s="2">
        <f t="shared" si="40"/>
        <v>36.528169014084504</v>
      </c>
      <c r="H685" t="str">
        <f t="shared" si="41"/>
        <v>February</v>
      </c>
      <c r="I685" t="str">
        <f t="shared" si="42"/>
        <v>Q1</v>
      </c>
      <c r="J685" t="str">
        <f t="shared" si="43"/>
        <v>Large</v>
      </c>
    </row>
    <row r="686" spans="1:10" x14ac:dyDescent="0.25">
      <c r="A686" t="s">
        <v>23</v>
      </c>
      <c r="B686" t="s">
        <v>15</v>
      </c>
      <c r="C686" t="s">
        <v>39</v>
      </c>
      <c r="D686" s="1">
        <v>44690</v>
      </c>
      <c r="E686" s="2">
        <v>6223</v>
      </c>
      <c r="F686">
        <v>256</v>
      </c>
      <c r="G686" s="2">
        <f t="shared" si="40"/>
        <v>24.30859375</v>
      </c>
      <c r="H686" t="str">
        <f t="shared" si="41"/>
        <v>May</v>
      </c>
      <c r="I686" t="str">
        <f t="shared" si="42"/>
        <v>Q2</v>
      </c>
      <c r="J686" t="str">
        <f t="shared" si="43"/>
        <v>Large</v>
      </c>
    </row>
    <row r="687" spans="1:10" x14ac:dyDescent="0.25">
      <c r="A687" t="s">
        <v>28</v>
      </c>
      <c r="B687" t="s">
        <v>21</v>
      </c>
      <c r="C687" t="s">
        <v>11</v>
      </c>
      <c r="D687" s="1">
        <v>44718</v>
      </c>
      <c r="E687" s="2">
        <v>7714</v>
      </c>
      <c r="F687">
        <v>106</v>
      </c>
      <c r="G687" s="2">
        <f t="shared" si="40"/>
        <v>72.773584905660371</v>
      </c>
      <c r="H687" t="str">
        <f t="shared" si="41"/>
        <v>June</v>
      </c>
      <c r="I687" t="str">
        <f t="shared" si="42"/>
        <v>Q2</v>
      </c>
      <c r="J687" t="str">
        <f t="shared" si="43"/>
        <v>Large</v>
      </c>
    </row>
    <row r="688" spans="1:10" x14ac:dyDescent="0.25">
      <c r="A688" t="s">
        <v>46</v>
      </c>
      <c r="B688" t="s">
        <v>26</v>
      </c>
      <c r="C688" t="s">
        <v>52</v>
      </c>
      <c r="D688" s="1">
        <v>44718</v>
      </c>
      <c r="E688" s="2">
        <v>9457</v>
      </c>
      <c r="F688">
        <v>6</v>
      </c>
      <c r="G688" s="2">
        <f t="shared" si="40"/>
        <v>1576.1666666666667</v>
      </c>
      <c r="H688" t="str">
        <f t="shared" si="41"/>
        <v>June</v>
      </c>
      <c r="I688" t="str">
        <f t="shared" si="42"/>
        <v>Q2</v>
      </c>
      <c r="J688" t="str">
        <f t="shared" si="43"/>
        <v>Large</v>
      </c>
    </row>
    <row r="689" spans="1:10" x14ac:dyDescent="0.25">
      <c r="A689" t="s">
        <v>34</v>
      </c>
      <c r="B689" t="s">
        <v>21</v>
      </c>
      <c r="C689" t="s">
        <v>35</v>
      </c>
      <c r="D689" s="1">
        <v>44705</v>
      </c>
      <c r="E689" s="2">
        <v>6678</v>
      </c>
      <c r="F689">
        <v>226</v>
      </c>
      <c r="G689" s="2">
        <f t="shared" si="40"/>
        <v>29.548672566371682</v>
      </c>
      <c r="H689" t="str">
        <f t="shared" si="41"/>
        <v>May</v>
      </c>
      <c r="I689" t="str">
        <f t="shared" si="42"/>
        <v>Q2</v>
      </c>
      <c r="J689" t="str">
        <f t="shared" si="43"/>
        <v>Large</v>
      </c>
    </row>
    <row r="690" spans="1:10" x14ac:dyDescent="0.25">
      <c r="A690" t="s">
        <v>19</v>
      </c>
      <c r="B690" t="s">
        <v>7</v>
      </c>
      <c r="C690" t="s">
        <v>22</v>
      </c>
      <c r="D690" s="1">
        <v>44574</v>
      </c>
      <c r="E690" s="2">
        <v>2107</v>
      </c>
      <c r="F690">
        <v>121</v>
      </c>
      <c r="G690" s="2">
        <f t="shared" si="40"/>
        <v>17.41322314049587</v>
      </c>
      <c r="H690" t="str">
        <f t="shared" si="41"/>
        <v>January</v>
      </c>
      <c r="I690" t="str">
        <f t="shared" si="42"/>
        <v>Q1</v>
      </c>
      <c r="J690" t="str">
        <f t="shared" si="43"/>
        <v>Large</v>
      </c>
    </row>
    <row r="691" spans="1:10" x14ac:dyDescent="0.25">
      <c r="A691" t="s">
        <v>33</v>
      </c>
      <c r="B691" t="s">
        <v>26</v>
      </c>
      <c r="C691" t="s">
        <v>51</v>
      </c>
      <c r="D691" s="1">
        <v>44704</v>
      </c>
      <c r="E691" s="2">
        <v>6069</v>
      </c>
      <c r="F691">
        <v>151</v>
      </c>
      <c r="G691" s="2">
        <f t="shared" si="40"/>
        <v>40.192052980132452</v>
      </c>
      <c r="H691" t="str">
        <f t="shared" si="41"/>
        <v>May</v>
      </c>
      <c r="I691" t="str">
        <f t="shared" si="42"/>
        <v>Q2</v>
      </c>
      <c r="J691" t="str">
        <f t="shared" si="43"/>
        <v>Large</v>
      </c>
    </row>
    <row r="692" spans="1:10" x14ac:dyDescent="0.25">
      <c r="A692" t="s">
        <v>6</v>
      </c>
      <c r="B692" t="s">
        <v>7</v>
      </c>
      <c r="C692" t="s">
        <v>44</v>
      </c>
      <c r="D692" s="1">
        <v>44741</v>
      </c>
      <c r="E692" s="2">
        <v>1862</v>
      </c>
      <c r="F692">
        <v>284</v>
      </c>
      <c r="G692" s="2">
        <f t="shared" si="40"/>
        <v>6.556338028169014</v>
      </c>
      <c r="H692" t="str">
        <f t="shared" si="41"/>
        <v>June</v>
      </c>
      <c r="I692" t="str">
        <f t="shared" si="42"/>
        <v>Q2</v>
      </c>
      <c r="J692" t="str">
        <f t="shared" si="43"/>
        <v>Large</v>
      </c>
    </row>
    <row r="693" spans="1:10" x14ac:dyDescent="0.25">
      <c r="A693" t="s">
        <v>6</v>
      </c>
      <c r="B693" t="s">
        <v>21</v>
      </c>
      <c r="C693" t="s">
        <v>11</v>
      </c>
      <c r="D693" s="1">
        <v>44631</v>
      </c>
      <c r="E693" s="2">
        <v>6972</v>
      </c>
      <c r="F693">
        <v>89</v>
      </c>
      <c r="G693" s="2">
        <f t="shared" si="40"/>
        <v>78.337078651685388</v>
      </c>
      <c r="H693" t="str">
        <f t="shared" si="41"/>
        <v>March</v>
      </c>
      <c r="I693" t="str">
        <f t="shared" si="42"/>
        <v>Q1</v>
      </c>
      <c r="J693" t="str">
        <f t="shared" si="43"/>
        <v>Large</v>
      </c>
    </row>
    <row r="694" spans="1:10" x14ac:dyDescent="0.25">
      <c r="A694" t="s">
        <v>54</v>
      </c>
      <c r="B694" t="s">
        <v>26</v>
      </c>
      <c r="C694" t="s">
        <v>11</v>
      </c>
      <c r="D694" s="1">
        <v>44676</v>
      </c>
      <c r="E694" s="2">
        <v>10220</v>
      </c>
      <c r="F694">
        <v>508</v>
      </c>
      <c r="G694" s="2">
        <f t="shared" si="40"/>
        <v>20.118110236220474</v>
      </c>
      <c r="H694" t="str">
        <f t="shared" si="41"/>
        <v>April</v>
      </c>
      <c r="I694" t="str">
        <f t="shared" si="42"/>
        <v>Q2</v>
      </c>
      <c r="J694" t="str">
        <f t="shared" si="43"/>
        <v>Large</v>
      </c>
    </row>
    <row r="695" spans="1:10" x14ac:dyDescent="0.25">
      <c r="A695" t="s">
        <v>24</v>
      </c>
      <c r="B695" t="s">
        <v>15</v>
      </c>
      <c r="C695" t="s">
        <v>16</v>
      </c>
      <c r="D695" s="1">
        <v>44711</v>
      </c>
      <c r="E695" s="2">
        <v>3969</v>
      </c>
      <c r="F695">
        <v>243</v>
      </c>
      <c r="G695" s="2">
        <f t="shared" si="40"/>
        <v>16.333333333333332</v>
      </c>
      <c r="H695" t="str">
        <f t="shared" si="41"/>
        <v>May</v>
      </c>
      <c r="I695" t="str">
        <f t="shared" si="42"/>
        <v>Q2</v>
      </c>
      <c r="J695" t="str">
        <f t="shared" si="43"/>
        <v>Large</v>
      </c>
    </row>
    <row r="696" spans="1:10" x14ac:dyDescent="0.25">
      <c r="A696" t="s">
        <v>38</v>
      </c>
      <c r="B696" t="s">
        <v>10</v>
      </c>
      <c r="C696" t="s">
        <v>45</v>
      </c>
      <c r="D696" s="1">
        <v>44704</v>
      </c>
      <c r="E696" s="2">
        <v>1547</v>
      </c>
      <c r="F696">
        <v>170</v>
      </c>
      <c r="G696" s="2">
        <f t="shared" si="40"/>
        <v>9.1</v>
      </c>
      <c r="H696" t="str">
        <f t="shared" si="41"/>
        <v>May</v>
      </c>
      <c r="I696" t="str">
        <f t="shared" si="42"/>
        <v>Q2</v>
      </c>
      <c r="J696" t="str">
        <f t="shared" si="43"/>
        <v>Large</v>
      </c>
    </row>
    <row r="697" spans="1:10" x14ac:dyDescent="0.25">
      <c r="A697" t="s">
        <v>28</v>
      </c>
      <c r="B697" t="s">
        <v>26</v>
      </c>
      <c r="C697" t="s">
        <v>13</v>
      </c>
      <c r="D697" s="1">
        <v>44704</v>
      </c>
      <c r="E697" s="2">
        <v>1162</v>
      </c>
      <c r="F697">
        <v>18</v>
      </c>
      <c r="G697" s="2">
        <f t="shared" si="40"/>
        <v>64.555555555555557</v>
      </c>
      <c r="H697" t="str">
        <f t="shared" si="41"/>
        <v>May</v>
      </c>
      <c r="I697" t="str">
        <f t="shared" si="42"/>
        <v>Q2</v>
      </c>
      <c r="J697" t="str">
        <f t="shared" si="43"/>
        <v>Large</v>
      </c>
    </row>
    <row r="698" spans="1:10" x14ac:dyDescent="0.25">
      <c r="A698" t="s">
        <v>9</v>
      </c>
      <c r="B698" t="s">
        <v>29</v>
      </c>
      <c r="C698" t="s">
        <v>13</v>
      </c>
      <c r="D698" s="1">
        <v>44736</v>
      </c>
      <c r="E698" s="2">
        <v>6342</v>
      </c>
      <c r="F698">
        <v>282</v>
      </c>
      <c r="G698" s="2">
        <f t="shared" si="40"/>
        <v>22.48936170212766</v>
      </c>
      <c r="H698" t="str">
        <f t="shared" si="41"/>
        <v>June</v>
      </c>
      <c r="I698" t="str">
        <f t="shared" si="42"/>
        <v>Q2</v>
      </c>
      <c r="J698" t="str">
        <f t="shared" si="43"/>
        <v>Large</v>
      </c>
    </row>
    <row r="699" spans="1:10" x14ac:dyDescent="0.25">
      <c r="A699" t="s">
        <v>49</v>
      </c>
      <c r="B699" t="s">
        <v>21</v>
      </c>
      <c r="C699" t="s">
        <v>16</v>
      </c>
      <c r="D699" s="1">
        <v>44631</v>
      </c>
      <c r="E699" s="2">
        <v>10633</v>
      </c>
      <c r="F699">
        <v>277</v>
      </c>
      <c r="G699" s="2">
        <f t="shared" si="40"/>
        <v>38.386281588447652</v>
      </c>
      <c r="H699" t="str">
        <f t="shared" si="41"/>
        <v>March</v>
      </c>
      <c r="I699" t="str">
        <f t="shared" si="42"/>
        <v>Q1</v>
      </c>
      <c r="J699" t="str">
        <f t="shared" si="43"/>
        <v>Large</v>
      </c>
    </row>
    <row r="700" spans="1:10" x14ac:dyDescent="0.25">
      <c r="A700" t="s">
        <v>24</v>
      </c>
      <c r="B700" t="s">
        <v>26</v>
      </c>
      <c r="C700" t="s">
        <v>16</v>
      </c>
      <c r="D700" s="1">
        <v>44769</v>
      </c>
      <c r="E700" s="2">
        <v>15057</v>
      </c>
      <c r="F700">
        <v>212</v>
      </c>
      <c r="G700" s="2">
        <f t="shared" si="40"/>
        <v>71.023584905660371</v>
      </c>
      <c r="H700" t="str">
        <f t="shared" si="41"/>
        <v>July</v>
      </c>
      <c r="I700" t="str">
        <f t="shared" si="42"/>
        <v>Q3</v>
      </c>
      <c r="J700" t="str">
        <f t="shared" si="43"/>
        <v>Large</v>
      </c>
    </row>
    <row r="701" spans="1:10" x14ac:dyDescent="0.25">
      <c r="A701" t="s">
        <v>24</v>
      </c>
      <c r="B701" t="s">
        <v>26</v>
      </c>
      <c r="C701" t="s">
        <v>44</v>
      </c>
      <c r="D701" s="1">
        <v>44789</v>
      </c>
      <c r="E701" s="2">
        <v>4704</v>
      </c>
      <c r="F701">
        <v>126</v>
      </c>
      <c r="G701" s="2">
        <f t="shared" si="40"/>
        <v>37.333333333333336</v>
      </c>
      <c r="H701" t="str">
        <f t="shared" si="41"/>
        <v>August</v>
      </c>
      <c r="I701" t="str">
        <f t="shared" si="42"/>
        <v>Q3</v>
      </c>
      <c r="J701" t="str">
        <f t="shared" si="43"/>
        <v>Large</v>
      </c>
    </row>
    <row r="702" spans="1:10" x14ac:dyDescent="0.25">
      <c r="A702" t="s">
        <v>36</v>
      </c>
      <c r="B702" t="s">
        <v>29</v>
      </c>
      <c r="C702" t="s">
        <v>16</v>
      </c>
      <c r="D702" s="1">
        <v>44627</v>
      </c>
      <c r="E702" s="2">
        <v>9338</v>
      </c>
      <c r="F702">
        <v>11</v>
      </c>
      <c r="G702" s="2">
        <f t="shared" si="40"/>
        <v>848.90909090909088</v>
      </c>
      <c r="H702" t="str">
        <f t="shared" si="41"/>
        <v>March</v>
      </c>
      <c r="I702" t="str">
        <f t="shared" si="42"/>
        <v>Q1</v>
      </c>
      <c r="J702" t="str">
        <f t="shared" si="43"/>
        <v>Large</v>
      </c>
    </row>
    <row r="703" spans="1:10" x14ac:dyDescent="0.25">
      <c r="A703" t="s">
        <v>38</v>
      </c>
      <c r="B703" t="s">
        <v>21</v>
      </c>
      <c r="C703" t="s">
        <v>20</v>
      </c>
      <c r="D703" s="1">
        <v>44656</v>
      </c>
      <c r="E703" s="2">
        <v>7959</v>
      </c>
      <c r="F703">
        <v>30</v>
      </c>
      <c r="G703" s="2">
        <f t="shared" si="40"/>
        <v>265.3</v>
      </c>
      <c r="H703" t="str">
        <f t="shared" si="41"/>
        <v>April</v>
      </c>
      <c r="I703" t="str">
        <f t="shared" si="42"/>
        <v>Q2</v>
      </c>
      <c r="J703" t="str">
        <f t="shared" si="43"/>
        <v>Large</v>
      </c>
    </row>
    <row r="704" spans="1:10" x14ac:dyDescent="0.25">
      <c r="A704" t="s">
        <v>50</v>
      </c>
      <c r="B704" t="s">
        <v>10</v>
      </c>
      <c r="C704" t="s">
        <v>11</v>
      </c>
      <c r="D704" s="1">
        <v>44685</v>
      </c>
      <c r="E704" s="2">
        <v>9023</v>
      </c>
      <c r="F704">
        <v>51</v>
      </c>
      <c r="G704" s="2">
        <f t="shared" si="40"/>
        <v>176.92156862745097</v>
      </c>
      <c r="H704" t="str">
        <f t="shared" si="41"/>
        <v>May</v>
      </c>
      <c r="I704" t="str">
        <f t="shared" si="42"/>
        <v>Q2</v>
      </c>
      <c r="J704" t="str">
        <f t="shared" si="43"/>
        <v>Large</v>
      </c>
    </row>
    <row r="705" spans="1:10" x14ac:dyDescent="0.25">
      <c r="A705" t="s">
        <v>55</v>
      </c>
      <c r="B705" t="s">
        <v>26</v>
      </c>
      <c r="C705" t="s">
        <v>52</v>
      </c>
      <c r="D705" s="1">
        <v>44565</v>
      </c>
      <c r="E705" s="2">
        <v>14525</v>
      </c>
      <c r="F705">
        <v>92</v>
      </c>
      <c r="G705" s="2">
        <f t="shared" si="40"/>
        <v>157.88043478260869</v>
      </c>
      <c r="H705" t="str">
        <f t="shared" si="41"/>
        <v>January</v>
      </c>
      <c r="I705" t="str">
        <f t="shared" si="42"/>
        <v>Q1</v>
      </c>
      <c r="J705" t="str">
        <f t="shared" si="43"/>
        <v>Large</v>
      </c>
    </row>
    <row r="706" spans="1:10" x14ac:dyDescent="0.25">
      <c r="A706" t="s">
        <v>33</v>
      </c>
      <c r="B706" t="s">
        <v>15</v>
      </c>
      <c r="C706" t="s">
        <v>56</v>
      </c>
      <c r="D706" s="1">
        <v>44574</v>
      </c>
      <c r="E706" s="2">
        <v>5810</v>
      </c>
      <c r="F706">
        <v>101</v>
      </c>
      <c r="G706" s="2">
        <f t="shared" si="40"/>
        <v>57.524752475247524</v>
      </c>
      <c r="H706" t="str">
        <f t="shared" si="41"/>
        <v>January</v>
      </c>
      <c r="I706" t="str">
        <f t="shared" si="42"/>
        <v>Q1</v>
      </c>
      <c r="J706" t="str">
        <f t="shared" si="43"/>
        <v>Large</v>
      </c>
    </row>
    <row r="707" spans="1:10" x14ac:dyDescent="0.25">
      <c r="A707" t="s">
        <v>46</v>
      </c>
      <c r="B707" t="s">
        <v>21</v>
      </c>
      <c r="C707" t="s">
        <v>42</v>
      </c>
      <c r="D707" s="1">
        <v>44753</v>
      </c>
      <c r="E707" s="2">
        <v>6426</v>
      </c>
      <c r="F707">
        <v>98</v>
      </c>
      <c r="G707" s="2">
        <f t="shared" ref="G707:G770" si="44">E707/F707</f>
        <v>65.571428571428569</v>
      </c>
      <c r="H707" t="str">
        <f t="shared" ref="H707:H770" si="45">TEXT(D707, "mmmm")</f>
        <v>July</v>
      </c>
      <c r="I707" t="str">
        <f t="shared" ref="I707:I770" si="46">"Q" &amp; ROUNDUP(MONTH(D707)/3,0)</f>
        <v>Q3</v>
      </c>
      <c r="J707" t="str">
        <f t="shared" ref="J707:J770" si="47">IF(E707 &gt; 500, "Large", "Small")</f>
        <v>Large</v>
      </c>
    </row>
    <row r="708" spans="1:10" x14ac:dyDescent="0.25">
      <c r="A708" t="s">
        <v>41</v>
      </c>
      <c r="B708" t="s">
        <v>15</v>
      </c>
      <c r="C708" t="s">
        <v>8</v>
      </c>
      <c r="D708" s="1">
        <v>44698</v>
      </c>
      <c r="E708" s="2">
        <v>4403</v>
      </c>
      <c r="F708">
        <v>159</v>
      </c>
      <c r="G708" s="2">
        <f t="shared" si="44"/>
        <v>27.691823899371069</v>
      </c>
      <c r="H708" t="str">
        <f t="shared" si="45"/>
        <v>May</v>
      </c>
      <c r="I708" t="str">
        <f t="shared" si="46"/>
        <v>Q2</v>
      </c>
      <c r="J708" t="str">
        <f t="shared" si="47"/>
        <v>Large</v>
      </c>
    </row>
    <row r="709" spans="1:10" x14ac:dyDescent="0.25">
      <c r="A709" t="s">
        <v>50</v>
      </c>
      <c r="B709" t="s">
        <v>21</v>
      </c>
      <c r="C709" t="s">
        <v>13</v>
      </c>
      <c r="D709" s="1">
        <v>44763</v>
      </c>
      <c r="E709" s="2">
        <v>1582</v>
      </c>
      <c r="F709">
        <v>62</v>
      </c>
      <c r="G709" s="2">
        <f t="shared" si="44"/>
        <v>25.516129032258064</v>
      </c>
      <c r="H709" t="str">
        <f t="shared" si="45"/>
        <v>July</v>
      </c>
      <c r="I709" t="str">
        <f t="shared" si="46"/>
        <v>Q3</v>
      </c>
      <c r="J709" t="str">
        <f t="shared" si="47"/>
        <v>Large</v>
      </c>
    </row>
    <row r="710" spans="1:10" x14ac:dyDescent="0.25">
      <c r="A710" t="s">
        <v>38</v>
      </c>
      <c r="B710" t="s">
        <v>29</v>
      </c>
      <c r="C710" t="s">
        <v>35</v>
      </c>
      <c r="D710" s="1">
        <v>44614</v>
      </c>
      <c r="E710" s="2">
        <v>791</v>
      </c>
      <c r="F710">
        <v>22</v>
      </c>
      <c r="G710" s="2">
        <f t="shared" si="44"/>
        <v>35.954545454545453</v>
      </c>
      <c r="H710" t="str">
        <f t="shared" si="45"/>
        <v>February</v>
      </c>
      <c r="I710" t="str">
        <f t="shared" si="46"/>
        <v>Q1</v>
      </c>
      <c r="J710" t="str">
        <f t="shared" si="47"/>
        <v>Large</v>
      </c>
    </row>
    <row r="711" spans="1:10" x14ac:dyDescent="0.25">
      <c r="A711" t="s">
        <v>14</v>
      </c>
      <c r="B711" t="s">
        <v>10</v>
      </c>
      <c r="C711" t="s">
        <v>18</v>
      </c>
      <c r="D711" s="1">
        <v>44704</v>
      </c>
      <c r="E711" s="2">
        <v>9100</v>
      </c>
      <c r="F711">
        <v>187</v>
      </c>
      <c r="G711" s="2">
        <f t="shared" si="44"/>
        <v>48.663101604278076</v>
      </c>
      <c r="H711" t="str">
        <f t="shared" si="45"/>
        <v>May</v>
      </c>
      <c r="I711" t="str">
        <f t="shared" si="46"/>
        <v>Q2</v>
      </c>
      <c r="J711" t="str">
        <f t="shared" si="47"/>
        <v>Large</v>
      </c>
    </row>
    <row r="712" spans="1:10" x14ac:dyDescent="0.25">
      <c r="A712" t="s">
        <v>24</v>
      </c>
      <c r="B712" t="s">
        <v>29</v>
      </c>
      <c r="C712" t="s">
        <v>32</v>
      </c>
      <c r="D712" s="1">
        <v>44754</v>
      </c>
      <c r="E712" s="2">
        <v>9884</v>
      </c>
      <c r="F712">
        <v>200</v>
      </c>
      <c r="G712" s="2">
        <f t="shared" si="44"/>
        <v>49.42</v>
      </c>
      <c r="H712" t="str">
        <f t="shared" si="45"/>
        <v>July</v>
      </c>
      <c r="I712" t="str">
        <f t="shared" si="46"/>
        <v>Q3</v>
      </c>
      <c r="J712" t="str">
        <f t="shared" si="47"/>
        <v>Large</v>
      </c>
    </row>
    <row r="713" spans="1:10" x14ac:dyDescent="0.25">
      <c r="A713" t="s">
        <v>14</v>
      </c>
      <c r="B713" t="s">
        <v>7</v>
      </c>
      <c r="C713" t="s">
        <v>27</v>
      </c>
      <c r="D713" s="1">
        <v>44727</v>
      </c>
      <c r="E713" s="2">
        <v>3780</v>
      </c>
      <c r="F713">
        <v>201</v>
      </c>
      <c r="G713" s="2">
        <f t="shared" si="44"/>
        <v>18.805970149253731</v>
      </c>
      <c r="H713" t="str">
        <f t="shared" si="45"/>
        <v>June</v>
      </c>
      <c r="I713" t="str">
        <f t="shared" si="46"/>
        <v>Q2</v>
      </c>
      <c r="J713" t="str">
        <f t="shared" si="47"/>
        <v>Large</v>
      </c>
    </row>
    <row r="714" spans="1:10" x14ac:dyDescent="0.25">
      <c r="A714" t="s">
        <v>25</v>
      </c>
      <c r="B714" t="s">
        <v>21</v>
      </c>
      <c r="C714" t="s">
        <v>22</v>
      </c>
      <c r="D714" s="1">
        <v>44735</v>
      </c>
      <c r="E714" s="2">
        <v>4557</v>
      </c>
      <c r="F714">
        <v>308</v>
      </c>
      <c r="G714" s="2">
        <f t="shared" si="44"/>
        <v>14.795454545454545</v>
      </c>
      <c r="H714" t="str">
        <f t="shared" si="45"/>
        <v>June</v>
      </c>
      <c r="I714" t="str">
        <f t="shared" si="46"/>
        <v>Q2</v>
      </c>
      <c r="J714" t="str">
        <f t="shared" si="47"/>
        <v>Large</v>
      </c>
    </row>
    <row r="715" spans="1:10" x14ac:dyDescent="0.25">
      <c r="A715" t="s">
        <v>38</v>
      </c>
      <c r="B715" t="s">
        <v>15</v>
      </c>
      <c r="C715" t="s">
        <v>30</v>
      </c>
      <c r="D715" s="1">
        <v>44645</v>
      </c>
      <c r="E715" s="2">
        <v>5796</v>
      </c>
      <c r="F715">
        <v>55</v>
      </c>
      <c r="G715" s="2">
        <f t="shared" si="44"/>
        <v>105.38181818181818</v>
      </c>
      <c r="H715" t="str">
        <f t="shared" si="45"/>
        <v>March</v>
      </c>
      <c r="I715" t="str">
        <f t="shared" si="46"/>
        <v>Q1</v>
      </c>
      <c r="J715" t="str">
        <f t="shared" si="47"/>
        <v>Large</v>
      </c>
    </row>
    <row r="716" spans="1:10" x14ac:dyDescent="0.25">
      <c r="A716" t="s">
        <v>14</v>
      </c>
      <c r="B716" t="s">
        <v>10</v>
      </c>
      <c r="C716" t="s">
        <v>57</v>
      </c>
      <c r="D716" s="1">
        <v>44746</v>
      </c>
      <c r="E716" s="2">
        <v>84</v>
      </c>
      <c r="F716">
        <v>153</v>
      </c>
      <c r="G716" s="2">
        <f t="shared" si="44"/>
        <v>0.5490196078431373</v>
      </c>
      <c r="H716" t="str">
        <f t="shared" si="45"/>
        <v>July</v>
      </c>
      <c r="I716" t="str">
        <f t="shared" si="46"/>
        <v>Q3</v>
      </c>
      <c r="J716" t="str">
        <f t="shared" si="47"/>
        <v>Small</v>
      </c>
    </row>
    <row r="717" spans="1:10" x14ac:dyDescent="0.25">
      <c r="A717" t="s">
        <v>48</v>
      </c>
      <c r="B717" t="s">
        <v>7</v>
      </c>
      <c r="C717" t="s">
        <v>44</v>
      </c>
      <c r="D717" s="1">
        <v>44693</v>
      </c>
      <c r="E717" s="2">
        <v>9037</v>
      </c>
      <c r="F717">
        <v>101</v>
      </c>
      <c r="G717" s="2">
        <f t="shared" si="44"/>
        <v>89.475247524752476</v>
      </c>
      <c r="H717" t="str">
        <f t="shared" si="45"/>
        <v>May</v>
      </c>
      <c r="I717" t="str">
        <f t="shared" si="46"/>
        <v>Q2</v>
      </c>
      <c r="J717" t="str">
        <f t="shared" si="47"/>
        <v>Large</v>
      </c>
    </row>
    <row r="718" spans="1:10" x14ac:dyDescent="0.25">
      <c r="A718" t="s">
        <v>50</v>
      </c>
      <c r="B718" t="s">
        <v>21</v>
      </c>
      <c r="C718" t="s">
        <v>51</v>
      </c>
      <c r="D718" s="1">
        <v>44655</v>
      </c>
      <c r="E718" s="2">
        <v>4746</v>
      </c>
      <c r="F718">
        <v>137</v>
      </c>
      <c r="G718" s="2">
        <f t="shared" si="44"/>
        <v>34.642335766423358</v>
      </c>
      <c r="H718" t="str">
        <f t="shared" si="45"/>
        <v>April</v>
      </c>
      <c r="I718" t="str">
        <f t="shared" si="46"/>
        <v>Q2</v>
      </c>
      <c r="J718" t="str">
        <f t="shared" si="47"/>
        <v>Large</v>
      </c>
    </row>
    <row r="719" spans="1:10" x14ac:dyDescent="0.25">
      <c r="A719" t="s">
        <v>53</v>
      </c>
      <c r="B719" t="s">
        <v>15</v>
      </c>
      <c r="C719" t="s">
        <v>27</v>
      </c>
      <c r="D719" s="1">
        <v>44666</v>
      </c>
      <c r="E719" s="2">
        <v>6713</v>
      </c>
      <c r="F719">
        <v>398</v>
      </c>
      <c r="G719" s="2">
        <f t="shared" si="44"/>
        <v>16.866834170854272</v>
      </c>
      <c r="H719" t="str">
        <f t="shared" si="45"/>
        <v>April</v>
      </c>
      <c r="I719" t="str">
        <f t="shared" si="46"/>
        <v>Q2</v>
      </c>
      <c r="J719" t="str">
        <f t="shared" si="47"/>
        <v>Large</v>
      </c>
    </row>
    <row r="720" spans="1:10" x14ac:dyDescent="0.25">
      <c r="A720" t="s">
        <v>36</v>
      </c>
      <c r="B720" t="s">
        <v>29</v>
      </c>
      <c r="C720" t="s">
        <v>30</v>
      </c>
      <c r="D720" s="1">
        <v>44628</v>
      </c>
      <c r="E720" s="2">
        <v>6237</v>
      </c>
      <c r="F720">
        <v>88</v>
      </c>
      <c r="G720" s="2">
        <f t="shared" si="44"/>
        <v>70.875</v>
      </c>
      <c r="H720" t="str">
        <f t="shared" si="45"/>
        <v>March</v>
      </c>
      <c r="I720" t="str">
        <f t="shared" si="46"/>
        <v>Q1</v>
      </c>
      <c r="J720" t="str">
        <f t="shared" si="47"/>
        <v>Large</v>
      </c>
    </row>
    <row r="721" spans="1:10" x14ac:dyDescent="0.25">
      <c r="A721" t="s">
        <v>31</v>
      </c>
      <c r="B721" t="s">
        <v>10</v>
      </c>
      <c r="C721" t="s">
        <v>44</v>
      </c>
      <c r="D721" s="1">
        <v>44578</v>
      </c>
      <c r="E721" s="2">
        <v>7483</v>
      </c>
      <c r="F721">
        <v>232</v>
      </c>
      <c r="G721" s="2">
        <f t="shared" si="44"/>
        <v>32.254310344827587</v>
      </c>
      <c r="H721" t="str">
        <f t="shared" si="45"/>
        <v>January</v>
      </c>
      <c r="I721" t="str">
        <f t="shared" si="46"/>
        <v>Q1</v>
      </c>
      <c r="J721" t="str">
        <f t="shared" si="47"/>
        <v>Large</v>
      </c>
    </row>
    <row r="722" spans="1:10" x14ac:dyDescent="0.25">
      <c r="A722" t="s">
        <v>46</v>
      </c>
      <c r="B722" t="s">
        <v>10</v>
      </c>
      <c r="C722" t="s">
        <v>8</v>
      </c>
      <c r="D722" s="1">
        <v>44795</v>
      </c>
      <c r="E722" s="2">
        <v>1309</v>
      </c>
      <c r="F722">
        <v>51</v>
      </c>
      <c r="G722" s="2">
        <f t="shared" si="44"/>
        <v>25.666666666666668</v>
      </c>
      <c r="H722" t="str">
        <f t="shared" si="45"/>
        <v>August</v>
      </c>
      <c r="I722" t="str">
        <f t="shared" si="46"/>
        <v>Q3</v>
      </c>
      <c r="J722" t="str">
        <f t="shared" si="47"/>
        <v>Large</v>
      </c>
    </row>
    <row r="723" spans="1:10" x14ac:dyDescent="0.25">
      <c r="A723" t="s">
        <v>48</v>
      </c>
      <c r="B723" t="s">
        <v>7</v>
      </c>
      <c r="C723" t="s">
        <v>18</v>
      </c>
      <c r="D723" s="1">
        <v>44767</v>
      </c>
      <c r="E723" s="2">
        <v>1155</v>
      </c>
      <c r="F723">
        <v>66</v>
      </c>
      <c r="G723" s="2">
        <f t="shared" si="44"/>
        <v>17.5</v>
      </c>
      <c r="H723" t="str">
        <f t="shared" si="45"/>
        <v>July</v>
      </c>
      <c r="I723" t="str">
        <f t="shared" si="46"/>
        <v>Q3</v>
      </c>
      <c r="J723" t="str">
        <f t="shared" si="47"/>
        <v>Large</v>
      </c>
    </row>
    <row r="724" spans="1:10" x14ac:dyDescent="0.25">
      <c r="A724" t="s">
        <v>33</v>
      </c>
      <c r="B724" t="s">
        <v>7</v>
      </c>
      <c r="C724" t="s">
        <v>22</v>
      </c>
      <c r="D724" s="1">
        <v>44726</v>
      </c>
      <c r="E724" s="2">
        <v>2989</v>
      </c>
      <c r="F724">
        <v>124</v>
      </c>
      <c r="G724" s="2">
        <f t="shared" si="44"/>
        <v>24.10483870967742</v>
      </c>
      <c r="H724" t="str">
        <f t="shared" si="45"/>
        <v>June</v>
      </c>
      <c r="I724" t="str">
        <f t="shared" si="46"/>
        <v>Q2</v>
      </c>
      <c r="J724" t="str">
        <f t="shared" si="47"/>
        <v>Large</v>
      </c>
    </row>
    <row r="725" spans="1:10" x14ac:dyDescent="0.25">
      <c r="A725" t="s">
        <v>55</v>
      </c>
      <c r="B725" t="s">
        <v>10</v>
      </c>
      <c r="C725" t="s">
        <v>52</v>
      </c>
      <c r="D725" s="1">
        <v>44656</v>
      </c>
      <c r="E725" s="2">
        <v>9625</v>
      </c>
      <c r="F725">
        <v>78</v>
      </c>
      <c r="G725" s="2">
        <f t="shared" si="44"/>
        <v>123.3974358974359</v>
      </c>
      <c r="H725" t="str">
        <f t="shared" si="45"/>
        <v>April</v>
      </c>
      <c r="I725" t="str">
        <f t="shared" si="46"/>
        <v>Q2</v>
      </c>
      <c r="J725" t="str">
        <f t="shared" si="47"/>
        <v>Large</v>
      </c>
    </row>
    <row r="726" spans="1:10" x14ac:dyDescent="0.25">
      <c r="A726" t="s">
        <v>53</v>
      </c>
      <c r="B726" t="s">
        <v>7</v>
      </c>
      <c r="C726" t="s">
        <v>51</v>
      </c>
      <c r="D726" s="1">
        <v>44799</v>
      </c>
      <c r="E726" s="2">
        <v>7357</v>
      </c>
      <c r="F726">
        <v>341</v>
      </c>
      <c r="G726" s="2">
        <f t="shared" si="44"/>
        <v>21.574780058651026</v>
      </c>
      <c r="H726" t="str">
        <f t="shared" si="45"/>
        <v>August</v>
      </c>
      <c r="I726" t="str">
        <f t="shared" si="46"/>
        <v>Q3</v>
      </c>
      <c r="J726" t="str">
        <f t="shared" si="47"/>
        <v>Large</v>
      </c>
    </row>
    <row r="727" spans="1:10" x14ac:dyDescent="0.25">
      <c r="A727" t="s">
        <v>46</v>
      </c>
      <c r="B727" t="s">
        <v>15</v>
      </c>
      <c r="C727" t="s">
        <v>22</v>
      </c>
      <c r="D727" s="1">
        <v>44776</v>
      </c>
      <c r="E727" s="2">
        <v>10031</v>
      </c>
      <c r="F727">
        <v>114</v>
      </c>
      <c r="G727" s="2">
        <f t="shared" si="44"/>
        <v>87.991228070175438</v>
      </c>
      <c r="H727" t="str">
        <f t="shared" si="45"/>
        <v>August</v>
      </c>
      <c r="I727" t="str">
        <f t="shared" si="46"/>
        <v>Q3</v>
      </c>
      <c r="J727" t="str">
        <f t="shared" si="47"/>
        <v>Large</v>
      </c>
    </row>
    <row r="728" spans="1:10" x14ac:dyDescent="0.25">
      <c r="A728" t="s">
        <v>12</v>
      </c>
      <c r="B728" t="s">
        <v>29</v>
      </c>
      <c r="C728" t="s">
        <v>44</v>
      </c>
      <c r="D728" s="1">
        <v>44753</v>
      </c>
      <c r="E728" s="2">
        <v>6587</v>
      </c>
      <c r="F728">
        <v>4</v>
      </c>
      <c r="G728" s="2">
        <f t="shared" si="44"/>
        <v>1646.75</v>
      </c>
      <c r="H728" t="str">
        <f t="shared" si="45"/>
        <v>July</v>
      </c>
      <c r="I728" t="str">
        <f t="shared" si="46"/>
        <v>Q3</v>
      </c>
      <c r="J728" t="str">
        <f t="shared" si="47"/>
        <v>Large</v>
      </c>
    </row>
    <row r="729" spans="1:10" x14ac:dyDescent="0.25">
      <c r="A729" t="s">
        <v>46</v>
      </c>
      <c r="B729" t="s">
        <v>21</v>
      </c>
      <c r="C729" t="s">
        <v>30</v>
      </c>
      <c r="D729" s="1">
        <v>44631</v>
      </c>
      <c r="E729" s="2">
        <v>3311</v>
      </c>
      <c r="F729">
        <v>22</v>
      </c>
      <c r="G729" s="2">
        <f t="shared" si="44"/>
        <v>150.5</v>
      </c>
      <c r="H729" t="str">
        <f t="shared" si="45"/>
        <v>March</v>
      </c>
      <c r="I729" t="str">
        <f t="shared" si="46"/>
        <v>Q1</v>
      </c>
      <c r="J729" t="str">
        <f t="shared" si="47"/>
        <v>Large</v>
      </c>
    </row>
    <row r="730" spans="1:10" x14ac:dyDescent="0.25">
      <c r="A730" t="s">
        <v>23</v>
      </c>
      <c r="B730" t="s">
        <v>7</v>
      </c>
      <c r="C730" t="s">
        <v>13</v>
      </c>
      <c r="D730" s="1">
        <v>44571</v>
      </c>
      <c r="E730" s="2">
        <v>15330</v>
      </c>
      <c r="F730">
        <v>30</v>
      </c>
      <c r="G730" s="2">
        <f t="shared" si="44"/>
        <v>511</v>
      </c>
      <c r="H730" t="str">
        <f t="shared" si="45"/>
        <v>January</v>
      </c>
      <c r="I730" t="str">
        <f t="shared" si="46"/>
        <v>Q1</v>
      </c>
      <c r="J730" t="str">
        <f t="shared" si="47"/>
        <v>Large</v>
      </c>
    </row>
    <row r="731" spans="1:10" x14ac:dyDescent="0.25">
      <c r="A731" t="s">
        <v>36</v>
      </c>
      <c r="B731" t="s">
        <v>7</v>
      </c>
      <c r="C731" t="s">
        <v>56</v>
      </c>
      <c r="D731" s="1">
        <v>44655</v>
      </c>
      <c r="E731" s="2">
        <v>14028</v>
      </c>
      <c r="F731">
        <v>351</v>
      </c>
      <c r="G731" s="2">
        <f t="shared" si="44"/>
        <v>39.965811965811966</v>
      </c>
      <c r="H731" t="str">
        <f t="shared" si="45"/>
        <v>April</v>
      </c>
      <c r="I731" t="str">
        <f t="shared" si="46"/>
        <v>Q2</v>
      </c>
      <c r="J731" t="str">
        <f t="shared" si="47"/>
        <v>Large</v>
      </c>
    </row>
    <row r="732" spans="1:10" x14ac:dyDescent="0.25">
      <c r="A732" t="s">
        <v>31</v>
      </c>
      <c r="B732" t="s">
        <v>15</v>
      </c>
      <c r="C732" t="s">
        <v>22</v>
      </c>
      <c r="D732" s="1">
        <v>44578</v>
      </c>
      <c r="E732" s="2">
        <v>6678</v>
      </c>
      <c r="F732">
        <v>708</v>
      </c>
      <c r="G732" s="2">
        <f t="shared" si="44"/>
        <v>9.4322033898305087</v>
      </c>
      <c r="H732" t="str">
        <f t="shared" si="45"/>
        <v>January</v>
      </c>
      <c r="I732" t="str">
        <f t="shared" si="46"/>
        <v>Q1</v>
      </c>
      <c r="J732" t="str">
        <f t="shared" si="47"/>
        <v>Large</v>
      </c>
    </row>
    <row r="733" spans="1:10" x14ac:dyDescent="0.25">
      <c r="A733" t="s">
        <v>33</v>
      </c>
      <c r="B733" t="s">
        <v>21</v>
      </c>
      <c r="C733" t="s">
        <v>35</v>
      </c>
      <c r="D733" s="1">
        <v>44750</v>
      </c>
      <c r="E733" s="2">
        <v>8624</v>
      </c>
      <c r="F733">
        <v>50</v>
      </c>
      <c r="G733" s="2">
        <f t="shared" si="44"/>
        <v>172.48</v>
      </c>
      <c r="H733" t="str">
        <f t="shared" si="45"/>
        <v>July</v>
      </c>
      <c r="I733" t="str">
        <f t="shared" si="46"/>
        <v>Q3</v>
      </c>
      <c r="J733" t="str">
        <f t="shared" si="47"/>
        <v>Large</v>
      </c>
    </row>
    <row r="734" spans="1:10" x14ac:dyDescent="0.25">
      <c r="A734" t="s">
        <v>14</v>
      </c>
      <c r="B734" t="s">
        <v>7</v>
      </c>
      <c r="C734" t="s">
        <v>35</v>
      </c>
      <c r="D734" s="1">
        <v>44663</v>
      </c>
      <c r="E734" s="2">
        <v>1197</v>
      </c>
      <c r="F734">
        <v>356</v>
      </c>
      <c r="G734" s="2">
        <f t="shared" si="44"/>
        <v>3.3623595505617976</v>
      </c>
      <c r="H734" t="str">
        <f t="shared" si="45"/>
        <v>April</v>
      </c>
      <c r="I734" t="str">
        <f t="shared" si="46"/>
        <v>Q2</v>
      </c>
      <c r="J734" t="str">
        <f t="shared" si="47"/>
        <v>Large</v>
      </c>
    </row>
    <row r="735" spans="1:10" x14ac:dyDescent="0.25">
      <c r="A735" t="s">
        <v>24</v>
      </c>
      <c r="B735" t="s">
        <v>29</v>
      </c>
      <c r="C735" t="s">
        <v>42</v>
      </c>
      <c r="D735" s="1">
        <v>44797</v>
      </c>
      <c r="E735" s="2">
        <v>483</v>
      </c>
      <c r="F735">
        <v>185</v>
      </c>
      <c r="G735" s="2">
        <f t="shared" si="44"/>
        <v>2.6108108108108108</v>
      </c>
      <c r="H735" t="str">
        <f t="shared" si="45"/>
        <v>August</v>
      </c>
      <c r="I735" t="str">
        <f t="shared" si="46"/>
        <v>Q3</v>
      </c>
      <c r="J735" t="str">
        <f t="shared" si="47"/>
        <v>Small</v>
      </c>
    </row>
    <row r="736" spans="1:10" x14ac:dyDescent="0.25">
      <c r="A736" t="s">
        <v>55</v>
      </c>
      <c r="B736" t="s">
        <v>7</v>
      </c>
      <c r="C736" t="s">
        <v>52</v>
      </c>
      <c r="D736" s="1">
        <v>44719</v>
      </c>
      <c r="E736" s="2">
        <v>1687</v>
      </c>
      <c r="F736">
        <v>236</v>
      </c>
      <c r="G736" s="2">
        <f t="shared" si="44"/>
        <v>7.148305084745763</v>
      </c>
      <c r="H736" t="str">
        <f t="shared" si="45"/>
        <v>June</v>
      </c>
      <c r="I736" t="str">
        <f t="shared" si="46"/>
        <v>Q2</v>
      </c>
      <c r="J736" t="str">
        <f t="shared" si="47"/>
        <v>Large</v>
      </c>
    </row>
    <row r="737" spans="1:10" x14ac:dyDescent="0.25">
      <c r="A737" t="s">
        <v>19</v>
      </c>
      <c r="B737" t="s">
        <v>29</v>
      </c>
      <c r="C737" t="s">
        <v>47</v>
      </c>
      <c r="D737" s="1">
        <v>44770</v>
      </c>
      <c r="E737" s="2">
        <v>1309</v>
      </c>
      <c r="F737">
        <v>30</v>
      </c>
      <c r="G737" s="2">
        <f t="shared" si="44"/>
        <v>43.633333333333333</v>
      </c>
      <c r="H737" t="str">
        <f t="shared" si="45"/>
        <v>July</v>
      </c>
      <c r="I737" t="str">
        <f t="shared" si="46"/>
        <v>Q3</v>
      </c>
      <c r="J737" t="str">
        <f t="shared" si="47"/>
        <v>Large</v>
      </c>
    </row>
    <row r="738" spans="1:10" x14ac:dyDescent="0.25">
      <c r="A738" t="s">
        <v>40</v>
      </c>
      <c r="B738" t="s">
        <v>26</v>
      </c>
      <c r="C738" t="s">
        <v>18</v>
      </c>
      <c r="D738" s="1">
        <v>44613</v>
      </c>
      <c r="E738" s="2">
        <v>9534</v>
      </c>
      <c r="F738">
        <v>111</v>
      </c>
      <c r="G738" s="2">
        <f t="shared" si="44"/>
        <v>85.891891891891888</v>
      </c>
      <c r="H738" t="str">
        <f t="shared" si="45"/>
        <v>February</v>
      </c>
      <c r="I738" t="str">
        <f t="shared" si="46"/>
        <v>Q1</v>
      </c>
      <c r="J738" t="str">
        <f t="shared" si="47"/>
        <v>Large</v>
      </c>
    </row>
    <row r="739" spans="1:10" x14ac:dyDescent="0.25">
      <c r="A739" t="s">
        <v>43</v>
      </c>
      <c r="B739" t="s">
        <v>29</v>
      </c>
      <c r="C739" t="s">
        <v>8</v>
      </c>
      <c r="D739" s="1">
        <v>44659</v>
      </c>
      <c r="E739" s="2">
        <v>1694</v>
      </c>
      <c r="F739">
        <v>289</v>
      </c>
      <c r="G739" s="2">
        <f t="shared" si="44"/>
        <v>5.8615916955017298</v>
      </c>
      <c r="H739" t="str">
        <f t="shared" si="45"/>
        <v>April</v>
      </c>
      <c r="I739" t="str">
        <f t="shared" si="46"/>
        <v>Q2</v>
      </c>
      <c r="J739" t="str">
        <f t="shared" si="47"/>
        <v>Large</v>
      </c>
    </row>
    <row r="740" spans="1:10" x14ac:dyDescent="0.25">
      <c r="A740" t="s">
        <v>23</v>
      </c>
      <c r="B740" t="s">
        <v>7</v>
      </c>
      <c r="C740" t="s">
        <v>45</v>
      </c>
      <c r="D740" s="1">
        <v>44740</v>
      </c>
      <c r="E740" s="2">
        <v>70</v>
      </c>
      <c r="F740">
        <v>103</v>
      </c>
      <c r="G740" s="2">
        <f t="shared" si="44"/>
        <v>0.67961165048543692</v>
      </c>
      <c r="H740" t="str">
        <f t="shared" si="45"/>
        <v>June</v>
      </c>
      <c r="I740" t="str">
        <f t="shared" si="46"/>
        <v>Q2</v>
      </c>
      <c r="J740" t="str">
        <f t="shared" si="47"/>
        <v>Small</v>
      </c>
    </row>
    <row r="741" spans="1:10" x14ac:dyDescent="0.25">
      <c r="A741" t="s">
        <v>9</v>
      </c>
      <c r="B741" t="s">
        <v>7</v>
      </c>
      <c r="C741" t="s">
        <v>56</v>
      </c>
      <c r="D741" s="1">
        <v>44644</v>
      </c>
      <c r="E741" s="2">
        <v>2443</v>
      </c>
      <c r="F741">
        <v>20</v>
      </c>
      <c r="G741" s="2">
        <f t="shared" si="44"/>
        <v>122.15</v>
      </c>
      <c r="H741" t="str">
        <f t="shared" si="45"/>
        <v>March</v>
      </c>
      <c r="I741" t="str">
        <f t="shared" si="46"/>
        <v>Q1</v>
      </c>
      <c r="J741" t="str">
        <f t="shared" si="47"/>
        <v>Large</v>
      </c>
    </row>
    <row r="742" spans="1:10" x14ac:dyDescent="0.25">
      <c r="A742" t="s">
        <v>25</v>
      </c>
      <c r="B742" t="s">
        <v>15</v>
      </c>
      <c r="C742" t="s">
        <v>57</v>
      </c>
      <c r="D742" s="1">
        <v>44771</v>
      </c>
      <c r="E742" s="2">
        <v>2933</v>
      </c>
      <c r="F742">
        <v>55</v>
      </c>
      <c r="G742" s="2">
        <f t="shared" si="44"/>
        <v>53.327272727272728</v>
      </c>
      <c r="H742" t="str">
        <f t="shared" si="45"/>
        <v>July</v>
      </c>
      <c r="I742" t="str">
        <f t="shared" si="46"/>
        <v>Q3</v>
      </c>
      <c r="J742" t="str">
        <f t="shared" si="47"/>
        <v>Large</v>
      </c>
    </row>
    <row r="743" spans="1:10" x14ac:dyDescent="0.25">
      <c r="A743" t="s">
        <v>43</v>
      </c>
      <c r="B743" t="s">
        <v>26</v>
      </c>
      <c r="C743" t="s">
        <v>30</v>
      </c>
      <c r="D743" s="1">
        <v>44706</v>
      </c>
      <c r="E743" s="2">
        <v>2044</v>
      </c>
      <c r="F743">
        <v>90</v>
      </c>
      <c r="G743" s="2">
        <f t="shared" si="44"/>
        <v>22.711111111111112</v>
      </c>
      <c r="H743" t="str">
        <f t="shared" si="45"/>
        <v>May</v>
      </c>
      <c r="I743" t="str">
        <f t="shared" si="46"/>
        <v>Q2</v>
      </c>
      <c r="J743" t="str">
        <f t="shared" si="47"/>
        <v>Large</v>
      </c>
    </row>
    <row r="744" spans="1:10" x14ac:dyDescent="0.25">
      <c r="A744" t="s">
        <v>12</v>
      </c>
      <c r="B744" t="s">
        <v>15</v>
      </c>
      <c r="C744" t="s">
        <v>51</v>
      </c>
      <c r="D744" s="1">
        <v>44650</v>
      </c>
      <c r="E744" s="2">
        <v>6524</v>
      </c>
      <c r="F744">
        <v>303</v>
      </c>
      <c r="G744" s="2">
        <f t="shared" si="44"/>
        <v>21.53135313531353</v>
      </c>
      <c r="H744" t="str">
        <f t="shared" si="45"/>
        <v>March</v>
      </c>
      <c r="I744" t="str">
        <f t="shared" si="46"/>
        <v>Q1</v>
      </c>
      <c r="J744" t="str">
        <f t="shared" si="47"/>
        <v>Large</v>
      </c>
    </row>
    <row r="745" spans="1:10" x14ac:dyDescent="0.25">
      <c r="A745" t="s">
        <v>43</v>
      </c>
      <c r="B745" t="s">
        <v>26</v>
      </c>
      <c r="C745" t="s">
        <v>35</v>
      </c>
      <c r="D745" s="1">
        <v>44760</v>
      </c>
      <c r="E745" s="2">
        <v>12656</v>
      </c>
      <c r="F745">
        <v>126</v>
      </c>
      <c r="G745" s="2">
        <f t="shared" si="44"/>
        <v>100.44444444444444</v>
      </c>
      <c r="H745" t="str">
        <f t="shared" si="45"/>
        <v>July</v>
      </c>
      <c r="I745" t="str">
        <f t="shared" si="46"/>
        <v>Q3</v>
      </c>
      <c r="J745" t="str">
        <f t="shared" si="47"/>
        <v>Large</v>
      </c>
    </row>
    <row r="746" spans="1:10" x14ac:dyDescent="0.25">
      <c r="A746" t="s">
        <v>34</v>
      </c>
      <c r="B746" t="s">
        <v>29</v>
      </c>
      <c r="C746" t="s">
        <v>27</v>
      </c>
      <c r="D746" s="1">
        <v>44691</v>
      </c>
      <c r="E746" s="2">
        <v>8722</v>
      </c>
      <c r="F746">
        <v>109</v>
      </c>
      <c r="G746" s="2">
        <f t="shared" si="44"/>
        <v>80.018348623853214</v>
      </c>
      <c r="H746" t="str">
        <f t="shared" si="45"/>
        <v>May</v>
      </c>
      <c r="I746" t="str">
        <f t="shared" si="46"/>
        <v>Q2</v>
      </c>
      <c r="J746" t="str">
        <f t="shared" si="47"/>
        <v>Large</v>
      </c>
    </row>
    <row r="747" spans="1:10" x14ac:dyDescent="0.25">
      <c r="A747" t="s">
        <v>28</v>
      </c>
      <c r="B747" t="s">
        <v>15</v>
      </c>
      <c r="C747" t="s">
        <v>52</v>
      </c>
      <c r="D747" s="1">
        <v>44638</v>
      </c>
      <c r="E747" s="2">
        <v>15750</v>
      </c>
      <c r="F747">
        <v>92</v>
      </c>
      <c r="G747" s="2">
        <f t="shared" si="44"/>
        <v>171.19565217391303</v>
      </c>
      <c r="H747" t="str">
        <f t="shared" si="45"/>
        <v>March</v>
      </c>
      <c r="I747" t="str">
        <f t="shared" si="46"/>
        <v>Q1</v>
      </c>
      <c r="J747" t="str">
        <f t="shared" si="47"/>
        <v>Large</v>
      </c>
    </row>
    <row r="748" spans="1:10" x14ac:dyDescent="0.25">
      <c r="A748" t="s">
        <v>55</v>
      </c>
      <c r="B748" t="s">
        <v>10</v>
      </c>
      <c r="C748" t="s">
        <v>57</v>
      </c>
      <c r="D748" s="1">
        <v>44727</v>
      </c>
      <c r="E748" s="2">
        <v>6839</v>
      </c>
      <c r="F748">
        <v>56</v>
      </c>
      <c r="G748" s="2">
        <f t="shared" si="44"/>
        <v>122.125</v>
      </c>
      <c r="H748" t="str">
        <f t="shared" si="45"/>
        <v>June</v>
      </c>
      <c r="I748" t="str">
        <f t="shared" si="46"/>
        <v>Q2</v>
      </c>
      <c r="J748" t="str">
        <f t="shared" si="47"/>
        <v>Large</v>
      </c>
    </row>
    <row r="749" spans="1:10" x14ac:dyDescent="0.25">
      <c r="A749" t="s">
        <v>9</v>
      </c>
      <c r="B749" t="s">
        <v>29</v>
      </c>
      <c r="C749" t="s">
        <v>22</v>
      </c>
      <c r="D749" s="1">
        <v>44693</v>
      </c>
      <c r="E749" s="2">
        <v>13685</v>
      </c>
      <c r="F749">
        <v>58</v>
      </c>
      <c r="G749" s="2">
        <f t="shared" si="44"/>
        <v>235.94827586206895</v>
      </c>
      <c r="H749" t="str">
        <f t="shared" si="45"/>
        <v>May</v>
      </c>
      <c r="I749" t="str">
        <f t="shared" si="46"/>
        <v>Q2</v>
      </c>
      <c r="J749" t="str">
        <f t="shared" si="47"/>
        <v>Large</v>
      </c>
    </row>
    <row r="750" spans="1:10" x14ac:dyDescent="0.25">
      <c r="A750" t="s">
        <v>49</v>
      </c>
      <c r="B750" t="s">
        <v>21</v>
      </c>
      <c r="C750" t="s">
        <v>56</v>
      </c>
      <c r="D750" s="1">
        <v>44735</v>
      </c>
      <c r="E750" s="2">
        <v>2912</v>
      </c>
      <c r="F750">
        <v>110</v>
      </c>
      <c r="G750" s="2">
        <f t="shared" si="44"/>
        <v>26.472727272727273</v>
      </c>
      <c r="H750" t="str">
        <f t="shared" si="45"/>
        <v>June</v>
      </c>
      <c r="I750" t="str">
        <f t="shared" si="46"/>
        <v>Q2</v>
      </c>
      <c r="J750" t="str">
        <f t="shared" si="47"/>
        <v>Large</v>
      </c>
    </row>
    <row r="751" spans="1:10" x14ac:dyDescent="0.25">
      <c r="A751" t="s">
        <v>34</v>
      </c>
      <c r="B751" t="s">
        <v>10</v>
      </c>
      <c r="C751" t="s">
        <v>39</v>
      </c>
      <c r="D751" s="1">
        <v>44672</v>
      </c>
      <c r="E751" s="2">
        <v>3339</v>
      </c>
      <c r="F751">
        <v>171</v>
      </c>
      <c r="G751" s="2">
        <f t="shared" si="44"/>
        <v>19.526315789473685</v>
      </c>
      <c r="H751" t="str">
        <f t="shared" si="45"/>
        <v>April</v>
      </c>
      <c r="I751" t="str">
        <f t="shared" si="46"/>
        <v>Q2</v>
      </c>
      <c r="J751" t="str">
        <f t="shared" si="47"/>
        <v>Large</v>
      </c>
    </row>
    <row r="752" spans="1:10" x14ac:dyDescent="0.25">
      <c r="A752" t="s">
        <v>12</v>
      </c>
      <c r="B752" t="s">
        <v>15</v>
      </c>
      <c r="C752" t="s">
        <v>47</v>
      </c>
      <c r="D752" s="1">
        <v>44790</v>
      </c>
      <c r="E752" s="2">
        <v>910</v>
      </c>
      <c r="F752">
        <v>117</v>
      </c>
      <c r="G752" s="2">
        <f t="shared" si="44"/>
        <v>7.7777777777777777</v>
      </c>
      <c r="H752" t="str">
        <f t="shared" si="45"/>
        <v>August</v>
      </c>
      <c r="I752" t="str">
        <f t="shared" si="46"/>
        <v>Q3</v>
      </c>
      <c r="J752" t="str">
        <f t="shared" si="47"/>
        <v>Large</v>
      </c>
    </row>
    <row r="753" spans="1:10" x14ac:dyDescent="0.25">
      <c r="A753" t="s">
        <v>24</v>
      </c>
      <c r="B753" t="s">
        <v>21</v>
      </c>
      <c r="C753" t="s">
        <v>30</v>
      </c>
      <c r="D753" s="1">
        <v>44599</v>
      </c>
      <c r="E753" s="2">
        <v>19481</v>
      </c>
      <c r="F753">
        <v>51</v>
      </c>
      <c r="G753" s="2">
        <f t="shared" si="44"/>
        <v>381.98039215686276</v>
      </c>
      <c r="H753" t="str">
        <f t="shared" si="45"/>
        <v>February</v>
      </c>
      <c r="I753" t="str">
        <f t="shared" si="46"/>
        <v>Q1</v>
      </c>
      <c r="J753" t="str">
        <f t="shared" si="47"/>
        <v>Large</v>
      </c>
    </row>
    <row r="754" spans="1:10" x14ac:dyDescent="0.25">
      <c r="A754" t="s">
        <v>49</v>
      </c>
      <c r="B754" t="s">
        <v>29</v>
      </c>
      <c r="C754" t="s">
        <v>16</v>
      </c>
      <c r="D754" s="1">
        <v>44637</v>
      </c>
      <c r="E754" s="2">
        <v>8099</v>
      </c>
      <c r="F754">
        <v>118</v>
      </c>
      <c r="G754" s="2">
        <f t="shared" si="44"/>
        <v>68.63559322033899</v>
      </c>
      <c r="H754" t="str">
        <f t="shared" si="45"/>
        <v>March</v>
      </c>
      <c r="I754" t="str">
        <f t="shared" si="46"/>
        <v>Q1</v>
      </c>
      <c r="J754" t="str">
        <f t="shared" si="47"/>
        <v>Large</v>
      </c>
    </row>
    <row r="755" spans="1:10" x14ac:dyDescent="0.25">
      <c r="A755" t="s">
        <v>14</v>
      </c>
      <c r="B755" t="s">
        <v>10</v>
      </c>
      <c r="C755" t="s">
        <v>56</v>
      </c>
      <c r="D755" s="1">
        <v>44774</v>
      </c>
      <c r="E755" s="2">
        <v>13727</v>
      </c>
      <c r="F755">
        <v>79</v>
      </c>
      <c r="G755" s="2">
        <f t="shared" si="44"/>
        <v>173.75949367088609</v>
      </c>
      <c r="H755" t="str">
        <f t="shared" si="45"/>
        <v>August</v>
      </c>
      <c r="I755" t="str">
        <f t="shared" si="46"/>
        <v>Q3</v>
      </c>
      <c r="J755" t="str">
        <f t="shared" si="47"/>
        <v>Large</v>
      </c>
    </row>
    <row r="756" spans="1:10" x14ac:dyDescent="0.25">
      <c r="A756" t="s">
        <v>6</v>
      </c>
      <c r="B756" t="s">
        <v>15</v>
      </c>
      <c r="C756" t="s">
        <v>37</v>
      </c>
      <c r="D756" s="1">
        <v>44638</v>
      </c>
      <c r="E756" s="2">
        <v>8659</v>
      </c>
      <c r="F756">
        <v>29</v>
      </c>
      <c r="G756" s="2">
        <f t="shared" si="44"/>
        <v>298.58620689655174</v>
      </c>
      <c r="H756" t="str">
        <f t="shared" si="45"/>
        <v>March</v>
      </c>
      <c r="I756" t="str">
        <f t="shared" si="46"/>
        <v>Q1</v>
      </c>
      <c r="J756" t="str">
        <f t="shared" si="47"/>
        <v>Large</v>
      </c>
    </row>
    <row r="757" spans="1:10" x14ac:dyDescent="0.25">
      <c r="A757" t="s">
        <v>12</v>
      </c>
      <c r="B757" t="s">
        <v>29</v>
      </c>
      <c r="C757" t="s">
        <v>42</v>
      </c>
      <c r="D757" s="1">
        <v>44726</v>
      </c>
      <c r="E757" s="2">
        <v>5782</v>
      </c>
      <c r="F757">
        <v>103</v>
      </c>
      <c r="G757" s="2">
        <f t="shared" si="44"/>
        <v>56.135922330097088</v>
      </c>
      <c r="H757" t="str">
        <f t="shared" si="45"/>
        <v>June</v>
      </c>
      <c r="I757" t="str">
        <f t="shared" si="46"/>
        <v>Q2</v>
      </c>
      <c r="J757" t="str">
        <f t="shared" si="47"/>
        <v>Large</v>
      </c>
    </row>
    <row r="758" spans="1:10" x14ac:dyDescent="0.25">
      <c r="A758" t="s">
        <v>34</v>
      </c>
      <c r="B758" t="s">
        <v>7</v>
      </c>
      <c r="C758" t="s">
        <v>30</v>
      </c>
      <c r="D758" s="1">
        <v>44673</v>
      </c>
      <c r="E758" s="2">
        <v>8463</v>
      </c>
      <c r="F758">
        <v>155</v>
      </c>
      <c r="G758" s="2">
        <f t="shared" si="44"/>
        <v>54.6</v>
      </c>
      <c r="H758" t="str">
        <f t="shared" si="45"/>
        <v>April</v>
      </c>
      <c r="I758" t="str">
        <f t="shared" si="46"/>
        <v>Q2</v>
      </c>
      <c r="J758" t="str">
        <f t="shared" si="47"/>
        <v>Large</v>
      </c>
    </row>
    <row r="759" spans="1:10" x14ac:dyDescent="0.25">
      <c r="A759" t="s">
        <v>33</v>
      </c>
      <c r="B759" t="s">
        <v>21</v>
      </c>
      <c r="C759" t="s">
        <v>30</v>
      </c>
      <c r="D759" s="1">
        <v>44579</v>
      </c>
      <c r="E759" s="2">
        <v>4914</v>
      </c>
      <c r="F759">
        <v>31</v>
      </c>
      <c r="G759" s="2">
        <f t="shared" si="44"/>
        <v>158.51612903225808</v>
      </c>
      <c r="H759" t="str">
        <f t="shared" si="45"/>
        <v>January</v>
      </c>
      <c r="I759" t="str">
        <f t="shared" si="46"/>
        <v>Q1</v>
      </c>
      <c r="J759" t="str">
        <f t="shared" si="47"/>
        <v>Large</v>
      </c>
    </row>
    <row r="760" spans="1:10" x14ac:dyDescent="0.25">
      <c r="A760" t="s">
        <v>40</v>
      </c>
      <c r="B760" t="s">
        <v>15</v>
      </c>
      <c r="C760" t="s">
        <v>18</v>
      </c>
      <c r="D760" s="1">
        <v>44799</v>
      </c>
      <c r="E760" s="2">
        <v>3087</v>
      </c>
      <c r="F760">
        <v>128</v>
      </c>
      <c r="G760" s="2">
        <f t="shared" si="44"/>
        <v>24.1171875</v>
      </c>
      <c r="H760" t="str">
        <f t="shared" si="45"/>
        <v>August</v>
      </c>
      <c r="I760" t="str">
        <f t="shared" si="46"/>
        <v>Q3</v>
      </c>
      <c r="J760" t="str">
        <f t="shared" si="47"/>
        <v>Large</v>
      </c>
    </row>
    <row r="761" spans="1:10" x14ac:dyDescent="0.25">
      <c r="A761" t="s">
        <v>19</v>
      </c>
      <c r="B761" t="s">
        <v>21</v>
      </c>
      <c r="C761" t="s">
        <v>42</v>
      </c>
      <c r="D761" s="1">
        <v>44722</v>
      </c>
      <c r="E761" s="2">
        <v>9205</v>
      </c>
      <c r="F761">
        <v>419</v>
      </c>
      <c r="G761" s="2">
        <f t="shared" si="44"/>
        <v>21.968973747016708</v>
      </c>
      <c r="H761" t="str">
        <f t="shared" si="45"/>
        <v>June</v>
      </c>
      <c r="I761" t="str">
        <f t="shared" si="46"/>
        <v>Q2</v>
      </c>
      <c r="J761" t="str">
        <f t="shared" si="47"/>
        <v>Large</v>
      </c>
    </row>
    <row r="762" spans="1:10" x14ac:dyDescent="0.25">
      <c r="A762" t="s">
        <v>38</v>
      </c>
      <c r="B762" t="s">
        <v>29</v>
      </c>
      <c r="C762" t="s">
        <v>58</v>
      </c>
      <c r="D762" s="1">
        <v>44592</v>
      </c>
      <c r="E762" s="2">
        <v>2303</v>
      </c>
      <c r="F762">
        <v>7</v>
      </c>
      <c r="G762" s="2">
        <f t="shared" si="44"/>
        <v>329</v>
      </c>
      <c r="H762" t="str">
        <f t="shared" si="45"/>
        <v>January</v>
      </c>
      <c r="I762" t="str">
        <f t="shared" si="46"/>
        <v>Q1</v>
      </c>
      <c r="J762" t="str">
        <f t="shared" si="47"/>
        <v>Large</v>
      </c>
    </row>
    <row r="763" spans="1:10" x14ac:dyDescent="0.25">
      <c r="A763" t="s">
        <v>49</v>
      </c>
      <c r="B763" t="s">
        <v>21</v>
      </c>
      <c r="C763" t="s">
        <v>45</v>
      </c>
      <c r="D763" s="1">
        <v>44659</v>
      </c>
      <c r="E763" s="2">
        <v>1358</v>
      </c>
      <c r="F763">
        <v>106</v>
      </c>
      <c r="G763" s="2">
        <f t="shared" si="44"/>
        <v>12.811320754716981</v>
      </c>
      <c r="H763" t="str">
        <f t="shared" si="45"/>
        <v>April</v>
      </c>
      <c r="I763" t="str">
        <f t="shared" si="46"/>
        <v>Q2</v>
      </c>
      <c r="J763" t="str">
        <f t="shared" si="47"/>
        <v>Large</v>
      </c>
    </row>
    <row r="764" spans="1:10" x14ac:dyDescent="0.25">
      <c r="A764" t="s">
        <v>54</v>
      </c>
      <c r="B764" t="s">
        <v>15</v>
      </c>
      <c r="C764" t="s">
        <v>56</v>
      </c>
      <c r="D764" s="1">
        <v>44719</v>
      </c>
      <c r="E764" s="2">
        <v>3605</v>
      </c>
      <c r="F764">
        <v>68</v>
      </c>
      <c r="G764" s="2">
        <f t="shared" si="44"/>
        <v>53.014705882352942</v>
      </c>
      <c r="H764" t="str">
        <f t="shared" si="45"/>
        <v>June</v>
      </c>
      <c r="I764" t="str">
        <f t="shared" si="46"/>
        <v>Q2</v>
      </c>
      <c r="J764" t="str">
        <f t="shared" si="47"/>
        <v>Large</v>
      </c>
    </row>
    <row r="765" spans="1:10" x14ac:dyDescent="0.25">
      <c r="A765" t="s">
        <v>25</v>
      </c>
      <c r="B765" t="s">
        <v>15</v>
      </c>
      <c r="C765" t="s">
        <v>11</v>
      </c>
      <c r="D765" s="1">
        <v>44602</v>
      </c>
      <c r="E765" s="2">
        <v>8498</v>
      </c>
      <c r="F765">
        <v>44</v>
      </c>
      <c r="G765" s="2">
        <f t="shared" si="44"/>
        <v>193.13636363636363</v>
      </c>
      <c r="H765" t="str">
        <f t="shared" si="45"/>
        <v>February</v>
      </c>
      <c r="I765" t="str">
        <f t="shared" si="46"/>
        <v>Q1</v>
      </c>
      <c r="J765" t="str">
        <f t="shared" si="47"/>
        <v>Large</v>
      </c>
    </row>
    <row r="766" spans="1:10" x14ac:dyDescent="0.25">
      <c r="A766" t="s">
        <v>34</v>
      </c>
      <c r="B766" t="s">
        <v>15</v>
      </c>
      <c r="C766" t="s">
        <v>22</v>
      </c>
      <c r="D766" s="1">
        <v>44697</v>
      </c>
      <c r="E766" s="2">
        <v>700</v>
      </c>
      <c r="F766">
        <v>457</v>
      </c>
      <c r="G766" s="2">
        <f t="shared" si="44"/>
        <v>1.5317286652078774</v>
      </c>
      <c r="H766" t="str">
        <f t="shared" si="45"/>
        <v>May</v>
      </c>
      <c r="I766" t="str">
        <f t="shared" si="46"/>
        <v>Q2</v>
      </c>
      <c r="J766" t="str">
        <f t="shared" si="47"/>
        <v>Large</v>
      </c>
    </row>
    <row r="767" spans="1:10" x14ac:dyDescent="0.25">
      <c r="A767" t="s">
        <v>19</v>
      </c>
      <c r="B767" t="s">
        <v>10</v>
      </c>
      <c r="C767" t="s">
        <v>56</v>
      </c>
      <c r="D767" s="1">
        <v>44638</v>
      </c>
      <c r="E767" s="2">
        <v>2191</v>
      </c>
      <c r="F767">
        <v>524</v>
      </c>
      <c r="G767" s="2">
        <f t="shared" si="44"/>
        <v>4.1812977099236646</v>
      </c>
      <c r="H767" t="str">
        <f t="shared" si="45"/>
        <v>March</v>
      </c>
      <c r="I767" t="str">
        <f t="shared" si="46"/>
        <v>Q1</v>
      </c>
      <c r="J767" t="str">
        <f t="shared" si="47"/>
        <v>Large</v>
      </c>
    </row>
    <row r="768" spans="1:10" x14ac:dyDescent="0.25">
      <c r="A768" t="s">
        <v>9</v>
      </c>
      <c r="B768" t="s">
        <v>15</v>
      </c>
      <c r="C768" t="s">
        <v>22</v>
      </c>
      <c r="D768" s="1">
        <v>44755</v>
      </c>
      <c r="E768" s="2">
        <v>644</v>
      </c>
      <c r="F768">
        <v>137</v>
      </c>
      <c r="G768" s="2">
        <f t="shared" si="44"/>
        <v>4.7007299270072993</v>
      </c>
      <c r="H768" t="str">
        <f t="shared" si="45"/>
        <v>July</v>
      </c>
      <c r="I768" t="str">
        <f t="shared" si="46"/>
        <v>Q3</v>
      </c>
      <c r="J768" t="str">
        <f t="shared" si="47"/>
        <v>Large</v>
      </c>
    </row>
    <row r="769" spans="1:10" x14ac:dyDescent="0.25">
      <c r="A769" t="s">
        <v>17</v>
      </c>
      <c r="B769" t="s">
        <v>26</v>
      </c>
      <c r="C769" t="s">
        <v>45</v>
      </c>
      <c r="D769" s="1">
        <v>44767</v>
      </c>
      <c r="E769" s="2">
        <v>4340</v>
      </c>
      <c r="F769">
        <v>86</v>
      </c>
      <c r="G769" s="2">
        <f t="shared" si="44"/>
        <v>50.465116279069768</v>
      </c>
      <c r="H769" t="str">
        <f t="shared" si="45"/>
        <v>July</v>
      </c>
      <c r="I769" t="str">
        <f t="shared" si="46"/>
        <v>Q3</v>
      </c>
      <c r="J769" t="str">
        <f t="shared" si="47"/>
        <v>Large</v>
      </c>
    </row>
    <row r="770" spans="1:10" x14ac:dyDescent="0.25">
      <c r="A770" t="s">
        <v>9</v>
      </c>
      <c r="B770" t="s">
        <v>29</v>
      </c>
      <c r="C770" t="s">
        <v>52</v>
      </c>
      <c r="D770" s="1">
        <v>44792</v>
      </c>
      <c r="E770" s="2">
        <v>2282</v>
      </c>
      <c r="F770">
        <v>296</v>
      </c>
      <c r="G770" s="2">
        <f t="shared" si="44"/>
        <v>7.7094594594594597</v>
      </c>
      <c r="H770" t="str">
        <f t="shared" si="45"/>
        <v>August</v>
      </c>
      <c r="I770" t="str">
        <f t="shared" si="46"/>
        <v>Q3</v>
      </c>
      <c r="J770" t="str">
        <f t="shared" si="47"/>
        <v>Large</v>
      </c>
    </row>
    <row r="771" spans="1:10" x14ac:dyDescent="0.25">
      <c r="A771" t="s">
        <v>31</v>
      </c>
      <c r="B771" t="s">
        <v>29</v>
      </c>
      <c r="C771" t="s">
        <v>58</v>
      </c>
      <c r="D771" s="1">
        <v>44736</v>
      </c>
      <c r="E771" s="2">
        <v>7714</v>
      </c>
      <c r="F771">
        <v>597</v>
      </c>
      <c r="G771" s="2">
        <f t="shared" ref="G771:G834" si="48">E771/F771</f>
        <v>12.921273031825796</v>
      </c>
      <c r="H771" t="str">
        <f t="shared" ref="H771:H834" si="49">TEXT(D771, "mmmm")</f>
        <v>June</v>
      </c>
      <c r="I771" t="str">
        <f t="shared" ref="I771:I834" si="50">"Q" &amp; ROUNDUP(MONTH(D771)/3,0)</f>
        <v>Q2</v>
      </c>
      <c r="J771" t="str">
        <f t="shared" ref="J771:J834" si="51">IF(E771 &gt; 500, "Large", "Small")</f>
        <v>Large</v>
      </c>
    </row>
    <row r="772" spans="1:10" x14ac:dyDescent="0.25">
      <c r="A772" t="s">
        <v>49</v>
      </c>
      <c r="B772" t="s">
        <v>29</v>
      </c>
      <c r="C772" t="s">
        <v>42</v>
      </c>
      <c r="D772" s="1">
        <v>44732</v>
      </c>
      <c r="E772" s="2">
        <v>826</v>
      </c>
      <c r="F772">
        <v>149</v>
      </c>
      <c r="G772" s="2">
        <f t="shared" si="48"/>
        <v>5.5436241610738257</v>
      </c>
      <c r="H772" t="str">
        <f t="shared" si="49"/>
        <v>June</v>
      </c>
      <c r="I772" t="str">
        <f t="shared" si="50"/>
        <v>Q2</v>
      </c>
      <c r="J772" t="str">
        <f t="shared" si="51"/>
        <v>Large</v>
      </c>
    </row>
    <row r="773" spans="1:10" x14ac:dyDescent="0.25">
      <c r="A773" t="s">
        <v>50</v>
      </c>
      <c r="B773" t="s">
        <v>10</v>
      </c>
      <c r="C773" t="s">
        <v>18</v>
      </c>
      <c r="D773" s="1">
        <v>44775</v>
      </c>
      <c r="E773" s="2">
        <v>203</v>
      </c>
      <c r="F773">
        <v>207</v>
      </c>
      <c r="G773" s="2">
        <f t="shared" si="48"/>
        <v>0.98067632850241548</v>
      </c>
      <c r="H773" t="str">
        <f t="shared" si="49"/>
        <v>August</v>
      </c>
      <c r="I773" t="str">
        <f t="shared" si="50"/>
        <v>Q3</v>
      </c>
      <c r="J773" t="str">
        <f t="shared" si="51"/>
        <v>Small</v>
      </c>
    </row>
    <row r="774" spans="1:10" x14ac:dyDescent="0.25">
      <c r="A774" t="s">
        <v>53</v>
      </c>
      <c r="B774" t="s">
        <v>21</v>
      </c>
      <c r="C774" t="s">
        <v>58</v>
      </c>
      <c r="D774" s="1">
        <v>44614</v>
      </c>
      <c r="E774" s="2">
        <v>13356</v>
      </c>
      <c r="F774">
        <v>93</v>
      </c>
      <c r="G774" s="2">
        <f t="shared" si="48"/>
        <v>143.61290322580646</v>
      </c>
      <c r="H774" t="str">
        <f t="shared" si="49"/>
        <v>February</v>
      </c>
      <c r="I774" t="str">
        <f t="shared" si="50"/>
        <v>Q1</v>
      </c>
      <c r="J774" t="str">
        <f t="shared" si="51"/>
        <v>Large</v>
      </c>
    </row>
    <row r="775" spans="1:10" x14ac:dyDescent="0.25">
      <c r="A775" t="s">
        <v>28</v>
      </c>
      <c r="B775" t="s">
        <v>21</v>
      </c>
      <c r="C775" t="s">
        <v>27</v>
      </c>
      <c r="D775" s="1">
        <v>44593</v>
      </c>
      <c r="E775" s="2">
        <v>6510</v>
      </c>
      <c r="F775">
        <v>23</v>
      </c>
      <c r="G775" s="2">
        <f t="shared" si="48"/>
        <v>283.04347826086956</v>
      </c>
      <c r="H775" t="str">
        <f t="shared" si="49"/>
        <v>February</v>
      </c>
      <c r="I775" t="str">
        <f t="shared" si="50"/>
        <v>Q1</v>
      </c>
      <c r="J775" t="str">
        <f t="shared" si="51"/>
        <v>Large</v>
      </c>
    </row>
    <row r="776" spans="1:10" x14ac:dyDescent="0.25">
      <c r="A776" t="s">
        <v>14</v>
      </c>
      <c r="B776" t="s">
        <v>29</v>
      </c>
      <c r="C776" t="s">
        <v>58</v>
      </c>
      <c r="D776" s="1">
        <v>44606</v>
      </c>
      <c r="E776" s="2">
        <v>5894</v>
      </c>
      <c r="F776">
        <v>305</v>
      </c>
      <c r="G776" s="2">
        <f t="shared" si="48"/>
        <v>19.324590163934428</v>
      </c>
      <c r="H776" t="str">
        <f t="shared" si="49"/>
        <v>February</v>
      </c>
      <c r="I776" t="str">
        <f t="shared" si="50"/>
        <v>Q1</v>
      </c>
      <c r="J776" t="str">
        <f t="shared" si="51"/>
        <v>Large</v>
      </c>
    </row>
    <row r="777" spans="1:10" x14ac:dyDescent="0.25">
      <c r="A777" t="s">
        <v>49</v>
      </c>
      <c r="B777" t="s">
        <v>15</v>
      </c>
      <c r="C777" t="s">
        <v>37</v>
      </c>
      <c r="D777" s="1">
        <v>44616</v>
      </c>
      <c r="E777" s="2">
        <v>7910</v>
      </c>
      <c r="F777">
        <v>125</v>
      </c>
      <c r="G777" s="2">
        <f t="shared" si="48"/>
        <v>63.28</v>
      </c>
      <c r="H777" t="str">
        <f t="shared" si="49"/>
        <v>February</v>
      </c>
      <c r="I777" t="str">
        <f t="shared" si="50"/>
        <v>Q1</v>
      </c>
      <c r="J777" t="str">
        <f t="shared" si="51"/>
        <v>Large</v>
      </c>
    </row>
    <row r="778" spans="1:10" x14ac:dyDescent="0.25">
      <c r="A778" t="s">
        <v>43</v>
      </c>
      <c r="B778" t="s">
        <v>10</v>
      </c>
      <c r="C778" t="s">
        <v>27</v>
      </c>
      <c r="D778" s="1">
        <v>44638</v>
      </c>
      <c r="E778" s="2">
        <v>784</v>
      </c>
      <c r="F778">
        <v>129</v>
      </c>
      <c r="G778" s="2">
        <f t="shared" si="48"/>
        <v>6.0775193798449614</v>
      </c>
      <c r="H778" t="str">
        <f t="shared" si="49"/>
        <v>March</v>
      </c>
      <c r="I778" t="str">
        <f t="shared" si="50"/>
        <v>Q1</v>
      </c>
      <c r="J778" t="str">
        <f t="shared" si="51"/>
        <v>Large</v>
      </c>
    </row>
    <row r="779" spans="1:10" x14ac:dyDescent="0.25">
      <c r="A779" t="s">
        <v>40</v>
      </c>
      <c r="B779" t="s">
        <v>7</v>
      </c>
      <c r="C779" t="s">
        <v>30</v>
      </c>
      <c r="D779" s="1">
        <v>44803</v>
      </c>
      <c r="E779" s="2">
        <v>1750</v>
      </c>
      <c r="F779">
        <v>252</v>
      </c>
      <c r="G779" s="2">
        <f t="shared" si="48"/>
        <v>6.9444444444444446</v>
      </c>
      <c r="H779" t="str">
        <f t="shared" si="49"/>
        <v>August</v>
      </c>
      <c r="I779" t="str">
        <f t="shared" si="50"/>
        <v>Q3</v>
      </c>
      <c r="J779" t="str">
        <f t="shared" si="51"/>
        <v>Large</v>
      </c>
    </row>
    <row r="780" spans="1:10" x14ac:dyDescent="0.25">
      <c r="A780" t="s">
        <v>12</v>
      </c>
      <c r="B780" t="s">
        <v>26</v>
      </c>
      <c r="C780" t="s">
        <v>13</v>
      </c>
      <c r="D780" s="1">
        <v>44690</v>
      </c>
      <c r="E780" s="2">
        <v>280</v>
      </c>
      <c r="F780">
        <v>75</v>
      </c>
      <c r="G780" s="2">
        <f t="shared" si="48"/>
        <v>3.7333333333333334</v>
      </c>
      <c r="H780" t="str">
        <f t="shared" si="49"/>
        <v>May</v>
      </c>
      <c r="I780" t="str">
        <f t="shared" si="50"/>
        <v>Q2</v>
      </c>
      <c r="J780" t="str">
        <f t="shared" si="51"/>
        <v>Small</v>
      </c>
    </row>
    <row r="781" spans="1:10" x14ac:dyDescent="0.25">
      <c r="A781" t="s">
        <v>46</v>
      </c>
      <c r="B781" t="s">
        <v>26</v>
      </c>
      <c r="C781" t="s">
        <v>16</v>
      </c>
      <c r="D781" s="1">
        <v>44579</v>
      </c>
      <c r="E781" s="2">
        <v>504</v>
      </c>
      <c r="F781">
        <v>87</v>
      </c>
      <c r="G781" s="2">
        <f t="shared" si="48"/>
        <v>5.7931034482758621</v>
      </c>
      <c r="H781" t="str">
        <f t="shared" si="49"/>
        <v>January</v>
      </c>
      <c r="I781" t="str">
        <f t="shared" si="50"/>
        <v>Q1</v>
      </c>
      <c r="J781" t="str">
        <f t="shared" si="51"/>
        <v>Large</v>
      </c>
    </row>
    <row r="782" spans="1:10" x14ac:dyDescent="0.25">
      <c r="A782" t="s">
        <v>38</v>
      </c>
      <c r="B782" t="s">
        <v>10</v>
      </c>
      <c r="C782" t="s">
        <v>44</v>
      </c>
      <c r="D782" s="1">
        <v>44746</v>
      </c>
      <c r="E782" s="2">
        <v>7154</v>
      </c>
      <c r="F782">
        <v>342</v>
      </c>
      <c r="G782" s="2">
        <f t="shared" si="48"/>
        <v>20.918128654970761</v>
      </c>
      <c r="H782" t="str">
        <f t="shared" si="49"/>
        <v>July</v>
      </c>
      <c r="I782" t="str">
        <f t="shared" si="50"/>
        <v>Q3</v>
      </c>
      <c r="J782" t="str">
        <f t="shared" si="51"/>
        <v>Large</v>
      </c>
    </row>
    <row r="783" spans="1:10" x14ac:dyDescent="0.25">
      <c r="A783" t="s">
        <v>17</v>
      </c>
      <c r="B783" t="s">
        <v>21</v>
      </c>
      <c r="C783" t="s">
        <v>39</v>
      </c>
      <c r="D783" s="1">
        <v>44715</v>
      </c>
      <c r="E783" s="2">
        <v>1617</v>
      </c>
      <c r="F783">
        <v>13</v>
      </c>
      <c r="G783" s="2">
        <f t="shared" si="48"/>
        <v>124.38461538461539</v>
      </c>
      <c r="H783" t="str">
        <f t="shared" si="49"/>
        <v>June</v>
      </c>
      <c r="I783" t="str">
        <f t="shared" si="50"/>
        <v>Q2</v>
      </c>
      <c r="J783" t="str">
        <f t="shared" si="51"/>
        <v>Large</v>
      </c>
    </row>
    <row r="784" spans="1:10" x14ac:dyDescent="0.25">
      <c r="A784" t="s">
        <v>34</v>
      </c>
      <c r="B784" t="s">
        <v>21</v>
      </c>
      <c r="C784" t="s">
        <v>13</v>
      </c>
      <c r="D784" s="1">
        <v>44615</v>
      </c>
      <c r="E784" s="2">
        <v>10822</v>
      </c>
      <c r="F784">
        <v>30</v>
      </c>
      <c r="G784" s="2">
        <f t="shared" si="48"/>
        <v>360.73333333333335</v>
      </c>
      <c r="H784" t="str">
        <f t="shared" si="49"/>
        <v>February</v>
      </c>
      <c r="I784" t="str">
        <f t="shared" si="50"/>
        <v>Q1</v>
      </c>
      <c r="J784" t="str">
        <f t="shared" si="51"/>
        <v>Large</v>
      </c>
    </row>
    <row r="785" spans="1:10" x14ac:dyDescent="0.25">
      <c r="A785" t="s">
        <v>54</v>
      </c>
      <c r="B785" t="s">
        <v>21</v>
      </c>
      <c r="C785" t="s">
        <v>18</v>
      </c>
      <c r="D785" s="1">
        <v>44690</v>
      </c>
      <c r="E785" s="2">
        <v>10724</v>
      </c>
      <c r="F785">
        <v>203</v>
      </c>
      <c r="G785" s="2">
        <f t="shared" si="48"/>
        <v>52.827586206896555</v>
      </c>
      <c r="H785" t="str">
        <f t="shared" si="49"/>
        <v>May</v>
      </c>
      <c r="I785" t="str">
        <f t="shared" si="50"/>
        <v>Q2</v>
      </c>
      <c r="J785" t="str">
        <f t="shared" si="51"/>
        <v>Large</v>
      </c>
    </row>
    <row r="786" spans="1:10" x14ac:dyDescent="0.25">
      <c r="A786" t="s">
        <v>49</v>
      </c>
      <c r="B786" t="s">
        <v>10</v>
      </c>
      <c r="C786" t="s">
        <v>58</v>
      </c>
      <c r="D786" s="1">
        <v>44718</v>
      </c>
      <c r="E786" s="2">
        <v>3640</v>
      </c>
      <c r="F786">
        <v>106</v>
      </c>
      <c r="G786" s="2">
        <f t="shared" si="48"/>
        <v>34.339622641509436</v>
      </c>
      <c r="H786" t="str">
        <f t="shared" si="49"/>
        <v>June</v>
      </c>
      <c r="I786" t="str">
        <f t="shared" si="50"/>
        <v>Q2</v>
      </c>
      <c r="J786" t="str">
        <f t="shared" si="51"/>
        <v>Large</v>
      </c>
    </row>
    <row r="787" spans="1:10" x14ac:dyDescent="0.25">
      <c r="A787" t="s">
        <v>49</v>
      </c>
      <c r="B787" t="s">
        <v>10</v>
      </c>
      <c r="C787" t="s">
        <v>32</v>
      </c>
      <c r="D787" s="1">
        <v>44746</v>
      </c>
      <c r="E787" s="2">
        <v>7532</v>
      </c>
      <c r="F787">
        <v>234</v>
      </c>
      <c r="G787" s="2">
        <f t="shared" si="48"/>
        <v>32.188034188034187</v>
      </c>
      <c r="H787" t="str">
        <f t="shared" si="49"/>
        <v>July</v>
      </c>
      <c r="I787" t="str">
        <f t="shared" si="50"/>
        <v>Q3</v>
      </c>
      <c r="J787" t="str">
        <f t="shared" si="51"/>
        <v>Large</v>
      </c>
    </row>
    <row r="788" spans="1:10" x14ac:dyDescent="0.25">
      <c r="A788" t="s">
        <v>23</v>
      </c>
      <c r="B788" t="s">
        <v>21</v>
      </c>
      <c r="C788" t="s">
        <v>32</v>
      </c>
      <c r="D788" s="1">
        <v>44718</v>
      </c>
      <c r="E788" s="2">
        <v>1582</v>
      </c>
      <c r="F788">
        <v>100</v>
      </c>
      <c r="G788" s="2">
        <f t="shared" si="48"/>
        <v>15.82</v>
      </c>
      <c r="H788" t="str">
        <f t="shared" si="49"/>
        <v>June</v>
      </c>
      <c r="I788" t="str">
        <f t="shared" si="50"/>
        <v>Q2</v>
      </c>
      <c r="J788" t="str">
        <f t="shared" si="51"/>
        <v>Large</v>
      </c>
    </row>
    <row r="789" spans="1:10" x14ac:dyDescent="0.25">
      <c r="A789" t="s">
        <v>54</v>
      </c>
      <c r="B789" t="s">
        <v>15</v>
      </c>
      <c r="C789" t="s">
        <v>47</v>
      </c>
      <c r="D789" s="1">
        <v>44694</v>
      </c>
      <c r="E789" s="2">
        <v>1456</v>
      </c>
      <c r="F789">
        <v>91</v>
      </c>
      <c r="G789" s="2">
        <f t="shared" si="48"/>
        <v>16</v>
      </c>
      <c r="H789" t="str">
        <f t="shared" si="49"/>
        <v>May</v>
      </c>
      <c r="I789" t="str">
        <f t="shared" si="50"/>
        <v>Q2</v>
      </c>
      <c r="J789" t="str">
        <f t="shared" si="51"/>
        <v>Large</v>
      </c>
    </row>
    <row r="790" spans="1:10" x14ac:dyDescent="0.25">
      <c r="A790" t="s">
        <v>46</v>
      </c>
      <c r="B790" t="s">
        <v>21</v>
      </c>
      <c r="C790" t="s">
        <v>35</v>
      </c>
      <c r="D790" s="1">
        <v>44592</v>
      </c>
      <c r="E790" s="2">
        <v>2016</v>
      </c>
      <c r="F790">
        <v>277</v>
      </c>
      <c r="G790" s="2">
        <f t="shared" si="48"/>
        <v>7.2779783393501809</v>
      </c>
      <c r="H790" t="str">
        <f t="shared" si="49"/>
        <v>January</v>
      </c>
      <c r="I790" t="str">
        <f t="shared" si="50"/>
        <v>Q1</v>
      </c>
      <c r="J790" t="str">
        <f t="shared" si="51"/>
        <v>Large</v>
      </c>
    </row>
    <row r="791" spans="1:10" x14ac:dyDescent="0.25">
      <c r="A791" t="s">
        <v>55</v>
      </c>
      <c r="B791" t="s">
        <v>21</v>
      </c>
      <c r="C791" t="s">
        <v>57</v>
      </c>
      <c r="D791" s="1">
        <v>44742</v>
      </c>
      <c r="E791" s="2">
        <v>7588</v>
      </c>
      <c r="F791">
        <v>42</v>
      </c>
      <c r="G791" s="2">
        <f t="shared" si="48"/>
        <v>180.66666666666666</v>
      </c>
      <c r="H791" t="str">
        <f t="shared" si="49"/>
        <v>June</v>
      </c>
      <c r="I791" t="str">
        <f t="shared" si="50"/>
        <v>Q2</v>
      </c>
      <c r="J791" t="str">
        <f t="shared" si="51"/>
        <v>Large</v>
      </c>
    </row>
    <row r="792" spans="1:10" x14ac:dyDescent="0.25">
      <c r="A792" t="s">
        <v>25</v>
      </c>
      <c r="B792" t="s">
        <v>29</v>
      </c>
      <c r="C792" t="s">
        <v>45</v>
      </c>
      <c r="D792" s="1">
        <v>44798</v>
      </c>
      <c r="E792" s="2">
        <v>3402</v>
      </c>
      <c r="F792">
        <v>249</v>
      </c>
      <c r="G792" s="2">
        <f t="shared" si="48"/>
        <v>13.662650602409638</v>
      </c>
      <c r="H792" t="str">
        <f t="shared" si="49"/>
        <v>August</v>
      </c>
      <c r="I792" t="str">
        <f t="shared" si="50"/>
        <v>Q3</v>
      </c>
      <c r="J792" t="str">
        <f t="shared" si="51"/>
        <v>Large</v>
      </c>
    </row>
    <row r="793" spans="1:10" x14ac:dyDescent="0.25">
      <c r="A793" t="s">
        <v>12</v>
      </c>
      <c r="B793" t="s">
        <v>21</v>
      </c>
      <c r="C793" t="s">
        <v>16</v>
      </c>
      <c r="D793" s="1">
        <v>44571</v>
      </c>
      <c r="E793" s="2">
        <v>700</v>
      </c>
      <c r="F793">
        <v>97</v>
      </c>
      <c r="G793" s="2">
        <f t="shared" si="48"/>
        <v>7.2164948453608249</v>
      </c>
      <c r="H793" t="str">
        <f t="shared" si="49"/>
        <v>January</v>
      </c>
      <c r="I793" t="str">
        <f t="shared" si="50"/>
        <v>Q1</v>
      </c>
      <c r="J793" t="str">
        <f t="shared" si="51"/>
        <v>Large</v>
      </c>
    </row>
    <row r="794" spans="1:10" x14ac:dyDescent="0.25">
      <c r="A794" t="s">
        <v>23</v>
      </c>
      <c r="B794" t="s">
        <v>26</v>
      </c>
      <c r="C794" t="s">
        <v>45</v>
      </c>
      <c r="D794" s="1">
        <v>44795</v>
      </c>
      <c r="E794" s="2">
        <v>1904</v>
      </c>
      <c r="F794">
        <v>8</v>
      </c>
      <c r="G794" s="2">
        <f t="shared" si="48"/>
        <v>238</v>
      </c>
      <c r="H794" t="str">
        <f t="shared" si="49"/>
        <v>August</v>
      </c>
      <c r="I794" t="str">
        <f t="shared" si="50"/>
        <v>Q3</v>
      </c>
      <c r="J794" t="str">
        <f t="shared" si="51"/>
        <v>Large</v>
      </c>
    </row>
    <row r="795" spans="1:10" x14ac:dyDescent="0.25">
      <c r="A795" t="s">
        <v>36</v>
      </c>
      <c r="B795" t="s">
        <v>21</v>
      </c>
      <c r="C795" t="s">
        <v>11</v>
      </c>
      <c r="D795" s="1">
        <v>44665</v>
      </c>
      <c r="E795" s="2">
        <v>4844</v>
      </c>
      <c r="F795">
        <v>275</v>
      </c>
      <c r="G795" s="2">
        <f t="shared" si="48"/>
        <v>17.614545454545453</v>
      </c>
      <c r="H795" t="str">
        <f t="shared" si="49"/>
        <v>April</v>
      </c>
      <c r="I795" t="str">
        <f t="shared" si="50"/>
        <v>Q2</v>
      </c>
      <c r="J795" t="str">
        <f t="shared" si="51"/>
        <v>Large</v>
      </c>
    </row>
    <row r="796" spans="1:10" x14ac:dyDescent="0.25">
      <c r="A796" t="s">
        <v>17</v>
      </c>
      <c r="B796" t="s">
        <v>7</v>
      </c>
      <c r="C796" t="s">
        <v>16</v>
      </c>
      <c r="D796" s="1">
        <v>44712</v>
      </c>
      <c r="E796" s="2">
        <v>9625</v>
      </c>
      <c r="F796">
        <v>313</v>
      </c>
      <c r="G796" s="2">
        <f t="shared" si="48"/>
        <v>30.750798722044728</v>
      </c>
      <c r="H796" t="str">
        <f t="shared" si="49"/>
        <v>May</v>
      </c>
      <c r="I796" t="str">
        <f t="shared" si="50"/>
        <v>Q2</v>
      </c>
      <c r="J796" t="str">
        <f t="shared" si="51"/>
        <v>Large</v>
      </c>
    </row>
    <row r="797" spans="1:10" x14ac:dyDescent="0.25">
      <c r="A797" t="s">
        <v>17</v>
      </c>
      <c r="B797" t="s">
        <v>7</v>
      </c>
      <c r="C797" t="s">
        <v>51</v>
      </c>
      <c r="D797" s="1">
        <v>44659</v>
      </c>
      <c r="E797" s="2">
        <v>4599</v>
      </c>
      <c r="F797">
        <v>323</v>
      </c>
      <c r="G797" s="2">
        <f t="shared" si="48"/>
        <v>14.238390092879257</v>
      </c>
      <c r="H797" t="str">
        <f t="shared" si="49"/>
        <v>April</v>
      </c>
      <c r="I797" t="str">
        <f t="shared" si="50"/>
        <v>Q2</v>
      </c>
      <c r="J797" t="str">
        <f t="shared" si="51"/>
        <v>Large</v>
      </c>
    </row>
    <row r="798" spans="1:10" x14ac:dyDescent="0.25">
      <c r="A798" t="s">
        <v>36</v>
      </c>
      <c r="B798" t="s">
        <v>26</v>
      </c>
      <c r="C798" t="s">
        <v>32</v>
      </c>
      <c r="D798" s="1">
        <v>44613</v>
      </c>
      <c r="E798" s="2">
        <v>3003</v>
      </c>
      <c r="F798">
        <v>155</v>
      </c>
      <c r="G798" s="2">
        <f t="shared" si="48"/>
        <v>19.374193548387098</v>
      </c>
      <c r="H798" t="str">
        <f t="shared" si="49"/>
        <v>February</v>
      </c>
      <c r="I798" t="str">
        <f t="shared" si="50"/>
        <v>Q1</v>
      </c>
      <c r="J798" t="str">
        <f t="shared" si="51"/>
        <v>Large</v>
      </c>
    </row>
    <row r="799" spans="1:10" x14ac:dyDescent="0.25">
      <c r="A799" t="s">
        <v>48</v>
      </c>
      <c r="B799" t="s">
        <v>15</v>
      </c>
      <c r="C799" t="s">
        <v>45</v>
      </c>
      <c r="D799" s="1">
        <v>44650</v>
      </c>
      <c r="E799" s="2">
        <v>9744</v>
      </c>
      <c r="F799">
        <v>377</v>
      </c>
      <c r="G799" s="2">
        <f t="shared" si="48"/>
        <v>25.846153846153847</v>
      </c>
      <c r="H799" t="str">
        <f t="shared" si="49"/>
        <v>March</v>
      </c>
      <c r="I799" t="str">
        <f t="shared" si="50"/>
        <v>Q1</v>
      </c>
      <c r="J799" t="str">
        <f t="shared" si="51"/>
        <v>Large</v>
      </c>
    </row>
    <row r="800" spans="1:10" x14ac:dyDescent="0.25">
      <c r="A800" t="s">
        <v>28</v>
      </c>
      <c r="B800" t="s">
        <v>10</v>
      </c>
      <c r="C800" t="s">
        <v>51</v>
      </c>
      <c r="D800" s="1">
        <v>44622</v>
      </c>
      <c r="E800" s="2">
        <v>1400</v>
      </c>
      <c r="F800">
        <v>2</v>
      </c>
      <c r="G800" s="2">
        <f t="shared" si="48"/>
        <v>700</v>
      </c>
      <c r="H800" t="str">
        <f t="shared" si="49"/>
        <v>March</v>
      </c>
      <c r="I800" t="str">
        <f t="shared" si="50"/>
        <v>Q1</v>
      </c>
      <c r="J800" t="str">
        <f t="shared" si="51"/>
        <v>Large</v>
      </c>
    </row>
    <row r="801" spans="1:10" x14ac:dyDescent="0.25">
      <c r="A801" t="s">
        <v>6</v>
      </c>
      <c r="B801" t="s">
        <v>26</v>
      </c>
      <c r="C801" t="s">
        <v>27</v>
      </c>
      <c r="D801" s="1">
        <v>44770</v>
      </c>
      <c r="E801" s="2">
        <v>364</v>
      </c>
      <c r="F801">
        <v>170</v>
      </c>
      <c r="G801" s="2">
        <f t="shared" si="48"/>
        <v>2.1411764705882352</v>
      </c>
      <c r="H801" t="str">
        <f t="shared" si="49"/>
        <v>July</v>
      </c>
      <c r="I801" t="str">
        <f t="shared" si="50"/>
        <v>Q3</v>
      </c>
      <c r="J801" t="str">
        <f t="shared" si="51"/>
        <v>Small</v>
      </c>
    </row>
    <row r="802" spans="1:10" x14ac:dyDescent="0.25">
      <c r="A802" t="s">
        <v>41</v>
      </c>
      <c r="B802" t="s">
        <v>21</v>
      </c>
      <c r="C802" t="s">
        <v>58</v>
      </c>
      <c r="D802" s="1">
        <v>44644</v>
      </c>
      <c r="E802" s="2">
        <v>7231</v>
      </c>
      <c r="F802">
        <v>38</v>
      </c>
      <c r="G802" s="2">
        <f t="shared" si="48"/>
        <v>190.28947368421052</v>
      </c>
      <c r="H802" t="str">
        <f t="shared" si="49"/>
        <v>March</v>
      </c>
      <c r="I802" t="str">
        <f t="shared" si="50"/>
        <v>Q1</v>
      </c>
      <c r="J802" t="str">
        <f t="shared" si="51"/>
        <v>Large</v>
      </c>
    </row>
    <row r="803" spans="1:10" x14ac:dyDescent="0.25">
      <c r="A803" t="s">
        <v>38</v>
      </c>
      <c r="B803" t="s">
        <v>15</v>
      </c>
      <c r="C803" t="s">
        <v>20</v>
      </c>
      <c r="D803" s="1">
        <v>44784</v>
      </c>
      <c r="E803" s="2">
        <v>63</v>
      </c>
      <c r="F803">
        <v>105</v>
      </c>
      <c r="G803" s="2">
        <f t="shared" si="48"/>
        <v>0.6</v>
      </c>
      <c r="H803" t="str">
        <f t="shared" si="49"/>
        <v>August</v>
      </c>
      <c r="I803" t="str">
        <f t="shared" si="50"/>
        <v>Q3</v>
      </c>
      <c r="J803" t="str">
        <f t="shared" si="51"/>
        <v>Small</v>
      </c>
    </row>
    <row r="804" spans="1:10" x14ac:dyDescent="0.25">
      <c r="A804" t="s">
        <v>40</v>
      </c>
      <c r="B804" t="s">
        <v>7</v>
      </c>
      <c r="C804" t="s">
        <v>47</v>
      </c>
      <c r="D804" s="1">
        <v>44698</v>
      </c>
      <c r="E804" s="2">
        <v>8309</v>
      </c>
      <c r="F804">
        <v>166</v>
      </c>
      <c r="G804" s="2">
        <f t="shared" si="48"/>
        <v>50.054216867469883</v>
      </c>
      <c r="H804" t="str">
        <f t="shared" si="49"/>
        <v>May</v>
      </c>
      <c r="I804" t="str">
        <f t="shared" si="50"/>
        <v>Q2</v>
      </c>
      <c r="J804" t="str">
        <f t="shared" si="51"/>
        <v>Large</v>
      </c>
    </row>
    <row r="805" spans="1:10" x14ac:dyDescent="0.25">
      <c r="A805" t="s">
        <v>41</v>
      </c>
      <c r="B805" t="s">
        <v>29</v>
      </c>
      <c r="C805" t="s">
        <v>52</v>
      </c>
      <c r="D805" s="1">
        <v>44699</v>
      </c>
      <c r="E805" s="2">
        <v>3164</v>
      </c>
      <c r="F805">
        <v>164</v>
      </c>
      <c r="G805" s="2">
        <f t="shared" si="48"/>
        <v>19.292682926829269</v>
      </c>
      <c r="H805" t="str">
        <f t="shared" si="49"/>
        <v>May</v>
      </c>
      <c r="I805" t="str">
        <f t="shared" si="50"/>
        <v>Q2</v>
      </c>
      <c r="J805" t="str">
        <f t="shared" si="51"/>
        <v>Large</v>
      </c>
    </row>
    <row r="806" spans="1:10" x14ac:dyDescent="0.25">
      <c r="A806" t="s">
        <v>36</v>
      </c>
      <c r="B806" t="s">
        <v>7</v>
      </c>
      <c r="C806" t="s">
        <v>13</v>
      </c>
      <c r="D806" s="1">
        <v>44790</v>
      </c>
      <c r="E806" s="2">
        <v>5691</v>
      </c>
      <c r="F806">
        <v>171</v>
      </c>
      <c r="G806" s="2">
        <f t="shared" si="48"/>
        <v>33.280701754385966</v>
      </c>
      <c r="H806" t="str">
        <f t="shared" si="49"/>
        <v>August</v>
      </c>
      <c r="I806" t="str">
        <f t="shared" si="50"/>
        <v>Q3</v>
      </c>
      <c r="J806" t="str">
        <f t="shared" si="51"/>
        <v>Large</v>
      </c>
    </row>
    <row r="807" spans="1:10" x14ac:dyDescent="0.25">
      <c r="A807" t="s">
        <v>55</v>
      </c>
      <c r="B807" t="s">
        <v>21</v>
      </c>
      <c r="C807" t="s">
        <v>30</v>
      </c>
      <c r="D807" s="1">
        <v>44655</v>
      </c>
      <c r="E807" s="2">
        <v>490</v>
      </c>
      <c r="F807">
        <v>49</v>
      </c>
      <c r="G807" s="2">
        <f t="shared" si="48"/>
        <v>10</v>
      </c>
      <c r="H807" t="str">
        <f t="shared" si="49"/>
        <v>April</v>
      </c>
      <c r="I807" t="str">
        <f t="shared" si="50"/>
        <v>Q2</v>
      </c>
      <c r="J807" t="str">
        <f t="shared" si="51"/>
        <v>Small</v>
      </c>
    </row>
    <row r="808" spans="1:10" x14ac:dyDescent="0.25">
      <c r="A808" t="s">
        <v>23</v>
      </c>
      <c r="B808" t="s">
        <v>10</v>
      </c>
      <c r="C808" t="s">
        <v>11</v>
      </c>
      <c r="D808" s="1">
        <v>44782</v>
      </c>
      <c r="E808" s="2">
        <v>18032</v>
      </c>
      <c r="F808">
        <v>205</v>
      </c>
      <c r="G808" s="2">
        <f t="shared" si="48"/>
        <v>87.960975609756105</v>
      </c>
      <c r="H808" t="str">
        <f t="shared" si="49"/>
        <v>August</v>
      </c>
      <c r="I808" t="str">
        <f t="shared" si="50"/>
        <v>Q3</v>
      </c>
      <c r="J808" t="str">
        <f t="shared" si="51"/>
        <v>Large</v>
      </c>
    </row>
    <row r="809" spans="1:10" x14ac:dyDescent="0.25">
      <c r="A809" t="s">
        <v>23</v>
      </c>
      <c r="B809" t="s">
        <v>21</v>
      </c>
      <c r="C809" t="s">
        <v>35</v>
      </c>
      <c r="D809" s="1">
        <v>44578</v>
      </c>
      <c r="E809" s="2">
        <v>637</v>
      </c>
      <c r="F809">
        <v>313</v>
      </c>
      <c r="G809" s="2">
        <f t="shared" si="48"/>
        <v>2.0351437699680512</v>
      </c>
      <c r="H809" t="str">
        <f t="shared" si="49"/>
        <v>January</v>
      </c>
      <c r="I809" t="str">
        <f t="shared" si="50"/>
        <v>Q1</v>
      </c>
      <c r="J809" t="str">
        <f t="shared" si="51"/>
        <v>Large</v>
      </c>
    </row>
    <row r="810" spans="1:10" x14ac:dyDescent="0.25">
      <c r="A810" t="s">
        <v>48</v>
      </c>
      <c r="B810" t="s">
        <v>29</v>
      </c>
      <c r="C810" t="s">
        <v>44</v>
      </c>
      <c r="D810" s="1">
        <v>44606</v>
      </c>
      <c r="E810" s="2">
        <v>4067</v>
      </c>
      <c r="F810">
        <v>29</v>
      </c>
      <c r="G810" s="2">
        <f t="shared" si="48"/>
        <v>140.24137931034483</v>
      </c>
      <c r="H810" t="str">
        <f t="shared" si="49"/>
        <v>February</v>
      </c>
      <c r="I810" t="str">
        <f t="shared" si="50"/>
        <v>Q1</v>
      </c>
      <c r="J810" t="str">
        <f t="shared" si="51"/>
        <v>Large</v>
      </c>
    </row>
    <row r="811" spans="1:10" x14ac:dyDescent="0.25">
      <c r="A811" t="s">
        <v>12</v>
      </c>
      <c r="B811" t="s">
        <v>21</v>
      </c>
      <c r="C811" t="s">
        <v>27</v>
      </c>
      <c r="D811" s="1">
        <v>44697</v>
      </c>
      <c r="E811" s="2">
        <v>8204</v>
      </c>
      <c r="F811">
        <v>307</v>
      </c>
      <c r="G811" s="2">
        <f t="shared" si="48"/>
        <v>26.723127035830618</v>
      </c>
      <c r="H811" t="str">
        <f t="shared" si="49"/>
        <v>May</v>
      </c>
      <c r="I811" t="str">
        <f t="shared" si="50"/>
        <v>Q2</v>
      </c>
      <c r="J811" t="str">
        <f t="shared" si="51"/>
        <v>Large</v>
      </c>
    </row>
    <row r="812" spans="1:10" x14ac:dyDescent="0.25">
      <c r="A812" t="s">
        <v>55</v>
      </c>
      <c r="B812" t="s">
        <v>29</v>
      </c>
      <c r="C812" t="s">
        <v>16</v>
      </c>
      <c r="D812" s="1">
        <v>44636</v>
      </c>
      <c r="E812" s="2">
        <v>9870</v>
      </c>
      <c r="F812">
        <v>121</v>
      </c>
      <c r="G812" s="2">
        <f t="shared" si="48"/>
        <v>81.570247933884303</v>
      </c>
      <c r="H812" t="str">
        <f t="shared" si="49"/>
        <v>March</v>
      </c>
      <c r="I812" t="str">
        <f t="shared" si="50"/>
        <v>Q1</v>
      </c>
      <c r="J812" t="str">
        <f t="shared" si="51"/>
        <v>Large</v>
      </c>
    </row>
    <row r="813" spans="1:10" x14ac:dyDescent="0.25">
      <c r="A813" t="s">
        <v>40</v>
      </c>
      <c r="B813" t="s">
        <v>29</v>
      </c>
      <c r="C813" t="s">
        <v>58</v>
      </c>
      <c r="D813" s="1">
        <v>44592</v>
      </c>
      <c r="E813" s="2">
        <v>5131</v>
      </c>
      <c r="F813">
        <v>285</v>
      </c>
      <c r="G813" s="2">
        <f t="shared" si="48"/>
        <v>18.003508771929823</v>
      </c>
      <c r="H813" t="str">
        <f t="shared" si="49"/>
        <v>January</v>
      </c>
      <c r="I813" t="str">
        <f t="shared" si="50"/>
        <v>Q1</v>
      </c>
      <c r="J813" t="str">
        <f t="shared" si="51"/>
        <v>Large</v>
      </c>
    </row>
    <row r="814" spans="1:10" x14ac:dyDescent="0.25">
      <c r="A814" t="s">
        <v>25</v>
      </c>
      <c r="B814" t="s">
        <v>29</v>
      </c>
      <c r="C814" t="s">
        <v>35</v>
      </c>
      <c r="D814" s="1">
        <v>44630</v>
      </c>
      <c r="E814" s="2">
        <v>1141</v>
      </c>
      <c r="F814">
        <v>205</v>
      </c>
      <c r="G814" s="2">
        <f t="shared" si="48"/>
        <v>5.565853658536585</v>
      </c>
      <c r="H814" t="str">
        <f t="shared" si="49"/>
        <v>March</v>
      </c>
      <c r="I814" t="str">
        <f t="shared" si="50"/>
        <v>Q1</v>
      </c>
      <c r="J814" t="str">
        <f t="shared" si="51"/>
        <v>Large</v>
      </c>
    </row>
    <row r="815" spans="1:10" x14ac:dyDescent="0.25">
      <c r="A815" t="s">
        <v>17</v>
      </c>
      <c r="B815" t="s">
        <v>7</v>
      </c>
      <c r="C815" t="s">
        <v>35</v>
      </c>
      <c r="D815" s="1">
        <v>44742</v>
      </c>
      <c r="E815" s="2">
        <v>7980</v>
      </c>
      <c r="F815">
        <v>157</v>
      </c>
      <c r="G815" s="2">
        <f t="shared" si="48"/>
        <v>50.828025477707008</v>
      </c>
      <c r="H815" t="str">
        <f t="shared" si="49"/>
        <v>June</v>
      </c>
      <c r="I815" t="str">
        <f t="shared" si="50"/>
        <v>Q2</v>
      </c>
      <c r="J815" t="str">
        <f t="shared" si="51"/>
        <v>Large</v>
      </c>
    </row>
    <row r="816" spans="1:10" x14ac:dyDescent="0.25">
      <c r="A816" t="s">
        <v>9</v>
      </c>
      <c r="B816" t="s">
        <v>21</v>
      </c>
      <c r="C816" t="s">
        <v>30</v>
      </c>
      <c r="D816" s="1">
        <v>44621</v>
      </c>
      <c r="E816" s="2">
        <v>5229</v>
      </c>
      <c r="F816">
        <v>182</v>
      </c>
      <c r="G816" s="2">
        <f t="shared" si="48"/>
        <v>28.73076923076923</v>
      </c>
      <c r="H816" t="str">
        <f t="shared" si="49"/>
        <v>March</v>
      </c>
      <c r="I816" t="str">
        <f t="shared" si="50"/>
        <v>Q1</v>
      </c>
      <c r="J816" t="str">
        <f t="shared" si="51"/>
        <v>Large</v>
      </c>
    </row>
    <row r="817" spans="1:10" x14ac:dyDescent="0.25">
      <c r="A817" t="s">
        <v>28</v>
      </c>
      <c r="B817" t="s">
        <v>7</v>
      </c>
      <c r="C817" t="s">
        <v>32</v>
      </c>
      <c r="D817" s="1">
        <v>44708</v>
      </c>
      <c r="E817" s="2">
        <v>3423</v>
      </c>
      <c r="F817">
        <v>100</v>
      </c>
      <c r="G817" s="2">
        <f t="shared" si="48"/>
        <v>34.229999999999997</v>
      </c>
      <c r="H817" t="str">
        <f t="shared" si="49"/>
        <v>May</v>
      </c>
      <c r="I817" t="str">
        <f t="shared" si="50"/>
        <v>Q2</v>
      </c>
      <c r="J817" t="str">
        <f t="shared" si="51"/>
        <v>Large</v>
      </c>
    </row>
    <row r="818" spans="1:10" x14ac:dyDescent="0.25">
      <c r="A818" t="s">
        <v>17</v>
      </c>
      <c r="B818" t="s">
        <v>7</v>
      </c>
      <c r="C818" t="s">
        <v>37</v>
      </c>
      <c r="D818" s="1">
        <v>44753</v>
      </c>
      <c r="E818" s="2">
        <v>6468</v>
      </c>
      <c r="F818">
        <v>223</v>
      </c>
      <c r="G818" s="2">
        <f t="shared" si="48"/>
        <v>29.004484304932735</v>
      </c>
      <c r="H818" t="str">
        <f t="shared" si="49"/>
        <v>July</v>
      </c>
      <c r="I818" t="str">
        <f t="shared" si="50"/>
        <v>Q3</v>
      </c>
      <c r="J818" t="str">
        <f t="shared" si="51"/>
        <v>Large</v>
      </c>
    </row>
    <row r="819" spans="1:10" x14ac:dyDescent="0.25">
      <c r="A819" t="s">
        <v>31</v>
      </c>
      <c r="B819" t="s">
        <v>21</v>
      </c>
      <c r="C819" t="s">
        <v>8</v>
      </c>
      <c r="D819" s="1">
        <v>44622</v>
      </c>
      <c r="E819" s="2">
        <v>4326</v>
      </c>
      <c r="F819">
        <v>61</v>
      </c>
      <c r="G819" s="2">
        <f t="shared" si="48"/>
        <v>70.918032786885249</v>
      </c>
      <c r="H819" t="str">
        <f t="shared" si="49"/>
        <v>March</v>
      </c>
      <c r="I819" t="str">
        <f t="shared" si="50"/>
        <v>Q1</v>
      </c>
      <c r="J819" t="str">
        <f t="shared" si="51"/>
        <v>Large</v>
      </c>
    </row>
    <row r="820" spans="1:10" x14ac:dyDescent="0.25">
      <c r="A820" t="s">
        <v>6</v>
      </c>
      <c r="B820" t="s">
        <v>26</v>
      </c>
      <c r="C820" t="s">
        <v>51</v>
      </c>
      <c r="D820" s="1">
        <v>44624</v>
      </c>
      <c r="E820" s="2">
        <v>7154</v>
      </c>
      <c r="F820">
        <v>133</v>
      </c>
      <c r="G820" s="2">
        <f t="shared" si="48"/>
        <v>53.789473684210527</v>
      </c>
      <c r="H820" t="str">
        <f t="shared" si="49"/>
        <v>March</v>
      </c>
      <c r="I820" t="str">
        <f t="shared" si="50"/>
        <v>Q1</v>
      </c>
      <c r="J820" t="str">
        <f t="shared" si="51"/>
        <v>Large</v>
      </c>
    </row>
    <row r="821" spans="1:10" x14ac:dyDescent="0.25">
      <c r="A821" t="s">
        <v>49</v>
      </c>
      <c r="B821" t="s">
        <v>7</v>
      </c>
      <c r="C821" t="s">
        <v>11</v>
      </c>
      <c r="D821" s="1">
        <v>44735</v>
      </c>
      <c r="E821" s="2">
        <v>3997</v>
      </c>
      <c r="F821">
        <v>228</v>
      </c>
      <c r="G821" s="2">
        <f t="shared" si="48"/>
        <v>17.530701754385966</v>
      </c>
      <c r="H821" t="str">
        <f t="shared" si="49"/>
        <v>June</v>
      </c>
      <c r="I821" t="str">
        <f t="shared" si="50"/>
        <v>Q2</v>
      </c>
      <c r="J821" t="str">
        <f t="shared" si="51"/>
        <v>Large</v>
      </c>
    </row>
    <row r="822" spans="1:10" x14ac:dyDescent="0.25">
      <c r="A822" t="s">
        <v>49</v>
      </c>
      <c r="B822" t="s">
        <v>26</v>
      </c>
      <c r="C822" t="s">
        <v>47</v>
      </c>
      <c r="D822" s="1">
        <v>44588</v>
      </c>
      <c r="E822" s="2">
        <v>5180</v>
      </c>
      <c r="F822">
        <v>233</v>
      </c>
      <c r="G822" s="2">
        <f t="shared" si="48"/>
        <v>22.231759656652361</v>
      </c>
      <c r="H822" t="str">
        <f t="shared" si="49"/>
        <v>January</v>
      </c>
      <c r="I822" t="str">
        <f t="shared" si="50"/>
        <v>Q1</v>
      </c>
      <c r="J822" t="str">
        <f t="shared" si="51"/>
        <v>Large</v>
      </c>
    </row>
    <row r="823" spans="1:10" x14ac:dyDescent="0.25">
      <c r="A823" t="s">
        <v>33</v>
      </c>
      <c r="B823" t="s">
        <v>29</v>
      </c>
      <c r="C823" t="s">
        <v>27</v>
      </c>
      <c r="D823" s="1">
        <v>44575</v>
      </c>
      <c r="E823" s="2">
        <v>2723</v>
      </c>
      <c r="F823">
        <v>425</v>
      </c>
      <c r="G823" s="2">
        <f t="shared" si="48"/>
        <v>6.4070588235294119</v>
      </c>
      <c r="H823" t="str">
        <f t="shared" si="49"/>
        <v>January</v>
      </c>
      <c r="I823" t="str">
        <f t="shared" si="50"/>
        <v>Q1</v>
      </c>
      <c r="J823" t="str">
        <f t="shared" si="51"/>
        <v>Large</v>
      </c>
    </row>
    <row r="824" spans="1:10" x14ac:dyDescent="0.25">
      <c r="A824" t="s">
        <v>43</v>
      </c>
      <c r="B824" t="s">
        <v>10</v>
      </c>
      <c r="C824" t="s">
        <v>42</v>
      </c>
      <c r="D824" s="1">
        <v>44771</v>
      </c>
      <c r="E824" s="2">
        <v>952</v>
      </c>
      <c r="F824">
        <v>24</v>
      </c>
      <c r="G824" s="2">
        <f t="shared" si="48"/>
        <v>39.666666666666664</v>
      </c>
      <c r="H824" t="str">
        <f t="shared" si="49"/>
        <v>July</v>
      </c>
      <c r="I824" t="str">
        <f t="shared" si="50"/>
        <v>Q3</v>
      </c>
      <c r="J824" t="str">
        <f t="shared" si="51"/>
        <v>Large</v>
      </c>
    </row>
    <row r="825" spans="1:10" x14ac:dyDescent="0.25">
      <c r="A825" t="s">
        <v>23</v>
      </c>
      <c r="B825" t="s">
        <v>29</v>
      </c>
      <c r="C825" t="s">
        <v>16</v>
      </c>
      <c r="D825" s="1">
        <v>44694</v>
      </c>
      <c r="E825" s="2">
        <v>5691</v>
      </c>
      <c r="F825">
        <v>495</v>
      </c>
      <c r="G825" s="2">
        <f t="shared" si="48"/>
        <v>11.496969696969696</v>
      </c>
      <c r="H825" t="str">
        <f t="shared" si="49"/>
        <v>May</v>
      </c>
      <c r="I825" t="str">
        <f t="shared" si="50"/>
        <v>Q2</v>
      </c>
      <c r="J825" t="str">
        <f t="shared" si="51"/>
        <v>Large</v>
      </c>
    </row>
    <row r="826" spans="1:10" x14ac:dyDescent="0.25">
      <c r="A826" t="s">
        <v>25</v>
      </c>
      <c r="B826" t="s">
        <v>29</v>
      </c>
      <c r="C826" t="s">
        <v>56</v>
      </c>
      <c r="D826" s="1">
        <v>44595</v>
      </c>
      <c r="E826" s="2">
        <v>10969</v>
      </c>
      <c r="F826">
        <v>170</v>
      </c>
      <c r="G826" s="2">
        <f t="shared" si="48"/>
        <v>64.523529411764713</v>
      </c>
      <c r="H826" t="str">
        <f t="shared" si="49"/>
        <v>February</v>
      </c>
      <c r="I826" t="str">
        <f t="shared" si="50"/>
        <v>Q1</v>
      </c>
      <c r="J826" t="str">
        <f t="shared" si="51"/>
        <v>Large</v>
      </c>
    </row>
    <row r="827" spans="1:10" x14ac:dyDescent="0.25">
      <c r="A827" t="s">
        <v>23</v>
      </c>
      <c r="B827" t="s">
        <v>10</v>
      </c>
      <c r="C827" t="s">
        <v>16</v>
      </c>
      <c r="D827" s="1">
        <v>44708</v>
      </c>
      <c r="E827" s="2">
        <v>5964</v>
      </c>
      <c r="F827">
        <v>26</v>
      </c>
      <c r="G827" s="2">
        <f t="shared" si="48"/>
        <v>229.38461538461539</v>
      </c>
      <c r="H827" t="str">
        <f t="shared" si="49"/>
        <v>May</v>
      </c>
      <c r="I827" t="str">
        <f t="shared" si="50"/>
        <v>Q2</v>
      </c>
      <c r="J827" t="str">
        <f t="shared" si="51"/>
        <v>Large</v>
      </c>
    </row>
    <row r="828" spans="1:10" x14ac:dyDescent="0.25">
      <c r="A828" t="s">
        <v>14</v>
      </c>
      <c r="B828" t="s">
        <v>15</v>
      </c>
      <c r="C828" t="s">
        <v>32</v>
      </c>
      <c r="D828" s="1">
        <v>44610</v>
      </c>
      <c r="E828" s="2">
        <v>2821</v>
      </c>
      <c r="F828">
        <v>24</v>
      </c>
      <c r="G828" s="2">
        <f t="shared" si="48"/>
        <v>117.54166666666667</v>
      </c>
      <c r="H828" t="str">
        <f t="shared" si="49"/>
        <v>February</v>
      </c>
      <c r="I828" t="str">
        <f t="shared" si="50"/>
        <v>Q1</v>
      </c>
      <c r="J828" t="str">
        <f t="shared" si="51"/>
        <v>Large</v>
      </c>
    </row>
    <row r="829" spans="1:10" x14ac:dyDescent="0.25">
      <c r="A829" t="s">
        <v>23</v>
      </c>
      <c r="B829" t="s">
        <v>10</v>
      </c>
      <c r="C829" t="s">
        <v>39</v>
      </c>
      <c r="D829" s="1">
        <v>44589</v>
      </c>
      <c r="E829" s="2">
        <v>1302</v>
      </c>
      <c r="F829">
        <v>33</v>
      </c>
      <c r="G829" s="2">
        <f t="shared" si="48"/>
        <v>39.454545454545453</v>
      </c>
      <c r="H829" t="str">
        <f t="shared" si="49"/>
        <v>January</v>
      </c>
      <c r="I829" t="str">
        <f t="shared" si="50"/>
        <v>Q1</v>
      </c>
      <c r="J829" t="str">
        <f t="shared" si="51"/>
        <v>Large</v>
      </c>
    </row>
    <row r="830" spans="1:10" x14ac:dyDescent="0.25">
      <c r="A830" t="s">
        <v>9</v>
      </c>
      <c r="B830" t="s">
        <v>7</v>
      </c>
      <c r="C830" t="s">
        <v>30</v>
      </c>
      <c r="D830" s="1">
        <v>44741</v>
      </c>
      <c r="E830" s="2">
        <v>5474</v>
      </c>
      <c r="F830">
        <v>109</v>
      </c>
      <c r="G830" s="2">
        <f t="shared" si="48"/>
        <v>50.220183486238533</v>
      </c>
      <c r="H830" t="str">
        <f t="shared" si="49"/>
        <v>June</v>
      </c>
      <c r="I830" t="str">
        <f t="shared" si="50"/>
        <v>Q2</v>
      </c>
      <c r="J830" t="str">
        <f t="shared" si="51"/>
        <v>Large</v>
      </c>
    </row>
    <row r="831" spans="1:10" x14ac:dyDescent="0.25">
      <c r="A831" t="s">
        <v>46</v>
      </c>
      <c r="B831" t="s">
        <v>10</v>
      </c>
      <c r="C831" t="s">
        <v>57</v>
      </c>
      <c r="D831" s="1">
        <v>44574</v>
      </c>
      <c r="E831" s="2">
        <v>4179</v>
      </c>
      <c r="F831">
        <v>276</v>
      </c>
      <c r="G831" s="2">
        <f t="shared" si="48"/>
        <v>15.141304347826088</v>
      </c>
      <c r="H831" t="str">
        <f t="shared" si="49"/>
        <v>January</v>
      </c>
      <c r="I831" t="str">
        <f t="shared" si="50"/>
        <v>Q1</v>
      </c>
      <c r="J831" t="str">
        <f t="shared" si="51"/>
        <v>Large</v>
      </c>
    </row>
    <row r="832" spans="1:10" x14ac:dyDescent="0.25">
      <c r="A832" t="s">
        <v>6</v>
      </c>
      <c r="B832" t="s">
        <v>7</v>
      </c>
      <c r="C832" t="s">
        <v>20</v>
      </c>
      <c r="D832" s="1">
        <v>44739</v>
      </c>
      <c r="E832" s="2">
        <v>1946</v>
      </c>
      <c r="F832">
        <v>164</v>
      </c>
      <c r="G832" s="2">
        <f t="shared" si="48"/>
        <v>11.865853658536585</v>
      </c>
      <c r="H832" t="str">
        <f t="shared" si="49"/>
        <v>June</v>
      </c>
      <c r="I832" t="str">
        <f t="shared" si="50"/>
        <v>Q2</v>
      </c>
      <c r="J832" t="str">
        <f t="shared" si="51"/>
        <v>Large</v>
      </c>
    </row>
    <row r="833" spans="1:10" x14ac:dyDescent="0.25">
      <c r="A833" t="s">
        <v>25</v>
      </c>
      <c r="B833" t="s">
        <v>29</v>
      </c>
      <c r="C833" t="s">
        <v>44</v>
      </c>
      <c r="D833" s="1">
        <v>44649</v>
      </c>
      <c r="E833" s="2">
        <v>4291</v>
      </c>
      <c r="F833">
        <v>1</v>
      </c>
      <c r="G833" s="2">
        <f t="shared" si="48"/>
        <v>4291</v>
      </c>
      <c r="H833" t="str">
        <f t="shared" si="49"/>
        <v>March</v>
      </c>
      <c r="I833" t="str">
        <f t="shared" si="50"/>
        <v>Q1</v>
      </c>
      <c r="J833" t="str">
        <f t="shared" si="51"/>
        <v>Large</v>
      </c>
    </row>
    <row r="834" spans="1:10" x14ac:dyDescent="0.25">
      <c r="A834" t="s">
        <v>19</v>
      </c>
      <c r="B834" t="s">
        <v>10</v>
      </c>
      <c r="C834" t="s">
        <v>35</v>
      </c>
      <c r="D834" s="1">
        <v>44715</v>
      </c>
      <c r="E834" s="2">
        <v>7196</v>
      </c>
      <c r="F834">
        <v>160</v>
      </c>
      <c r="G834" s="2">
        <f t="shared" si="48"/>
        <v>44.975000000000001</v>
      </c>
      <c r="H834" t="str">
        <f t="shared" si="49"/>
        <v>June</v>
      </c>
      <c r="I834" t="str">
        <f t="shared" si="50"/>
        <v>Q2</v>
      </c>
      <c r="J834" t="str">
        <f t="shared" si="51"/>
        <v>Large</v>
      </c>
    </row>
    <row r="835" spans="1:10" x14ac:dyDescent="0.25">
      <c r="A835" t="s">
        <v>28</v>
      </c>
      <c r="B835" t="s">
        <v>29</v>
      </c>
      <c r="C835" t="s">
        <v>16</v>
      </c>
      <c r="D835" s="1">
        <v>44641</v>
      </c>
      <c r="E835" s="2">
        <v>1939</v>
      </c>
      <c r="F835">
        <v>98</v>
      </c>
      <c r="G835" s="2">
        <f t="shared" ref="G835:G898" si="52">E835/F835</f>
        <v>19.785714285714285</v>
      </c>
      <c r="H835" t="str">
        <f t="shared" ref="H835:H898" si="53">TEXT(D835, "mmmm")</f>
        <v>March</v>
      </c>
      <c r="I835" t="str">
        <f t="shared" ref="I835:I898" si="54">"Q" &amp; ROUNDUP(MONTH(D835)/3,0)</f>
        <v>Q1</v>
      </c>
      <c r="J835" t="str">
        <f t="shared" ref="J835:J898" si="55">IF(E835 &gt; 500, "Large", "Small")</f>
        <v>Large</v>
      </c>
    </row>
    <row r="836" spans="1:10" x14ac:dyDescent="0.25">
      <c r="A836" t="s">
        <v>28</v>
      </c>
      <c r="B836" t="s">
        <v>10</v>
      </c>
      <c r="C836" t="s">
        <v>30</v>
      </c>
      <c r="D836" s="1">
        <v>44663</v>
      </c>
      <c r="E836" s="2">
        <v>10437</v>
      </c>
      <c r="F836">
        <v>46</v>
      </c>
      <c r="G836" s="2">
        <f t="shared" si="52"/>
        <v>226.89130434782609</v>
      </c>
      <c r="H836" t="str">
        <f t="shared" si="53"/>
        <v>April</v>
      </c>
      <c r="I836" t="str">
        <f t="shared" si="54"/>
        <v>Q2</v>
      </c>
      <c r="J836" t="str">
        <f t="shared" si="55"/>
        <v>Large</v>
      </c>
    </row>
    <row r="837" spans="1:10" x14ac:dyDescent="0.25">
      <c r="A837" t="s">
        <v>24</v>
      </c>
      <c r="B837" t="s">
        <v>15</v>
      </c>
      <c r="C837" t="s">
        <v>51</v>
      </c>
      <c r="D837" s="1">
        <v>44580</v>
      </c>
      <c r="E837" s="2">
        <v>6916</v>
      </c>
      <c r="F837">
        <v>259</v>
      </c>
      <c r="G837" s="2">
        <f t="shared" si="52"/>
        <v>26.702702702702702</v>
      </c>
      <c r="H837" t="str">
        <f t="shared" si="53"/>
        <v>January</v>
      </c>
      <c r="I837" t="str">
        <f t="shared" si="54"/>
        <v>Q1</v>
      </c>
      <c r="J837" t="str">
        <f t="shared" si="55"/>
        <v>Large</v>
      </c>
    </row>
    <row r="838" spans="1:10" x14ac:dyDescent="0.25">
      <c r="A838" t="s">
        <v>31</v>
      </c>
      <c r="B838" t="s">
        <v>7</v>
      </c>
      <c r="C838" t="s">
        <v>22</v>
      </c>
      <c r="D838" s="1">
        <v>44657</v>
      </c>
      <c r="E838" s="2">
        <v>3647</v>
      </c>
      <c r="F838">
        <v>310</v>
      </c>
      <c r="G838" s="2">
        <f t="shared" si="52"/>
        <v>11.764516129032257</v>
      </c>
      <c r="H838" t="str">
        <f t="shared" si="53"/>
        <v>April</v>
      </c>
      <c r="I838" t="str">
        <f t="shared" si="54"/>
        <v>Q2</v>
      </c>
      <c r="J838" t="str">
        <f t="shared" si="55"/>
        <v>Large</v>
      </c>
    </row>
    <row r="839" spans="1:10" x14ac:dyDescent="0.25">
      <c r="A839" t="s">
        <v>41</v>
      </c>
      <c r="B839" t="s">
        <v>15</v>
      </c>
      <c r="C839" t="s">
        <v>22</v>
      </c>
      <c r="D839" s="1">
        <v>44775</v>
      </c>
      <c r="E839" s="2">
        <v>8995</v>
      </c>
      <c r="F839">
        <v>78</v>
      </c>
      <c r="G839" s="2">
        <f t="shared" si="52"/>
        <v>115.32051282051282</v>
      </c>
      <c r="H839" t="str">
        <f t="shared" si="53"/>
        <v>August</v>
      </c>
      <c r="I839" t="str">
        <f t="shared" si="54"/>
        <v>Q3</v>
      </c>
      <c r="J839" t="str">
        <f t="shared" si="55"/>
        <v>Large</v>
      </c>
    </row>
    <row r="840" spans="1:10" x14ac:dyDescent="0.25">
      <c r="A840" t="s">
        <v>12</v>
      </c>
      <c r="B840" t="s">
        <v>15</v>
      </c>
      <c r="C840" t="s">
        <v>30</v>
      </c>
      <c r="D840" s="1">
        <v>44663</v>
      </c>
      <c r="E840" s="2">
        <v>7252</v>
      </c>
      <c r="F840">
        <v>136</v>
      </c>
      <c r="G840" s="2">
        <f t="shared" si="52"/>
        <v>53.323529411764703</v>
      </c>
      <c r="H840" t="str">
        <f t="shared" si="53"/>
        <v>April</v>
      </c>
      <c r="I840" t="str">
        <f t="shared" si="54"/>
        <v>Q2</v>
      </c>
      <c r="J840" t="str">
        <f t="shared" si="55"/>
        <v>Large</v>
      </c>
    </row>
    <row r="841" spans="1:10" x14ac:dyDescent="0.25">
      <c r="A841" t="s">
        <v>17</v>
      </c>
      <c r="B841" t="s">
        <v>10</v>
      </c>
      <c r="C841" t="s">
        <v>32</v>
      </c>
      <c r="D841" s="1">
        <v>44763</v>
      </c>
      <c r="E841" s="2">
        <v>16380</v>
      </c>
      <c r="F841">
        <v>130</v>
      </c>
      <c r="G841" s="2">
        <f t="shared" si="52"/>
        <v>126</v>
      </c>
      <c r="H841" t="str">
        <f t="shared" si="53"/>
        <v>July</v>
      </c>
      <c r="I841" t="str">
        <f t="shared" si="54"/>
        <v>Q3</v>
      </c>
      <c r="J841" t="str">
        <f t="shared" si="55"/>
        <v>Large</v>
      </c>
    </row>
    <row r="842" spans="1:10" x14ac:dyDescent="0.25">
      <c r="A842" t="s">
        <v>9</v>
      </c>
      <c r="B842" t="s">
        <v>21</v>
      </c>
      <c r="C842" t="s">
        <v>56</v>
      </c>
      <c r="D842" s="1">
        <v>44642</v>
      </c>
      <c r="E842" s="2">
        <v>9660</v>
      </c>
      <c r="F842">
        <v>24</v>
      </c>
      <c r="G842" s="2">
        <f t="shared" si="52"/>
        <v>402.5</v>
      </c>
      <c r="H842" t="str">
        <f t="shared" si="53"/>
        <v>March</v>
      </c>
      <c r="I842" t="str">
        <f t="shared" si="54"/>
        <v>Q1</v>
      </c>
      <c r="J842" t="str">
        <f t="shared" si="55"/>
        <v>Large</v>
      </c>
    </row>
    <row r="843" spans="1:10" x14ac:dyDescent="0.25">
      <c r="A843" t="s">
        <v>40</v>
      </c>
      <c r="B843" t="s">
        <v>10</v>
      </c>
      <c r="C843" t="s">
        <v>13</v>
      </c>
      <c r="D843" s="1">
        <v>44690</v>
      </c>
      <c r="E843" s="2">
        <v>4522</v>
      </c>
      <c r="F843">
        <v>5</v>
      </c>
      <c r="G843" s="2">
        <f t="shared" si="52"/>
        <v>904.4</v>
      </c>
      <c r="H843" t="str">
        <f t="shared" si="53"/>
        <v>May</v>
      </c>
      <c r="I843" t="str">
        <f t="shared" si="54"/>
        <v>Q2</v>
      </c>
      <c r="J843" t="str">
        <f t="shared" si="55"/>
        <v>Large</v>
      </c>
    </row>
    <row r="844" spans="1:10" x14ac:dyDescent="0.25">
      <c r="A844" t="s">
        <v>48</v>
      </c>
      <c r="B844" t="s">
        <v>15</v>
      </c>
      <c r="C844" t="s">
        <v>56</v>
      </c>
      <c r="D844" s="1">
        <v>44782</v>
      </c>
      <c r="E844" s="2">
        <v>329</v>
      </c>
      <c r="F844">
        <v>109</v>
      </c>
      <c r="G844" s="2">
        <f t="shared" si="52"/>
        <v>3.0183486238532109</v>
      </c>
      <c r="H844" t="str">
        <f t="shared" si="53"/>
        <v>August</v>
      </c>
      <c r="I844" t="str">
        <f t="shared" si="54"/>
        <v>Q3</v>
      </c>
      <c r="J844" t="str">
        <f t="shared" si="55"/>
        <v>Small</v>
      </c>
    </row>
    <row r="845" spans="1:10" x14ac:dyDescent="0.25">
      <c r="A845" t="s">
        <v>53</v>
      </c>
      <c r="B845" t="s">
        <v>29</v>
      </c>
      <c r="C845" t="s">
        <v>52</v>
      </c>
      <c r="D845" s="1">
        <v>44762</v>
      </c>
      <c r="E845" s="2">
        <v>3458</v>
      </c>
      <c r="F845">
        <v>294</v>
      </c>
      <c r="G845" s="2">
        <f t="shared" si="52"/>
        <v>11.761904761904763</v>
      </c>
      <c r="H845" t="str">
        <f t="shared" si="53"/>
        <v>July</v>
      </c>
      <c r="I845" t="str">
        <f t="shared" si="54"/>
        <v>Q3</v>
      </c>
      <c r="J845" t="str">
        <f t="shared" si="55"/>
        <v>Large</v>
      </c>
    </row>
    <row r="846" spans="1:10" x14ac:dyDescent="0.25">
      <c r="A846" t="s">
        <v>23</v>
      </c>
      <c r="B846" t="s">
        <v>10</v>
      </c>
      <c r="C846" t="s">
        <v>58</v>
      </c>
      <c r="D846" s="1">
        <v>44665</v>
      </c>
      <c r="E846" s="2">
        <v>4641</v>
      </c>
      <c r="F846">
        <v>413</v>
      </c>
      <c r="G846" s="2">
        <f t="shared" si="52"/>
        <v>11.23728813559322</v>
      </c>
      <c r="H846" t="str">
        <f t="shared" si="53"/>
        <v>April</v>
      </c>
      <c r="I846" t="str">
        <f t="shared" si="54"/>
        <v>Q2</v>
      </c>
      <c r="J846" t="str">
        <f t="shared" si="55"/>
        <v>Large</v>
      </c>
    </row>
    <row r="847" spans="1:10" x14ac:dyDescent="0.25">
      <c r="A847" t="s">
        <v>6</v>
      </c>
      <c r="B847" t="s">
        <v>29</v>
      </c>
      <c r="C847" t="s">
        <v>44</v>
      </c>
      <c r="D847" s="1">
        <v>44586</v>
      </c>
      <c r="E847" s="2">
        <v>4627</v>
      </c>
      <c r="F847">
        <v>136</v>
      </c>
      <c r="G847" s="2">
        <f t="shared" si="52"/>
        <v>34.022058823529413</v>
      </c>
      <c r="H847" t="str">
        <f t="shared" si="53"/>
        <v>January</v>
      </c>
      <c r="I847" t="str">
        <f t="shared" si="54"/>
        <v>Q1</v>
      </c>
      <c r="J847" t="str">
        <f t="shared" si="55"/>
        <v>Large</v>
      </c>
    </row>
    <row r="848" spans="1:10" x14ac:dyDescent="0.25">
      <c r="A848" t="s">
        <v>48</v>
      </c>
      <c r="B848" t="s">
        <v>15</v>
      </c>
      <c r="C848" t="s">
        <v>47</v>
      </c>
      <c r="D848" s="1">
        <v>44676</v>
      </c>
      <c r="E848" s="2">
        <v>3192</v>
      </c>
      <c r="F848">
        <v>175</v>
      </c>
      <c r="G848" s="2">
        <f t="shared" si="52"/>
        <v>18.239999999999998</v>
      </c>
      <c r="H848" t="str">
        <f t="shared" si="53"/>
        <v>April</v>
      </c>
      <c r="I848" t="str">
        <f t="shared" si="54"/>
        <v>Q2</v>
      </c>
      <c r="J848" t="str">
        <f t="shared" si="55"/>
        <v>Large</v>
      </c>
    </row>
    <row r="849" spans="1:10" x14ac:dyDescent="0.25">
      <c r="A849" t="s">
        <v>54</v>
      </c>
      <c r="B849" t="s">
        <v>29</v>
      </c>
      <c r="C849" t="s">
        <v>20</v>
      </c>
      <c r="D849" s="1">
        <v>44578</v>
      </c>
      <c r="E849" s="2">
        <v>252</v>
      </c>
      <c r="F849">
        <v>237</v>
      </c>
      <c r="G849" s="2">
        <f t="shared" si="52"/>
        <v>1.0632911392405062</v>
      </c>
      <c r="H849" t="str">
        <f t="shared" si="53"/>
        <v>January</v>
      </c>
      <c r="I849" t="str">
        <f t="shared" si="54"/>
        <v>Q1</v>
      </c>
      <c r="J849" t="str">
        <f t="shared" si="55"/>
        <v>Small</v>
      </c>
    </row>
    <row r="850" spans="1:10" x14ac:dyDescent="0.25">
      <c r="A850" t="s">
        <v>31</v>
      </c>
      <c r="B850" t="s">
        <v>26</v>
      </c>
      <c r="C850" t="s">
        <v>30</v>
      </c>
      <c r="D850" s="1">
        <v>44788</v>
      </c>
      <c r="E850" s="2">
        <v>868</v>
      </c>
      <c r="F850">
        <v>125</v>
      </c>
      <c r="G850" s="2">
        <f t="shared" si="52"/>
        <v>6.944</v>
      </c>
      <c r="H850" t="str">
        <f t="shared" si="53"/>
        <v>August</v>
      </c>
      <c r="I850" t="str">
        <f t="shared" si="54"/>
        <v>Q3</v>
      </c>
      <c r="J850" t="str">
        <f t="shared" si="55"/>
        <v>Large</v>
      </c>
    </row>
    <row r="851" spans="1:10" x14ac:dyDescent="0.25">
      <c r="A851" t="s">
        <v>31</v>
      </c>
      <c r="B851" t="s">
        <v>29</v>
      </c>
      <c r="C851" t="s">
        <v>42</v>
      </c>
      <c r="D851" s="1">
        <v>44714</v>
      </c>
      <c r="E851" s="2">
        <v>210</v>
      </c>
      <c r="F851">
        <v>16</v>
      </c>
      <c r="G851" s="2">
        <f t="shared" si="52"/>
        <v>13.125</v>
      </c>
      <c r="H851" t="str">
        <f t="shared" si="53"/>
        <v>June</v>
      </c>
      <c r="I851" t="str">
        <f t="shared" si="54"/>
        <v>Q2</v>
      </c>
      <c r="J851" t="str">
        <f t="shared" si="55"/>
        <v>Small</v>
      </c>
    </row>
    <row r="852" spans="1:10" x14ac:dyDescent="0.25">
      <c r="A852" t="s">
        <v>19</v>
      </c>
      <c r="B852" t="s">
        <v>26</v>
      </c>
      <c r="C852" t="s">
        <v>11</v>
      </c>
      <c r="D852" s="1">
        <v>44742</v>
      </c>
      <c r="E852" s="2">
        <v>7007</v>
      </c>
      <c r="F852">
        <v>135</v>
      </c>
      <c r="G852" s="2">
        <f t="shared" si="52"/>
        <v>51.903703703703705</v>
      </c>
      <c r="H852" t="str">
        <f t="shared" si="53"/>
        <v>June</v>
      </c>
      <c r="I852" t="str">
        <f t="shared" si="54"/>
        <v>Q2</v>
      </c>
      <c r="J852" t="str">
        <f t="shared" si="55"/>
        <v>Large</v>
      </c>
    </row>
    <row r="853" spans="1:10" x14ac:dyDescent="0.25">
      <c r="A853" t="s">
        <v>54</v>
      </c>
      <c r="B853" t="s">
        <v>21</v>
      </c>
      <c r="C853" t="s">
        <v>51</v>
      </c>
      <c r="D853" s="1">
        <v>44602</v>
      </c>
      <c r="E853" s="2">
        <v>5845</v>
      </c>
      <c r="F853">
        <v>91</v>
      </c>
      <c r="G853" s="2">
        <f t="shared" si="52"/>
        <v>64.230769230769226</v>
      </c>
      <c r="H853" t="str">
        <f t="shared" si="53"/>
        <v>February</v>
      </c>
      <c r="I853" t="str">
        <f t="shared" si="54"/>
        <v>Q1</v>
      </c>
      <c r="J853" t="str">
        <f t="shared" si="55"/>
        <v>Large</v>
      </c>
    </row>
    <row r="854" spans="1:10" x14ac:dyDescent="0.25">
      <c r="A854" t="s">
        <v>33</v>
      </c>
      <c r="B854" t="s">
        <v>29</v>
      </c>
      <c r="C854" t="s">
        <v>57</v>
      </c>
      <c r="D854" s="1">
        <v>44615</v>
      </c>
      <c r="E854" s="2">
        <v>1372</v>
      </c>
      <c r="F854">
        <v>614</v>
      </c>
      <c r="G854" s="2">
        <f t="shared" si="52"/>
        <v>2.234527687296417</v>
      </c>
      <c r="H854" t="str">
        <f t="shared" si="53"/>
        <v>February</v>
      </c>
      <c r="I854" t="str">
        <f t="shared" si="54"/>
        <v>Q1</v>
      </c>
      <c r="J854" t="str">
        <f t="shared" si="55"/>
        <v>Large</v>
      </c>
    </row>
    <row r="855" spans="1:10" x14ac:dyDescent="0.25">
      <c r="A855" t="s">
        <v>43</v>
      </c>
      <c r="B855" t="s">
        <v>10</v>
      </c>
      <c r="C855" t="s">
        <v>35</v>
      </c>
      <c r="D855" s="1">
        <v>44588</v>
      </c>
      <c r="E855" s="2">
        <v>8428</v>
      </c>
      <c r="F855">
        <v>216</v>
      </c>
      <c r="G855" s="2">
        <f t="shared" si="52"/>
        <v>39.018518518518519</v>
      </c>
      <c r="H855" t="str">
        <f t="shared" si="53"/>
        <v>January</v>
      </c>
      <c r="I855" t="str">
        <f t="shared" si="54"/>
        <v>Q1</v>
      </c>
      <c r="J855" t="str">
        <f t="shared" si="55"/>
        <v>Large</v>
      </c>
    </row>
    <row r="856" spans="1:10" x14ac:dyDescent="0.25">
      <c r="A856" t="s">
        <v>50</v>
      </c>
      <c r="B856" t="s">
        <v>7</v>
      </c>
      <c r="C856" t="s">
        <v>8</v>
      </c>
      <c r="D856" s="1">
        <v>44707</v>
      </c>
      <c r="E856" s="2">
        <v>4977</v>
      </c>
      <c r="F856">
        <v>317</v>
      </c>
      <c r="G856" s="2">
        <f t="shared" si="52"/>
        <v>15.700315457413248</v>
      </c>
      <c r="H856" t="str">
        <f t="shared" si="53"/>
        <v>May</v>
      </c>
      <c r="I856" t="str">
        <f t="shared" si="54"/>
        <v>Q2</v>
      </c>
      <c r="J856" t="str">
        <f t="shared" si="55"/>
        <v>Large</v>
      </c>
    </row>
    <row r="857" spans="1:10" x14ac:dyDescent="0.25">
      <c r="A857" t="s">
        <v>23</v>
      </c>
      <c r="B857" t="s">
        <v>26</v>
      </c>
      <c r="C857" t="s">
        <v>58</v>
      </c>
      <c r="D857" s="1">
        <v>44665</v>
      </c>
      <c r="E857" s="2">
        <v>1694</v>
      </c>
      <c r="F857">
        <v>21</v>
      </c>
      <c r="G857" s="2">
        <f t="shared" si="52"/>
        <v>80.666666666666671</v>
      </c>
      <c r="H857" t="str">
        <f t="shared" si="53"/>
        <v>April</v>
      </c>
      <c r="I857" t="str">
        <f t="shared" si="54"/>
        <v>Q2</v>
      </c>
      <c r="J857" t="str">
        <f t="shared" si="55"/>
        <v>Large</v>
      </c>
    </row>
    <row r="858" spans="1:10" x14ac:dyDescent="0.25">
      <c r="A858" t="s">
        <v>53</v>
      </c>
      <c r="B858" t="s">
        <v>15</v>
      </c>
      <c r="C858" t="s">
        <v>18</v>
      </c>
      <c r="D858" s="1">
        <v>44774</v>
      </c>
      <c r="E858" s="2">
        <v>4326</v>
      </c>
      <c r="F858">
        <v>154</v>
      </c>
      <c r="G858" s="2">
        <f t="shared" si="52"/>
        <v>28.09090909090909</v>
      </c>
      <c r="H858" t="str">
        <f t="shared" si="53"/>
        <v>August</v>
      </c>
      <c r="I858" t="str">
        <f t="shared" si="54"/>
        <v>Q3</v>
      </c>
      <c r="J858" t="str">
        <f t="shared" si="55"/>
        <v>Large</v>
      </c>
    </row>
    <row r="859" spans="1:10" x14ac:dyDescent="0.25">
      <c r="A859" t="s">
        <v>28</v>
      </c>
      <c r="B859" t="s">
        <v>15</v>
      </c>
      <c r="C859" t="s">
        <v>30</v>
      </c>
      <c r="D859" s="1">
        <v>44795</v>
      </c>
      <c r="E859" s="2">
        <v>9527</v>
      </c>
      <c r="F859">
        <v>222</v>
      </c>
      <c r="G859" s="2">
        <f t="shared" si="52"/>
        <v>42.914414414414416</v>
      </c>
      <c r="H859" t="str">
        <f t="shared" si="53"/>
        <v>August</v>
      </c>
      <c r="I859" t="str">
        <f t="shared" si="54"/>
        <v>Q3</v>
      </c>
      <c r="J859" t="str">
        <f t="shared" si="55"/>
        <v>Large</v>
      </c>
    </row>
    <row r="860" spans="1:10" x14ac:dyDescent="0.25">
      <c r="A860" t="s">
        <v>33</v>
      </c>
      <c r="B860" t="s">
        <v>10</v>
      </c>
      <c r="C860" t="s">
        <v>18</v>
      </c>
      <c r="D860" s="1">
        <v>44764</v>
      </c>
      <c r="E860" s="2">
        <v>10766</v>
      </c>
      <c r="F860">
        <v>157</v>
      </c>
      <c r="G860" s="2">
        <f t="shared" si="52"/>
        <v>68.573248407643305</v>
      </c>
      <c r="H860" t="str">
        <f t="shared" si="53"/>
        <v>July</v>
      </c>
      <c r="I860" t="str">
        <f t="shared" si="54"/>
        <v>Q3</v>
      </c>
      <c r="J860" t="str">
        <f t="shared" si="55"/>
        <v>Large</v>
      </c>
    </row>
    <row r="861" spans="1:10" x14ac:dyDescent="0.25">
      <c r="A861" t="s">
        <v>40</v>
      </c>
      <c r="B861" t="s">
        <v>26</v>
      </c>
      <c r="C861" t="s">
        <v>42</v>
      </c>
      <c r="D861" s="1">
        <v>44679</v>
      </c>
      <c r="E861" s="2">
        <v>1288</v>
      </c>
      <c r="F861">
        <v>27</v>
      </c>
      <c r="G861" s="2">
        <f t="shared" si="52"/>
        <v>47.703703703703702</v>
      </c>
      <c r="H861" t="str">
        <f t="shared" si="53"/>
        <v>April</v>
      </c>
      <c r="I861" t="str">
        <f t="shared" si="54"/>
        <v>Q2</v>
      </c>
      <c r="J861" t="str">
        <f t="shared" si="55"/>
        <v>Large</v>
      </c>
    </row>
    <row r="862" spans="1:10" x14ac:dyDescent="0.25">
      <c r="A862" t="s">
        <v>49</v>
      </c>
      <c r="B862" t="s">
        <v>15</v>
      </c>
      <c r="C862" t="s">
        <v>47</v>
      </c>
      <c r="D862" s="1">
        <v>44711</v>
      </c>
      <c r="E862" s="2">
        <v>4879</v>
      </c>
      <c r="F862">
        <v>350</v>
      </c>
      <c r="G862" s="2">
        <f t="shared" si="52"/>
        <v>13.94</v>
      </c>
      <c r="H862" t="str">
        <f t="shared" si="53"/>
        <v>May</v>
      </c>
      <c r="I862" t="str">
        <f t="shared" si="54"/>
        <v>Q2</v>
      </c>
      <c r="J862" t="str">
        <f t="shared" si="55"/>
        <v>Large</v>
      </c>
    </row>
    <row r="863" spans="1:10" x14ac:dyDescent="0.25">
      <c r="A863" t="s">
        <v>55</v>
      </c>
      <c r="B863" t="s">
        <v>26</v>
      </c>
      <c r="C863" t="s">
        <v>37</v>
      </c>
      <c r="D863" s="1">
        <v>44763</v>
      </c>
      <c r="E863" s="2">
        <v>2408</v>
      </c>
      <c r="F863">
        <v>157</v>
      </c>
      <c r="G863" s="2">
        <f t="shared" si="52"/>
        <v>15.337579617834395</v>
      </c>
      <c r="H863" t="str">
        <f t="shared" si="53"/>
        <v>July</v>
      </c>
      <c r="I863" t="str">
        <f t="shared" si="54"/>
        <v>Q3</v>
      </c>
      <c r="J863" t="str">
        <f t="shared" si="55"/>
        <v>Large</v>
      </c>
    </row>
    <row r="864" spans="1:10" x14ac:dyDescent="0.25">
      <c r="A864" t="s">
        <v>14</v>
      </c>
      <c r="B864" t="s">
        <v>7</v>
      </c>
      <c r="C864" t="s">
        <v>57</v>
      </c>
      <c r="D864" s="1">
        <v>44775</v>
      </c>
      <c r="E864" s="2">
        <v>3094</v>
      </c>
      <c r="F864">
        <v>468</v>
      </c>
      <c r="G864" s="2">
        <f t="shared" si="52"/>
        <v>6.6111111111111107</v>
      </c>
      <c r="H864" t="str">
        <f t="shared" si="53"/>
        <v>August</v>
      </c>
      <c r="I864" t="str">
        <f t="shared" si="54"/>
        <v>Q3</v>
      </c>
      <c r="J864" t="str">
        <f t="shared" si="55"/>
        <v>Large</v>
      </c>
    </row>
    <row r="865" spans="1:10" x14ac:dyDescent="0.25">
      <c r="A865" t="s">
        <v>23</v>
      </c>
      <c r="B865" t="s">
        <v>21</v>
      </c>
      <c r="C865" t="s">
        <v>58</v>
      </c>
      <c r="D865" s="1">
        <v>44727</v>
      </c>
      <c r="E865" s="2">
        <v>7231</v>
      </c>
      <c r="F865">
        <v>130</v>
      </c>
      <c r="G865" s="2">
        <f t="shared" si="52"/>
        <v>55.623076923076923</v>
      </c>
      <c r="H865" t="str">
        <f t="shared" si="53"/>
        <v>June</v>
      </c>
      <c r="I865" t="str">
        <f t="shared" si="54"/>
        <v>Q2</v>
      </c>
      <c r="J865" t="str">
        <f t="shared" si="55"/>
        <v>Large</v>
      </c>
    </row>
    <row r="866" spans="1:10" x14ac:dyDescent="0.25">
      <c r="A866" t="s">
        <v>17</v>
      </c>
      <c r="B866" t="s">
        <v>10</v>
      </c>
      <c r="C866" t="s">
        <v>11</v>
      </c>
      <c r="D866" s="1">
        <v>44747</v>
      </c>
      <c r="E866" s="2">
        <v>8981</v>
      </c>
      <c r="F866">
        <v>130</v>
      </c>
      <c r="G866" s="2">
        <f t="shared" si="52"/>
        <v>69.08461538461539</v>
      </c>
      <c r="H866" t="str">
        <f t="shared" si="53"/>
        <v>July</v>
      </c>
      <c r="I866" t="str">
        <f t="shared" si="54"/>
        <v>Q3</v>
      </c>
      <c r="J866" t="str">
        <f t="shared" si="55"/>
        <v>Large</v>
      </c>
    </row>
    <row r="867" spans="1:10" x14ac:dyDescent="0.25">
      <c r="A867" t="s">
        <v>41</v>
      </c>
      <c r="B867" t="s">
        <v>21</v>
      </c>
      <c r="C867" t="s">
        <v>16</v>
      </c>
      <c r="D867" s="1">
        <v>44663</v>
      </c>
      <c r="E867" s="2">
        <v>7</v>
      </c>
      <c r="F867">
        <v>518</v>
      </c>
      <c r="G867" s="2">
        <f t="shared" si="52"/>
        <v>1.3513513513513514E-2</v>
      </c>
      <c r="H867" t="str">
        <f t="shared" si="53"/>
        <v>April</v>
      </c>
      <c r="I867" t="str">
        <f t="shared" si="54"/>
        <v>Q2</v>
      </c>
      <c r="J867" t="str">
        <f t="shared" si="55"/>
        <v>Small</v>
      </c>
    </row>
    <row r="868" spans="1:10" x14ac:dyDescent="0.25">
      <c r="A868" t="s">
        <v>12</v>
      </c>
      <c r="B868" t="s">
        <v>15</v>
      </c>
      <c r="C868" t="s">
        <v>58</v>
      </c>
      <c r="D868" s="1">
        <v>44791</v>
      </c>
      <c r="E868" s="2">
        <v>1372</v>
      </c>
      <c r="F868">
        <v>105</v>
      </c>
      <c r="G868" s="2">
        <f t="shared" si="52"/>
        <v>13.066666666666666</v>
      </c>
      <c r="H868" t="str">
        <f t="shared" si="53"/>
        <v>August</v>
      </c>
      <c r="I868" t="str">
        <f t="shared" si="54"/>
        <v>Q3</v>
      </c>
      <c r="J868" t="str">
        <f t="shared" si="55"/>
        <v>Large</v>
      </c>
    </row>
    <row r="869" spans="1:10" x14ac:dyDescent="0.25">
      <c r="A869" t="s">
        <v>14</v>
      </c>
      <c r="B869" t="s">
        <v>7</v>
      </c>
      <c r="C869" t="s">
        <v>22</v>
      </c>
      <c r="D869" s="1">
        <v>44573</v>
      </c>
      <c r="E869" s="2">
        <v>5250</v>
      </c>
      <c r="F869">
        <v>293</v>
      </c>
      <c r="G869" s="2">
        <f t="shared" si="52"/>
        <v>17.918088737201366</v>
      </c>
      <c r="H869" t="str">
        <f t="shared" si="53"/>
        <v>January</v>
      </c>
      <c r="I869" t="str">
        <f t="shared" si="54"/>
        <v>Q1</v>
      </c>
      <c r="J869" t="str">
        <f t="shared" si="55"/>
        <v>Large</v>
      </c>
    </row>
    <row r="870" spans="1:10" x14ac:dyDescent="0.25">
      <c r="A870" t="s">
        <v>19</v>
      </c>
      <c r="B870" t="s">
        <v>29</v>
      </c>
      <c r="C870" t="s">
        <v>44</v>
      </c>
      <c r="D870" s="1">
        <v>44784</v>
      </c>
      <c r="E870" s="2">
        <v>7560</v>
      </c>
      <c r="F870">
        <v>15</v>
      </c>
      <c r="G870" s="2">
        <f t="shared" si="52"/>
        <v>504</v>
      </c>
      <c r="H870" t="str">
        <f t="shared" si="53"/>
        <v>August</v>
      </c>
      <c r="I870" t="str">
        <f t="shared" si="54"/>
        <v>Q3</v>
      </c>
      <c r="J870" t="str">
        <f t="shared" si="55"/>
        <v>Large</v>
      </c>
    </row>
    <row r="871" spans="1:10" x14ac:dyDescent="0.25">
      <c r="A871" t="s">
        <v>6</v>
      </c>
      <c r="B871" t="s">
        <v>15</v>
      </c>
      <c r="C871" t="s">
        <v>39</v>
      </c>
      <c r="D871" s="1">
        <v>44574</v>
      </c>
      <c r="E871" s="2">
        <v>5012</v>
      </c>
      <c r="F871">
        <v>384</v>
      </c>
      <c r="G871" s="2">
        <f t="shared" si="52"/>
        <v>13.052083333333334</v>
      </c>
      <c r="H871" t="str">
        <f t="shared" si="53"/>
        <v>January</v>
      </c>
      <c r="I871" t="str">
        <f t="shared" si="54"/>
        <v>Q1</v>
      </c>
      <c r="J871" t="str">
        <f t="shared" si="55"/>
        <v>Large</v>
      </c>
    </row>
    <row r="872" spans="1:10" x14ac:dyDescent="0.25">
      <c r="A872" t="s">
        <v>40</v>
      </c>
      <c r="B872" t="s">
        <v>7</v>
      </c>
      <c r="C872" t="s">
        <v>56</v>
      </c>
      <c r="D872" s="1">
        <v>44680</v>
      </c>
      <c r="E872" s="2">
        <v>3038</v>
      </c>
      <c r="F872">
        <v>135</v>
      </c>
      <c r="G872" s="2">
        <f t="shared" si="52"/>
        <v>22.503703703703703</v>
      </c>
      <c r="H872" t="str">
        <f t="shared" si="53"/>
        <v>April</v>
      </c>
      <c r="I872" t="str">
        <f t="shared" si="54"/>
        <v>Q2</v>
      </c>
      <c r="J872" t="str">
        <f t="shared" si="55"/>
        <v>Large</v>
      </c>
    </row>
    <row r="873" spans="1:10" x14ac:dyDescent="0.25">
      <c r="A873" t="s">
        <v>24</v>
      </c>
      <c r="B873" t="s">
        <v>21</v>
      </c>
      <c r="C873" t="s">
        <v>20</v>
      </c>
      <c r="D873" s="1">
        <v>44749</v>
      </c>
      <c r="E873" s="2">
        <v>1099</v>
      </c>
      <c r="F873">
        <v>92</v>
      </c>
      <c r="G873" s="2">
        <f t="shared" si="52"/>
        <v>11.945652173913043</v>
      </c>
      <c r="H873" t="str">
        <f t="shared" si="53"/>
        <v>July</v>
      </c>
      <c r="I873" t="str">
        <f t="shared" si="54"/>
        <v>Q3</v>
      </c>
      <c r="J873" t="str">
        <f t="shared" si="55"/>
        <v>Large</v>
      </c>
    </row>
    <row r="874" spans="1:10" x14ac:dyDescent="0.25">
      <c r="A874" t="s">
        <v>53</v>
      </c>
      <c r="B874" t="s">
        <v>21</v>
      </c>
      <c r="C874" t="s">
        <v>8</v>
      </c>
      <c r="D874" s="1">
        <v>44631</v>
      </c>
      <c r="E874" s="2">
        <v>7413</v>
      </c>
      <c r="F874">
        <v>4</v>
      </c>
      <c r="G874" s="2">
        <f t="shared" si="52"/>
        <v>1853.25</v>
      </c>
      <c r="H874" t="str">
        <f t="shared" si="53"/>
        <v>March</v>
      </c>
      <c r="I874" t="str">
        <f t="shared" si="54"/>
        <v>Q1</v>
      </c>
      <c r="J874" t="str">
        <f t="shared" si="55"/>
        <v>Large</v>
      </c>
    </row>
    <row r="875" spans="1:10" x14ac:dyDescent="0.25">
      <c r="A875" t="s">
        <v>53</v>
      </c>
      <c r="B875" t="s">
        <v>7</v>
      </c>
      <c r="C875" t="s">
        <v>58</v>
      </c>
      <c r="D875" s="1">
        <v>44608</v>
      </c>
      <c r="E875" s="2">
        <v>5397</v>
      </c>
      <c r="F875">
        <v>239</v>
      </c>
      <c r="G875" s="2">
        <f t="shared" si="52"/>
        <v>22.581589958158997</v>
      </c>
      <c r="H875" t="str">
        <f t="shared" si="53"/>
        <v>February</v>
      </c>
      <c r="I875" t="str">
        <f t="shared" si="54"/>
        <v>Q1</v>
      </c>
      <c r="J875" t="str">
        <f t="shared" si="55"/>
        <v>Large</v>
      </c>
    </row>
    <row r="876" spans="1:10" x14ac:dyDescent="0.25">
      <c r="A876" t="s">
        <v>25</v>
      </c>
      <c r="B876" t="s">
        <v>15</v>
      </c>
      <c r="C876" t="s">
        <v>35</v>
      </c>
      <c r="D876" s="1">
        <v>44568</v>
      </c>
      <c r="E876" s="2">
        <v>2303</v>
      </c>
      <c r="F876">
        <v>33</v>
      </c>
      <c r="G876" s="2">
        <f t="shared" si="52"/>
        <v>69.787878787878782</v>
      </c>
      <c r="H876" t="str">
        <f t="shared" si="53"/>
        <v>January</v>
      </c>
      <c r="I876" t="str">
        <f t="shared" si="54"/>
        <v>Q1</v>
      </c>
      <c r="J876" t="str">
        <f t="shared" si="55"/>
        <v>Large</v>
      </c>
    </row>
    <row r="877" spans="1:10" x14ac:dyDescent="0.25">
      <c r="A877" t="s">
        <v>34</v>
      </c>
      <c r="B877" t="s">
        <v>21</v>
      </c>
      <c r="C877" t="s">
        <v>32</v>
      </c>
      <c r="D877" s="1">
        <v>44573</v>
      </c>
      <c r="E877" s="2">
        <v>1141</v>
      </c>
      <c r="F877">
        <v>518</v>
      </c>
      <c r="G877" s="2">
        <f t="shared" si="52"/>
        <v>2.2027027027027026</v>
      </c>
      <c r="H877" t="str">
        <f t="shared" si="53"/>
        <v>January</v>
      </c>
      <c r="I877" t="str">
        <f t="shared" si="54"/>
        <v>Q1</v>
      </c>
      <c r="J877" t="str">
        <f t="shared" si="55"/>
        <v>Large</v>
      </c>
    </row>
    <row r="878" spans="1:10" x14ac:dyDescent="0.25">
      <c r="A878" t="s">
        <v>34</v>
      </c>
      <c r="B878" t="s">
        <v>10</v>
      </c>
      <c r="C878" t="s">
        <v>30</v>
      </c>
      <c r="D878" s="1">
        <v>44721</v>
      </c>
      <c r="E878" s="2">
        <v>10325</v>
      </c>
      <c r="F878">
        <v>147</v>
      </c>
      <c r="G878" s="2">
        <f t="shared" si="52"/>
        <v>70.238095238095241</v>
      </c>
      <c r="H878" t="str">
        <f t="shared" si="53"/>
        <v>June</v>
      </c>
      <c r="I878" t="str">
        <f t="shared" si="54"/>
        <v>Q2</v>
      </c>
      <c r="J878" t="str">
        <f t="shared" si="55"/>
        <v>Large</v>
      </c>
    </row>
    <row r="879" spans="1:10" x14ac:dyDescent="0.25">
      <c r="A879" t="s">
        <v>48</v>
      </c>
      <c r="B879" t="s">
        <v>10</v>
      </c>
      <c r="C879" t="s">
        <v>30</v>
      </c>
      <c r="D879" s="1">
        <v>44697</v>
      </c>
      <c r="E879" s="2">
        <v>2149</v>
      </c>
      <c r="F879">
        <v>84</v>
      </c>
      <c r="G879" s="2">
        <f t="shared" si="52"/>
        <v>25.583333333333332</v>
      </c>
      <c r="H879" t="str">
        <f t="shared" si="53"/>
        <v>May</v>
      </c>
      <c r="I879" t="str">
        <f t="shared" si="54"/>
        <v>Q2</v>
      </c>
      <c r="J879" t="str">
        <f t="shared" si="55"/>
        <v>Large</v>
      </c>
    </row>
    <row r="880" spans="1:10" x14ac:dyDescent="0.25">
      <c r="A880" t="s">
        <v>12</v>
      </c>
      <c r="B880" t="s">
        <v>7</v>
      </c>
      <c r="C880" t="s">
        <v>11</v>
      </c>
      <c r="D880" s="1">
        <v>44735</v>
      </c>
      <c r="E880" s="2">
        <v>12362</v>
      </c>
      <c r="F880">
        <v>94</v>
      </c>
      <c r="G880" s="2">
        <f t="shared" si="52"/>
        <v>131.51063829787233</v>
      </c>
      <c r="H880" t="str">
        <f t="shared" si="53"/>
        <v>June</v>
      </c>
      <c r="I880" t="str">
        <f t="shared" si="54"/>
        <v>Q2</v>
      </c>
      <c r="J880" t="str">
        <f t="shared" si="55"/>
        <v>Large</v>
      </c>
    </row>
    <row r="881" spans="1:10" x14ac:dyDescent="0.25">
      <c r="A881" t="s">
        <v>36</v>
      </c>
      <c r="B881" t="s">
        <v>7</v>
      </c>
      <c r="C881" t="s">
        <v>51</v>
      </c>
      <c r="D881" s="1">
        <v>44589</v>
      </c>
      <c r="E881" s="2">
        <v>12635</v>
      </c>
      <c r="F881">
        <v>194</v>
      </c>
      <c r="G881" s="2">
        <f t="shared" si="52"/>
        <v>65.128865979381445</v>
      </c>
      <c r="H881" t="str">
        <f t="shared" si="53"/>
        <v>January</v>
      </c>
      <c r="I881" t="str">
        <f t="shared" si="54"/>
        <v>Q1</v>
      </c>
      <c r="J881" t="str">
        <f t="shared" si="55"/>
        <v>Large</v>
      </c>
    </row>
    <row r="882" spans="1:10" x14ac:dyDescent="0.25">
      <c r="A882" t="s">
        <v>54</v>
      </c>
      <c r="B882" t="s">
        <v>7</v>
      </c>
      <c r="C882" t="s">
        <v>8</v>
      </c>
      <c r="D882" s="1">
        <v>44756</v>
      </c>
      <c r="E882" s="2">
        <v>2443</v>
      </c>
      <c r="F882">
        <v>216</v>
      </c>
      <c r="G882" s="2">
        <f t="shared" si="52"/>
        <v>11.310185185185185</v>
      </c>
      <c r="H882" t="str">
        <f t="shared" si="53"/>
        <v>July</v>
      </c>
      <c r="I882" t="str">
        <f t="shared" si="54"/>
        <v>Q3</v>
      </c>
      <c r="J882" t="str">
        <f t="shared" si="55"/>
        <v>Large</v>
      </c>
    </row>
    <row r="883" spans="1:10" x14ac:dyDescent="0.25">
      <c r="A883" t="s">
        <v>25</v>
      </c>
      <c r="B883" t="s">
        <v>29</v>
      </c>
      <c r="C883" t="s">
        <v>32</v>
      </c>
      <c r="D883" s="1">
        <v>44669</v>
      </c>
      <c r="E883" s="2">
        <v>6237</v>
      </c>
      <c r="F883">
        <v>247</v>
      </c>
      <c r="G883" s="2">
        <f t="shared" si="52"/>
        <v>25.251012145748987</v>
      </c>
      <c r="H883" t="str">
        <f t="shared" si="53"/>
        <v>April</v>
      </c>
      <c r="I883" t="str">
        <f t="shared" si="54"/>
        <v>Q2</v>
      </c>
      <c r="J883" t="str">
        <f t="shared" si="55"/>
        <v>Large</v>
      </c>
    </row>
    <row r="884" spans="1:10" x14ac:dyDescent="0.25">
      <c r="A884" t="s">
        <v>17</v>
      </c>
      <c r="B884" t="s">
        <v>26</v>
      </c>
      <c r="C884" t="s">
        <v>37</v>
      </c>
      <c r="D884" s="1">
        <v>44726</v>
      </c>
      <c r="E884" s="2">
        <v>1736</v>
      </c>
      <c r="F884">
        <v>79</v>
      </c>
      <c r="G884" s="2">
        <f t="shared" si="52"/>
        <v>21.974683544303797</v>
      </c>
      <c r="H884" t="str">
        <f t="shared" si="53"/>
        <v>June</v>
      </c>
      <c r="I884" t="str">
        <f t="shared" si="54"/>
        <v>Q2</v>
      </c>
      <c r="J884" t="str">
        <f t="shared" si="55"/>
        <v>Large</v>
      </c>
    </row>
    <row r="885" spans="1:10" x14ac:dyDescent="0.25">
      <c r="A885" t="s">
        <v>17</v>
      </c>
      <c r="B885" t="s">
        <v>7</v>
      </c>
      <c r="C885" t="s">
        <v>27</v>
      </c>
      <c r="D885" s="1">
        <v>44666</v>
      </c>
      <c r="E885" s="2">
        <v>7315</v>
      </c>
      <c r="F885">
        <v>237</v>
      </c>
      <c r="G885" s="2">
        <f t="shared" si="52"/>
        <v>30.864978902953588</v>
      </c>
      <c r="H885" t="str">
        <f t="shared" si="53"/>
        <v>April</v>
      </c>
      <c r="I885" t="str">
        <f t="shared" si="54"/>
        <v>Q2</v>
      </c>
      <c r="J885" t="str">
        <f t="shared" si="55"/>
        <v>Large</v>
      </c>
    </row>
    <row r="886" spans="1:10" x14ac:dyDescent="0.25">
      <c r="A886" t="s">
        <v>38</v>
      </c>
      <c r="B886" t="s">
        <v>29</v>
      </c>
      <c r="C886" t="s">
        <v>13</v>
      </c>
      <c r="D886" s="1">
        <v>44700</v>
      </c>
      <c r="E886" s="2">
        <v>4935</v>
      </c>
      <c r="F886">
        <v>63</v>
      </c>
      <c r="G886" s="2">
        <f t="shared" si="52"/>
        <v>78.333333333333329</v>
      </c>
      <c r="H886" t="str">
        <f t="shared" si="53"/>
        <v>May</v>
      </c>
      <c r="I886" t="str">
        <f t="shared" si="54"/>
        <v>Q2</v>
      </c>
      <c r="J886" t="str">
        <f t="shared" si="55"/>
        <v>Large</v>
      </c>
    </row>
    <row r="887" spans="1:10" x14ac:dyDescent="0.25">
      <c r="A887" t="s">
        <v>12</v>
      </c>
      <c r="B887" t="s">
        <v>10</v>
      </c>
      <c r="C887" t="s">
        <v>44</v>
      </c>
      <c r="D887" s="1">
        <v>44664</v>
      </c>
      <c r="E887" s="2">
        <v>1393</v>
      </c>
      <c r="F887">
        <v>172</v>
      </c>
      <c r="G887" s="2">
        <f t="shared" si="52"/>
        <v>8.0988372093023262</v>
      </c>
      <c r="H887" t="str">
        <f t="shared" si="53"/>
        <v>April</v>
      </c>
      <c r="I887" t="str">
        <f t="shared" si="54"/>
        <v>Q2</v>
      </c>
      <c r="J887" t="str">
        <f t="shared" si="55"/>
        <v>Large</v>
      </c>
    </row>
    <row r="888" spans="1:10" x14ac:dyDescent="0.25">
      <c r="A888" t="s">
        <v>40</v>
      </c>
      <c r="B888" t="s">
        <v>29</v>
      </c>
      <c r="C888" t="s">
        <v>52</v>
      </c>
      <c r="D888" s="1">
        <v>44788</v>
      </c>
      <c r="E888" s="2">
        <v>3381</v>
      </c>
      <c r="F888">
        <v>408</v>
      </c>
      <c r="G888" s="2">
        <f t="shared" si="52"/>
        <v>8.2867647058823533</v>
      </c>
      <c r="H888" t="str">
        <f t="shared" si="53"/>
        <v>August</v>
      </c>
      <c r="I888" t="str">
        <f t="shared" si="54"/>
        <v>Q3</v>
      </c>
      <c r="J888" t="str">
        <f t="shared" si="55"/>
        <v>Large</v>
      </c>
    </row>
    <row r="889" spans="1:10" x14ac:dyDescent="0.25">
      <c r="A889" t="s">
        <v>46</v>
      </c>
      <c r="B889" t="s">
        <v>10</v>
      </c>
      <c r="C889" t="s">
        <v>52</v>
      </c>
      <c r="D889" s="1">
        <v>44795</v>
      </c>
      <c r="E889" s="2">
        <v>2933</v>
      </c>
      <c r="F889">
        <v>233</v>
      </c>
      <c r="G889" s="2">
        <f t="shared" si="52"/>
        <v>12.587982832618026</v>
      </c>
      <c r="H889" t="str">
        <f t="shared" si="53"/>
        <v>August</v>
      </c>
      <c r="I889" t="str">
        <f t="shared" si="54"/>
        <v>Q3</v>
      </c>
      <c r="J889" t="str">
        <f t="shared" si="55"/>
        <v>Large</v>
      </c>
    </row>
    <row r="890" spans="1:10" x14ac:dyDescent="0.25">
      <c r="A890" t="s">
        <v>46</v>
      </c>
      <c r="B890" t="s">
        <v>21</v>
      </c>
      <c r="C890" t="s">
        <v>56</v>
      </c>
      <c r="D890" s="1">
        <v>44673</v>
      </c>
      <c r="E890" s="2">
        <v>3836</v>
      </c>
      <c r="F890">
        <v>59</v>
      </c>
      <c r="G890" s="2">
        <f t="shared" si="52"/>
        <v>65.016949152542367</v>
      </c>
      <c r="H890" t="str">
        <f t="shared" si="53"/>
        <v>April</v>
      </c>
      <c r="I890" t="str">
        <f t="shared" si="54"/>
        <v>Q2</v>
      </c>
      <c r="J890" t="str">
        <f t="shared" si="55"/>
        <v>Large</v>
      </c>
    </row>
    <row r="891" spans="1:10" x14ac:dyDescent="0.25">
      <c r="A891" t="s">
        <v>41</v>
      </c>
      <c r="B891" t="s">
        <v>7</v>
      </c>
      <c r="C891" t="s">
        <v>52</v>
      </c>
      <c r="D891" s="1">
        <v>44776</v>
      </c>
      <c r="E891" s="2">
        <v>8022</v>
      </c>
      <c r="F891">
        <v>123</v>
      </c>
      <c r="G891" s="2">
        <f t="shared" si="52"/>
        <v>65.219512195121951</v>
      </c>
      <c r="H891" t="str">
        <f t="shared" si="53"/>
        <v>August</v>
      </c>
      <c r="I891" t="str">
        <f t="shared" si="54"/>
        <v>Q3</v>
      </c>
      <c r="J891" t="str">
        <f t="shared" si="55"/>
        <v>Large</v>
      </c>
    </row>
    <row r="892" spans="1:10" x14ac:dyDescent="0.25">
      <c r="A892" t="s">
        <v>43</v>
      </c>
      <c r="B892" t="s">
        <v>21</v>
      </c>
      <c r="C892" t="s">
        <v>35</v>
      </c>
      <c r="D892" s="1">
        <v>44565</v>
      </c>
      <c r="E892" s="2">
        <v>371</v>
      </c>
      <c r="F892">
        <v>229</v>
      </c>
      <c r="G892" s="2">
        <f t="shared" si="52"/>
        <v>1.6200873362445414</v>
      </c>
      <c r="H892" t="str">
        <f t="shared" si="53"/>
        <v>January</v>
      </c>
      <c r="I892" t="str">
        <f t="shared" si="54"/>
        <v>Q1</v>
      </c>
      <c r="J892" t="str">
        <f t="shared" si="55"/>
        <v>Small</v>
      </c>
    </row>
    <row r="893" spans="1:10" x14ac:dyDescent="0.25">
      <c r="A893" t="s">
        <v>49</v>
      </c>
      <c r="B893" t="s">
        <v>29</v>
      </c>
      <c r="C893" t="s">
        <v>20</v>
      </c>
      <c r="D893" s="1">
        <v>44574</v>
      </c>
      <c r="E893" s="2">
        <v>16702</v>
      </c>
      <c r="F893">
        <v>198</v>
      </c>
      <c r="G893" s="2">
        <f t="shared" si="52"/>
        <v>84.353535353535349</v>
      </c>
      <c r="H893" t="str">
        <f t="shared" si="53"/>
        <v>January</v>
      </c>
      <c r="I893" t="str">
        <f t="shared" si="54"/>
        <v>Q1</v>
      </c>
      <c r="J893" t="str">
        <f t="shared" si="55"/>
        <v>Large</v>
      </c>
    </row>
    <row r="894" spans="1:10" x14ac:dyDescent="0.25">
      <c r="A894" t="s">
        <v>9</v>
      </c>
      <c r="B894" t="s">
        <v>15</v>
      </c>
      <c r="C894" t="s">
        <v>56</v>
      </c>
      <c r="D894" s="1">
        <v>44692</v>
      </c>
      <c r="E894" s="2">
        <v>13258</v>
      </c>
      <c r="F894">
        <v>32</v>
      </c>
      <c r="G894" s="2">
        <f t="shared" si="52"/>
        <v>414.3125</v>
      </c>
      <c r="H894" t="str">
        <f t="shared" si="53"/>
        <v>May</v>
      </c>
      <c r="I894" t="str">
        <f t="shared" si="54"/>
        <v>Q2</v>
      </c>
      <c r="J894" t="str">
        <f t="shared" si="55"/>
        <v>Large</v>
      </c>
    </row>
    <row r="895" spans="1:10" x14ac:dyDescent="0.25">
      <c r="A895" t="s">
        <v>40</v>
      </c>
      <c r="B895" t="s">
        <v>21</v>
      </c>
      <c r="C895" t="s">
        <v>13</v>
      </c>
      <c r="D895" s="1">
        <v>44608</v>
      </c>
      <c r="E895" s="2">
        <v>2058</v>
      </c>
      <c r="F895">
        <v>236</v>
      </c>
      <c r="G895" s="2">
        <f t="shared" si="52"/>
        <v>8.7203389830508478</v>
      </c>
      <c r="H895" t="str">
        <f t="shared" si="53"/>
        <v>February</v>
      </c>
      <c r="I895" t="str">
        <f t="shared" si="54"/>
        <v>Q1</v>
      </c>
      <c r="J895" t="str">
        <f t="shared" si="55"/>
        <v>Large</v>
      </c>
    </row>
    <row r="896" spans="1:10" x14ac:dyDescent="0.25">
      <c r="A896" t="s">
        <v>41</v>
      </c>
      <c r="B896" t="s">
        <v>7</v>
      </c>
      <c r="C896" t="s">
        <v>57</v>
      </c>
      <c r="D896" s="1">
        <v>44701</v>
      </c>
      <c r="E896" s="2">
        <v>10192</v>
      </c>
      <c r="F896">
        <v>67</v>
      </c>
      <c r="G896" s="2">
        <f t="shared" si="52"/>
        <v>152.11940298507463</v>
      </c>
      <c r="H896" t="str">
        <f t="shared" si="53"/>
        <v>May</v>
      </c>
      <c r="I896" t="str">
        <f t="shared" si="54"/>
        <v>Q2</v>
      </c>
      <c r="J896" t="str">
        <f t="shared" si="55"/>
        <v>Large</v>
      </c>
    </row>
    <row r="897" spans="1:10" x14ac:dyDescent="0.25">
      <c r="A897" t="s">
        <v>6</v>
      </c>
      <c r="B897" t="s">
        <v>7</v>
      </c>
      <c r="C897" t="s">
        <v>32</v>
      </c>
      <c r="D897" s="1">
        <v>44595</v>
      </c>
      <c r="E897" s="2">
        <v>7140</v>
      </c>
      <c r="F897">
        <v>438</v>
      </c>
      <c r="G897" s="2">
        <f t="shared" si="52"/>
        <v>16.301369863013697</v>
      </c>
      <c r="H897" t="str">
        <f t="shared" si="53"/>
        <v>February</v>
      </c>
      <c r="I897" t="str">
        <f t="shared" si="54"/>
        <v>Q1</v>
      </c>
      <c r="J897" t="str">
        <f t="shared" si="55"/>
        <v>Large</v>
      </c>
    </row>
    <row r="898" spans="1:10" x14ac:dyDescent="0.25">
      <c r="A898" t="s">
        <v>34</v>
      </c>
      <c r="B898" t="s">
        <v>10</v>
      </c>
      <c r="C898" t="s">
        <v>45</v>
      </c>
      <c r="D898" s="1">
        <v>44687</v>
      </c>
      <c r="E898" s="2">
        <v>9835</v>
      </c>
      <c r="F898">
        <v>167</v>
      </c>
      <c r="G898" s="2">
        <f t="shared" si="52"/>
        <v>58.892215568862277</v>
      </c>
      <c r="H898" t="str">
        <f t="shared" si="53"/>
        <v>May</v>
      </c>
      <c r="I898" t="str">
        <f t="shared" si="54"/>
        <v>Q2</v>
      </c>
      <c r="J898" t="str">
        <f t="shared" si="55"/>
        <v>Large</v>
      </c>
    </row>
    <row r="899" spans="1:10" x14ac:dyDescent="0.25">
      <c r="A899" t="s">
        <v>19</v>
      </c>
      <c r="B899" t="s">
        <v>7</v>
      </c>
      <c r="C899" t="s">
        <v>52</v>
      </c>
      <c r="D899" s="1">
        <v>44742</v>
      </c>
      <c r="E899" s="2">
        <v>5775</v>
      </c>
      <c r="F899">
        <v>135</v>
      </c>
      <c r="G899" s="2">
        <f t="shared" ref="G899:G962" si="56">E899/F899</f>
        <v>42.777777777777779</v>
      </c>
      <c r="H899" t="str">
        <f t="shared" ref="H899:H962" si="57">TEXT(D899, "mmmm")</f>
        <v>June</v>
      </c>
      <c r="I899" t="str">
        <f t="shared" ref="I899:I962" si="58">"Q" &amp; ROUNDUP(MONTH(D899)/3,0)</f>
        <v>Q2</v>
      </c>
      <c r="J899" t="str">
        <f t="shared" ref="J899:J962" si="59">IF(E899 &gt; 500, "Large", "Small")</f>
        <v>Large</v>
      </c>
    </row>
    <row r="900" spans="1:10" x14ac:dyDescent="0.25">
      <c r="A900" t="s">
        <v>19</v>
      </c>
      <c r="B900" t="s">
        <v>7</v>
      </c>
      <c r="C900" t="s">
        <v>16</v>
      </c>
      <c r="D900" s="1">
        <v>44642</v>
      </c>
      <c r="E900" s="2">
        <v>749</v>
      </c>
      <c r="F900">
        <v>148</v>
      </c>
      <c r="G900" s="2">
        <f t="shared" si="56"/>
        <v>5.0608108108108105</v>
      </c>
      <c r="H900" t="str">
        <f t="shared" si="57"/>
        <v>March</v>
      </c>
      <c r="I900" t="str">
        <f t="shared" si="58"/>
        <v>Q1</v>
      </c>
      <c r="J900" t="str">
        <f t="shared" si="59"/>
        <v>Large</v>
      </c>
    </row>
    <row r="901" spans="1:10" x14ac:dyDescent="0.25">
      <c r="A901" t="s">
        <v>50</v>
      </c>
      <c r="B901" t="s">
        <v>29</v>
      </c>
      <c r="C901" t="s">
        <v>27</v>
      </c>
      <c r="D901" s="1">
        <v>44609</v>
      </c>
      <c r="E901" s="2">
        <v>7770</v>
      </c>
      <c r="F901">
        <v>54</v>
      </c>
      <c r="G901" s="2">
        <f t="shared" si="56"/>
        <v>143.88888888888889</v>
      </c>
      <c r="H901" t="str">
        <f t="shared" si="57"/>
        <v>February</v>
      </c>
      <c r="I901" t="str">
        <f t="shared" si="58"/>
        <v>Q1</v>
      </c>
      <c r="J901" t="str">
        <f t="shared" si="59"/>
        <v>Large</v>
      </c>
    </row>
    <row r="902" spans="1:10" x14ac:dyDescent="0.25">
      <c r="A902" t="s">
        <v>6</v>
      </c>
      <c r="B902" t="s">
        <v>7</v>
      </c>
      <c r="C902" t="s">
        <v>11</v>
      </c>
      <c r="D902" s="1">
        <v>44749</v>
      </c>
      <c r="E902" s="2">
        <v>5502</v>
      </c>
      <c r="F902">
        <v>64</v>
      </c>
      <c r="G902" s="2">
        <f t="shared" si="56"/>
        <v>85.96875</v>
      </c>
      <c r="H902" t="str">
        <f t="shared" si="57"/>
        <v>July</v>
      </c>
      <c r="I902" t="str">
        <f t="shared" si="58"/>
        <v>Q3</v>
      </c>
      <c r="J902" t="str">
        <f t="shared" si="59"/>
        <v>Large</v>
      </c>
    </row>
    <row r="903" spans="1:10" x14ac:dyDescent="0.25">
      <c r="A903" t="s">
        <v>17</v>
      </c>
      <c r="B903" t="s">
        <v>7</v>
      </c>
      <c r="C903" t="s">
        <v>58</v>
      </c>
      <c r="D903" s="1">
        <v>44636</v>
      </c>
      <c r="E903" s="2">
        <v>6223</v>
      </c>
      <c r="F903">
        <v>181</v>
      </c>
      <c r="G903" s="2">
        <f t="shared" si="56"/>
        <v>34.381215469613259</v>
      </c>
      <c r="H903" t="str">
        <f t="shared" si="57"/>
        <v>March</v>
      </c>
      <c r="I903" t="str">
        <f t="shared" si="58"/>
        <v>Q1</v>
      </c>
      <c r="J903" t="str">
        <f t="shared" si="59"/>
        <v>Large</v>
      </c>
    </row>
    <row r="904" spans="1:10" x14ac:dyDescent="0.25">
      <c r="A904" t="s">
        <v>49</v>
      </c>
      <c r="B904" t="s">
        <v>7</v>
      </c>
      <c r="C904" t="s">
        <v>18</v>
      </c>
      <c r="D904" s="1">
        <v>44785</v>
      </c>
      <c r="E904" s="2">
        <v>3507</v>
      </c>
      <c r="F904">
        <v>114</v>
      </c>
      <c r="G904" s="2">
        <f t="shared" si="56"/>
        <v>30.763157894736842</v>
      </c>
      <c r="H904" t="str">
        <f t="shared" si="57"/>
        <v>August</v>
      </c>
      <c r="I904" t="str">
        <f t="shared" si="58"/>
        <v>Q3</v>
      </c>
      <c r="J904" t="str">
        <f t="shared" si="59"/>
        <v>Large</v>
      </c>
    </row>
    <row r="905" spans="1:10" x14ac:dyDescent="0.25">
      <c r="A905" t="s">
        <v>12</v>
      </c>
      <c r="B905" t="s">
        <v>21</v>
      </c>
      <c r="C905" t="s">
        <v>20</v>
      </c>
      <c r="D905" s="1">
        <v>44582</v>
      </c>
      <c r="E905" s="2">
        <v>5600</v>
      </c>
      <c r="F905">
        <v>181</v>
      </c>
      <c r="G905" s="2">
        <f t="shared" si="56"/>
        <v>30.939226519337016</v>
      </c>
      <c r="H905" t="str">
        <f t="shared" si="57"/>
        <v>January</v>
      </c>
      <c r="I905" t="str">
        <f t="shared" si="58"/>
        <v>Q1</v>
      </c>
      <c r="J905" t="str">
        <f t="shared" si="59"/>
        <v>Large</v>
      </c>
    </row>
    <row r="906" spans="1:10" x14ac:dyDescent="0.25">
      <c r="A906" t="s">
        <v>17</v>
      </c>
      <c r="B906" t="s">
        <v>15</v>
      </c>
      <c r="C906" t="s">
        <v>22</v>
      </c>
      <c r="D906" s="1">
        <v>44687</v>
      </c>
      <c r="E906" s="2">
        <v>721</v>
      </c>
      <c r="F906">
        <v>151</v>
      </c>
      <c r="G906" s="2">
        <f t="shared" si="56"/>
        <v>4.7748344370860929</v>
      </c>
      <c r="H906" t="str">
        <f t="shared" si="57"/>
        <v>May</v>
      </c>
      <c r="I906" t="str">
        <f t="shared" si="58"/>
        <v>Q2</v>
      </c>
      <c r="J906" t="str">
        <f t="shared" si="59"/>
        <v>Large</v>
      </c>
    </row>
    <row r="907" spans="1:10" x14ac:dyDescent="0.25">
      <c r="A907" t="s">
        <v>17</v>
      </c>
      <c r="B907" t="s">
        <v>29</v>
      </c>
      <c r="C907" t="s">
        <v>22</v>
      </c>
      <c r="D907" s="1">
        <v>44736</v>
      </c>
      <c r="E907" s="2">
        <v>6615</v>
      </c>
      <c r="F907">
        <v>137</v>
      </c>
      <c r="G907" s="2">
        <f t="shared" si="56"/>
        <v>48.284671532846716</v>
      </c>
      <c r="H907" t="str">
        <f t="shared" si="57"/>
        <v>June</v>
      </c>
      <c r="I907" t="str">
        <f t="shared" si="58"/>
        <v>Q2</v>
      </c>
      <c r="J907" t="str">
        <f t="shared" si="59"/>
        <v>Large</v>
      </c>
    </row>
    <row r="908" spans="1:10" x14ac:dyDescent="0.25">
      <c r="A908" t="s">
        <v>25</v>
      </c>
      <c r="B908" t="s">
        <v>26</v>
      </c>
      <c r="C908" t="s">
        <v>44</v>
      </c>
      <c r="D908" s="1">
        <v>44686</v>
      </c>
      <c r="E908" s="2">
        <v>7420</v>
      </c>
      <c r="F908">
        <v>163</v>
      </c>
      <c r="G908" s="2">
        <f t="shared" si="56"/>
        <v>45.521472392638039</v>
      </c>
      <c r="H908" t="str">
        <f t="shared" si="57"/>
        <v>May</v>
      </c>
      <c r="I908" t="str">
        <f t="shared" si="58"/>
        <v>Q2</v>
      </c>
      <c r="J908" t="str">
        <f t="shared" si="59"/>
        <v>Large</v>
      </c>
    </row>
    <row r="909" spans="1:10" x14ac:dyDescent="0.25">
      <c r="A909" t="s">
        <v>24</v>
      </c>
      <c r="B909" t="s">
        <v>21</v>
      </c>
      <c r="C909" t="s">
        <v>18</v>
      </c>
      <c r="D909" s="1">
        <v>44645</v>
      </c>
      <c r="E909" s="2">
        <v>3164</v>
      </c>
      <c r="F909">
        <v>84</v>
      </c>
      <c r="G909" s="2">
        <f t="shared" si="56"/>
        <v>37.666666666666664</v>
      </c>
      <c r="H909" t="str">
        <f t="shared" si="57"/>
        <v>March</v>
      </c>
      <c r="I909" t="str">
        <f t="shared" si="58"/>
        <v>Q1</v>
      </c>
      <c r="J909" t="str">
        <f t="shared" si="59"/>
        <v>Large</v>
      </c>
    </row>
    <row r="910" spans="1:10" x14ac:dyDescent="0.25">
      <c r="A910" t="s">
        <v>38</v>
      </c>
      <c r="B910" t="s">
        <v>15</v>
      </c>
      <c r="C910" t="s">
        <v>57</v>
      </c>
      <c r="D910" s="1">
        <v>44606</v>
      </c>
      <c r="E910" s="2">
        <v>9114</v>
      </c>
      <c r="F910">
        <v>140</v>
      </c>
      <c r="G910" s="2">
        <f t="shared" si="56"/>
        <v>65.099999999999994</v>
      </c>
      <c r="H910" t="str">
        <f t="shared" si="57"/>
        <v>February</v>
      </c>
      <c r="I910" t="str">
        <f t="shared" si="58"/>
        <v>Q1</v>
      </c>
      <c r="J910" t="str">
        <f t="shared" si="59"/>
        <v>Large</v>
      </c>
    </row>
    <row r="911" spans="1:10" x14ac:dyDescent="0.25">
      <c r="A911" t="s">
        <v>38</v>
      </c>
      <c r="B911" t="s">
        <v>21</v>
      </c>
      <c r="C911" t="s">
        <v>11</v>
      </c>
      <c r="D911" s="1">
        <v>44693</v>
      </c>
      <c r="E911" s="2">
        <v>5404</v>
      </c>
      <c r="F911">
        <v>187</v>
      </c>
      <c r="G911" s="2">
        <f t="shared" si="56"/>
        <v>28.898395721925134</v>
      </c>
      <c r="H911" t="str">
        <f t="shared" si="57"/>
        <v>May</v>
      </c>
      <c r="I911" t="str">
        <f t="shared" si="58"/>
        <v>Q2</v>
      </c>
      <c r="J911" t="str">
        <f t="shared" si="59"/>
        <v>Large</v>
      </c>
    </row>
    <row r="912" spans="1:10" x14ac:dyDescent="0.25">
      <c r="A912" t="s">
        <v>25</v>
      </c>
      <c r="B912" t="s">
        <v>21</v>
      </c>
      <c r="C912" t="s">
        <v>16</v>
      </c>
      <c r="D912" s="1">
        <v>44586</v>
      </c>
      <c r="E912" s="2">
        <v>3990</v>
      </c>
      <c r="F912">
        <v>169</v>
      </c>
      <c r="G912" s="2">
        <f t="shared" si="56"/>
        <v>23.609467455621303</v>
      </c>
      <c r="H912" t="str">
        <f t="shared" si="57"/>
        <v>January</v>
      </c>
      <c r="I912" t="str">
        <f t="shared" si="58"/>
        <v>Q1</v>
      </c>
      <c r="J912" t="str">
        <f t="shared" si="59"/>
        <v>Large</v>
      </c>
    </row>
    <row r="913" spans="1:10" x14ac:dyDescent="0.25">
      <c r="A913" t="s">
        <v>55</v>
      </c>
      <c r="B913" t="s">
        <v>7</v>
      </c>
      <c r="C913" t="s">
        <v>11</v>
      </c>
      <c r="D913" s="1">
        <v>44740</v>
      </c>
      <c r="E913" s="2">
        <v>14924</v>
      </c>
      <c r="F913">
        <v>12</v>
      </c>
      <c r="G913" s="2">
        <f t="shared" si="56"/>
        <v>1243.6666666666667</v>
      </c>
      <c r="H913" t="str">
        <f t="shared" si="57"/>
        <v>June</v>
      </c>
      <c r="I913" t="str">
        <f t="shared" si="58"/>
        <v>Q2</v>
      </c>
      <c r="J913" t="str">
        <f t="shared" si="59"/>
        <v>Large</v>
      </c>
    </row>
    <row r="914" spans="1:10" x14ac:dyDescent="0.25">
      <c r="A914" t="s">
        <v>43</v>
      </c>
      <c r="B914" t="s">
        <v>15</v>
      </c>
      <c r="C914" t="s">
        <v>32</v>
      </c>
      <c r="D914" s="1">
        <v>44755</v>
      </c>
      <c r="E914" s="2">
        <v>7091</v>
      </c>
      <c r="F914">
        <v>194</v>
      </c>
      <c r="G914" s="2">
        <f t="shared" si="56"/>
        <v>36.551546391752581</v>
      </c>
      <c r="H914" t="str">
        <f t="shared" si="57"/>
        <v>July</v>
      </c>
      <c r="I914" t="str">
        <f t="shared" si="58"/>
        <v>Q3</v>
      </c>
      <c r="J914" t="str">
        <f t="shared" si="59"/>
        <v>Large</v>
      </c>
    </row>
    <row r="915" spans="1:10" x14ac:dyDescent="0.25">
      <c r="A915" t="s">
        <v>36</v>
      </c>
      <c r="B915" t="s">
        <v>26</v>
      </c>
      <c r="C915" t="s">
        <v>37</v>
      </c>
      <c r="D915" s="1">
        <v>44697</v>
      </c>
      <c r="E915" s="2">
        <v>2807</v>
      </c>
      <c r="F915">
        <v>252</v>
      </c>
      <c r="G915" s="2">
        <f t="shared" si="56"/>
        <v>11.138888888888889</v>
      </c>
      <c r="H915" t="str">
        <f t="shared" si="57"/>
        <v>May</v>
      </c>
      <c r="I915" t="str">
        <f t="shared" si="58"/>
        <v>Q2</v>
      </c>
      <c r="J915" t="str">
        <f t="shared" si="59"/>
        <v>Large</v>
      </c>
    </row>
    <row r="916" spans="1:10" x14ac:dyDescent="0.25">
      <c r="A916" t="s">
        <v>14</v>
      </c>
      <c r="B916" t="s">
        <v>10</v>
      </c>
      <c r="C916" t="s">
        <v>20</v>
      </c>
      <c r="D916" s="1">
        <v>44634</v>
      </c>
      <c r="E916" s="2">
        <v>6496</v>
      </c>
      <c r="F916">
        <v>168</v>
      </c>
      <c r="G916" s="2">
        <f t="shared" si="56"/>
        <v>38.666666666666664</v>
      </c>
      <c r="H916" t="str">
        <f t="shared" si="57"/>
        <v>March</v>
      </c>
      <c r="I916" t="str">
        <f t="shared" si="58"/>
        <v>Q1</v>
      </c>
      <c r="J916" t="str">
        <f t="shared" si="59"/>
        <v>Large</v>
      </c>
    </row>
    <row r="917" spans="1:10" x14ac:dyDescent="0.25">
      <c r="A917" t="s">
        <v>19</v>
      </c>
      <c r="B917" t="s">
        <v>26</v>
      </c>
      <c r="C917" t="s">
        <v>20</v>
      </c>
      <c r="D917" s="1">
        <v>44788</v>
      </c>
      <c r="E917" s="2">
        <v>3738</v>
      </c>
      <c r="F917">
        <v>261</v>
      </c>
      <c r="G917" s="2">
        <f t="shared" si="56"/>
        <v>14.321839080459769</v>
      </c>
      <c r="H917" t="str">
        <f t="shared" si="57"/>
        <v>August</v>
      </c>
      <c r="I917" t="str">
        <f t="shared" si="58"/>
        <v>Q3</v>
      </c>
      <c r="J917" t="str">
        <f t="shared" si="59"/>
        <v>Large</v>
      </c>
    </row>
    <row r="918" spans="1:10" x14ac:dyDescent="0.25">
      <c r="A918" t="s">
        <v>55</v>
      </c>
      <c r="B918" t="s">
        <v>10</v>
      </c>
      <c r="C918" t="s">
        <v>27</v>
      </c>
      <c r="D918" s="1">
        <v>44608</v>
      </c>
      <c r="E918" s="2">
        <v>1190</v>
      </c>
      <c r="F918">
        <v>256</v>
      </c>
      <c r="G918" s="2">
        <f t="shared" si="56"/>
        <v>4.6484375</v>
      </c>
      <c r="H918" t="str">
        <f t="shared" si="57"/>
        <v>February</v>
      </c>
      <c r="I918" t="str">
        <f t="shared" si="58"/>
        <v>Q1</v>
      </c>
      <c r="J918" t="str">
        <f t="shared" si="59"/>
        <v>Large</v>
      </c>
    </row>
    <row r="919" spans="1:10" x14ac:dyDescent="0.25">
      <c r="A919" t="s">
        <v>28</v>
      </c>
      <c r="B919" t="s">
        <v>7</v>
      </c>
      <c r="C919" t="s">
        <v>45</v>
      </c>
      <c r="D919" s="1">
        <v>44727</v>
      </c>
      <c r="E919" s="2">
        <v>8379</v>
      </c>
      <c r="F919">
        <v>43</v>
      </c>
      <c r="G919" s="2">
        <f t="shared" si="56"/>
        <v>194.86046511627907</v>
      </c>
      <c r="H919" t="str">
        <f t="shared" si="57"/>
        <v>June</v>
      </c>
      <c r="I919" t="str">
        <f t="shared" si="58"/>
        <v>Q2</v>
      </c>
      <c r="J919" t="str">
        <f t="shared" si="59"/>
        <v>Large</v>
      </c>
    </row>
    <row r="920" spans="1:10" x14ac:dyDescent="0.25">
      <c r="A920" t="s">
        <v>25</v>
      </c>
      <c r="B920" t="s">
        <v>15</v>
      </c>
      <c r="C920" t="s">
        <v>51</v>
      </c>
      <c r="D920" s="1">
        <v>44708</v>
      </c>
      <c r="E920" s="2">
        <v>9268</v>
      </c>
      <c r="F920">
        <v>100</v>
      </c>
      <c r="G920" s="2">
        <f t="shared" si="56"/>
        <v>92.68</v>
      </c>
      <c r="H920" t="str">
        <f t="shared" si="57"/>
        <v>May</v>
      </c>
      <c r="I920" t="str">
        <f t="shared" si="58"/>
        <v>Q2</v>
      </c>
      <c r="J920" t="str">
        <f t="shared" si="59"/>
        <v>Large</v>
      </c>
    </row>
    <row r="921" spans="1:10" x14ac:dyDescent="0.25">
      <c r="A921" t="s">
        <v>46</v>
      </c>
      <c r="B921" t="s">
        <v>26</v>
      </c>
      <c r="C921" t="s">
        <v>32</v>
      </c>
      <c r="D921" s="1">
        <v>44726</v>
      </c>
      <c r="E921" s="2">
        <v>1029</v>
      </c>
      <c r="F921">
        <v>98</v>
      </c>
      <c r="G921" s="2">
        <f t="shared" si="56"/>
        <v>10.5</v>
      </c>
      <c r="H921" t="str">
        <f t="shared" si="57"/>
        <v>June</v>
      </c>
      <c r="I921" t="str">
        <f t="shared" si="58"/>
        <v>Q2</v>
      </c>
      <c r="J921" t="str">
        <f t="shared" si="59"/>
        <v>Large</v>
      </c>
    </row>
    <row r="922" spans="1:10" x14ac:dyDescent="0.25">
      <c r="A922" t="s">
        <v>46</v>
      </c>
      <c r="B922" t="s">
        <v>10</v>
      </c>
      <c r="C922" t="s">
        <v>30</v>
      </c>
      <c r="D922" s="1">
        <v>44617</v>
      </c>
      <c r="E922" s="2">
        <v>3549</v>
      </c>
      <c r="F922">
        <v>76</v>
      </c>
      <c r="G922" s="2">
        <f t="shared" si="56"/>
        <v>46.69736842105263</v>
      </c>
      <c r="H922" t="str">
        <f t="shared" si="57"/>
        <v>February</v>
      </c>
      <c r="I922" t="str">
        <f t="shared" si="58"/>
        <v>Q1</v>
      </c>
      <c r="J922" t="str">
        <f t="shared" si="59"/>
        <v>Large</v>
      </c>
    </row>
    <row r="923" spans="1:10" x14ac:dyDescent="0.25">
      <c r="A923" t="s">
        <v>46</v>
      </c>
      <c r="B923" t="s">
        <v>10</v>
      </c>
      <c r="C923" t="s">
        <v>20</v>
      </c>
      <c r="D923" s="1">
        <v>44777</v>
      </c>
      <c r="E923" s="2">
        <v>12026</v>
      </c>
      <c r="F923">
        <v>262</v>
      </c>
      <c r="G923" s="2">
        <f t="shared" si="56"/>
        <v>45.900763358778626</v>
      </c>
      <c r="H923" t="str">
        <f t="shared" si="57"/>
        <v>August</v>
      </c>
      <c r="I923" t="str">
        <f t="shared" si="58"/>
        <v>Q3</v>
      </c>
      <c r="J923" t="str">
        <f t="shared" si="59"/>
        <v>Large</v>
      </c>
    </row>
    <row r="924" spans="1:10" x14ac:dyDescent="0.25">
      <c r="A924" t="s">
        <v>49</v>
      </c>
      <c r="B924" t="s">
        <v>10</v>
      </c>
      <c r="C924" t="s">
        <v>18</v>
      </c>
      <c r="D924" s="1">
        <v>44740</v>
      </c>
      <c r="E924" s="2">
        <v>2303</v>
      </c>
      <c r="F924">
        <v>244</v>
      </c>
      <c r="G924" s="2">
        <f t="shared" si="56"/>
        <v>9.4385245901639347</v>
      </c>
      <c r="H924" t="str">
        <f t="shared" si="57"/>
        <v>June</v>
      </c>
      <c r="I924" t="str">
        <f t="shared" si="58"/>
        <v>Q2</v>
      </c>
      <c r="J924" t="str">
        <f t="shared" si="59"/>
        <v>Large</v>
      </c>
    </row>
    <row r="925" spans="1:10" x14ac:dyDescent="0.25">
      <c r="A925" t="s">
        <v>19</v>
      </c>
      <c r="B925" t="s">
        <v>29</v>
      </c>
      <c r="C925" t="s">
        <v>39</v>
      </c>
      <c r="D925" s="1">
        <v>44656</v>
      </c>
      <c r="E925" s="2">
        <v>13405</v>
      </c>
      <c r="F925">
        <v>12</v>
      </c>
      <c r="G925" s="2">
        <f t="shared" si="56"/>
        <v>1117.0833333333333</v>
      </c>
      <c r="H925" t="str">
        <f t="shared" si="57"/>
        <v>April</v>
      </c>
      <c r="I925" t="str">
        <f t="shared" si="58"/>
        <v>Q2</v>
      </c>
      <c r="J925" t="str">
        <f t="shared" si="59"/>
        <v>Large</v>
      </c>
    </row>
    <row r="926" spans="1:10" x14ac:dyDescent="0.25">
      <c r="A926" t="s">
        <v>53</v>
      </c>
      <c r="B926" t="s">
        <v>29</v>
      </c>
      <c r="C926" t="s">
        <v>13</v>
      </c>
      <c r="D926" s="1">
        <v>44747</v>
      </c>
      <c r="E926" s="2">
        <v>14763</v>
      </c>
      <c r="F926">
        <v>113</v>
      </c>
      <c r="G926" s="2">
        <f t="shared" si="56"/>
        <v>130.64601769911505</v>
      </c>
      <c r="H926" t="str">
        <f t="shared" si="57"/>
        <v>July</v>
      </c>
      <c r="I926" t="str">
        <f t="shared" si="58"/>
        <v>Q3</v>
      </c>
      <c r="J926" t="str">
        <f t="shared" si="59"/>
        <v>Large</v>
      </c>
    </row>
    <row r="927" spans="1:10" x14ac:dyDescent="0.25">
      <c r="A927" t="s">
        <v>41</v>
      </c>
      <c r="B927" t="s">
        <v>21</v>
      </c>
      <c r="C927" t="s">
        <v>30</v>
      </c>
      <c r="D927" s="1">
        <v>44581</v>
      </c>
      <c r="E927" s="2">
        <v>12894</v>
      </c>
      <c r="F927">
        <v>48</v>
      </c>
      <c r="G927" s="2">
        <f t="shared" si="56"/>
        <v>268.625</v>
      </c>
      <c r="H927" t="str">
        <f t="shared" si="57"/>
        <v>January</v>
      </c>
      <c r="I927" t="str">
        <f t="shared" si="58"/>
        <v>Q1</v>
      </c>
      <c r="J927" t="str">
        <f t="shared" si="59"/>
        <v>Large</v>
      </c>
    </row>
    <row r="928" spans="1:10" x14ac:dyDescent="0.25">
      <c r="A928" t="s">
        <v>55</v>
      </c>
      <c r="B928" t="s">
        <v>21</v>
      </c>
      <c r="C928" t="s">
        <v>32</v>
      </c>
      <c r="D928" s="1">
        <v>44608</v>
      </c>
      <c r="E928" s="2">
        <v>8302</v>
      </c>
      <c r="F928">
        <v>131</v>
      </c>
      <c r="G928" s="2">
        <f t="shared" si="56"/>
        <v>63.374045801526719</v>
      </c>
      <c r="H928" t="str">
        <f t="shared" si="57"/>
        <v>February</v>
      </c>
      <c r="I928" t="str">
        <f t="shared" si="58"/>
        <v>Q1</v>
      </c>
      <c r="J928" t="str">
        <f t="shared" si="59"/>
        <v>Large</v>
      </c>
    </row>
    <row r="929" spans="1:10" x14ac:dyDescent="0.25">
      <c r="A929" t="s">
        <v>38</v>
      </c>
      <c r="B929" t="s">
        <v>7</v>
      </c>
      <c r="C929" t="s">
        <v>32</v>
      </c>
      <c r="D929" s="1">
        <v>44754</v>
      </c>
      <c r="E929" s="2">
        <v>455</v>
      </c>
      <c r="F929">
        <v>174</v>
      </c>
      <c r="G929" s="2">
        <f t="shared" si="56"/>
        <v>2.6149425287356323</v>
      </c>
      <c r="H929" t="str">
        <f t="shared" si="57"/>
        <v>July</v>
      </c>
      <c r="I929" t="str">
        <f t="shared" si="58"/>
        <v>Q3</v>
      </c>
      <c r="J929" t="str">
        <f t="shared" si="59"/>
        <v>Small</v>
      </c>
    </row>
    <row r="930" spans="1:10" x14ac:dyDescent="0.25">
      <c r="A930" t="s">
        <v>49</v>
      </c>
      <c r="B930" t="s">
        <v>10</v>
      </c>
      <c r="C930" t="s">
        <v>51</v>
      </c>
      <c r="D930" s="1">
        <v>44728</v>
      </c>
      <c r="E930" s="2">
        <v>8183</v>
      </c>
      <c r="F930">
        <v>254</v>
      </c>
      <c r="G930" s="2">
        <f t="shared" si="56"/>
        <v>32.216535433070867</v>
      </c>
      <c r="H930" t="str">
        <f t="shared" si="57"/>
        <v>June</v>
      </c>
      <c r="I930" t="str">
        <f t="shared" si="58"/>
        <v>Q2</v>
      </c>
      <c r="J930" t="str">
        <f t="shared" si="59"/>
        <v>Large</v>
      </c>
    </row>
    <row r="931" spans="1:10" x14ac:dyDescent="0.25">
      <c r="A931" t="s">
        <v>54</v>
      </c>
      <c r="B931" t="s">
        <v>15</v>
      </c>
      <c r="C931" t="s">
        <v>52</v>
      </c>
      <c r="D931" s="1">
        <v>44664</v>
      </c>
      <c r="E931" s="2">
        <v>1645</v>
      </c>
      <c r="F931">
        <v>284</v>
      </c>
      <c r="G931" s="2">
        <f t="shared" si="56"/>
        <v>5.792253521126761</v>
      </c>
      <c r="H931" t="str">
        <f t="shared" si="57"/>
        <v>April</v>
      </c>
      <c r="I931" t="str">
        <f t="shared" si="58"/>
        <v>Q2</v>
      </c>
      <c r="J931" t="str">
        <f t="shared" si="59"/>
        <v>Large</v>
      </c>
    </row>
    <row r="932" spans="1:10" x14ac:dyDescent="0.25">
      <c r="A932" t="s">
        <v>41</v>
      </c>
      <c r="B932" t="s">
        <v>7</v>
      </c>
      <c r="C932" t="s">
        <v>22</v>
      </c>
      <c r="D932" s="1">
        <v>44613</v>
      </c>
      <c r="E932" s="2">
        <v>3143</v>
      </c>
      <c r="F932">
        <v>67</v>
      </c>
      <c r="G932" s="2">
        <f t="shared" si="56"/>
        <v>46.910447761194028</v>
      </c>
      <c r="H932" t="str">
        <f t="shared" si="57"/>
        <v>February</v>
      </c>
      <c r="I932" t="str">
        <f t="shared" si="58"/>
        <v>Q1</v>
      </c>
      <c r="J932" t="str">
        <f t="shared" si="59"/>
        <v>Large</v>
      </c>
    </row>
    <row r="933" spans="1:10" x14ac:dyDescent="0.25">
      <c r="A933" t="s">
        <v>36</v>
      </c>
      <c r="B933" t="s">
        <v>29</v>
      </c>
      <c r="C933" t="s">
        <v>52</v>
      </c>
      <c r="D933" s="1">
        <v>44692</v>
      </c>
      <c r="E933" s="2">
        <v>5873</v>
      </c>
      <c r="F933">
        <v>249</v>
      </c>
      <c r="G933" s="2">
        <f t="shared" si="56"/>
        <v>23.586345381526105</v>
      </c>
      <c r="H933" t="str">
        <f t="shared" si="57"/>
        <v>May</v>
      </c>
      <c r="I933" t="str">
        <f t="shared" si="58"/>
        <v>Q2</v>
      </c>
      <c r="J933" t="str">
        <f t="shared" si="59"/>
        <v>Large</v>
      </c>
    </row>
    <row r="934" spans="1:10" x14ac:dyDescent="0.25">
      <c r="A934" t="s">
        <v>55</v>
      </c>
      <c r="B934" t="s">
        <v>10</v>
      </c>
      <c r="C934" t="s">
        <v>22</v>
      </c>
      <c r="D934" s="1">
        <v>44666</v>
      </c>
      <c r="E934" s="2">
        <v>11298</v>
      </c>
      <c r="F934">
        <v>313</v>
      </c>
      <c r="G934" s="2">
        <f t="shared" si="56"/>
        <v>36.095846645367409</v>
      </c>
      <c r="H934" t="str">
        <f t="shared" si="57"/>
        <v>April</v>
      </c>
      <c r="I934" t="str">
        <f t="shared" si="58"/>
        <v>Q2</v>
      </c>
      <c r="J934" t="str">
        <f t="shared" si="59"/>
        <v>Large</v>
      </c>
    </row>
    <row r="935" spans="1:10" x14ac:dyDescent="0.25">
      <c r="A935" t="s">
        <v>17</v>
      </c>
      <c r="B935" t="s">
        <v>29</v>
      </c>
      <c r="C935" t="s">
        <v>13</v>
      </c>
      <c r="D935" s="1">
        <v>44719</v>
      </c>
      <c r="E935" s="2">
        <v>12425</v>
      </c>
      <c r="F935">
        <v>167</v>
      </c>
      <c r="G935" s="2">
        <f t="shared" si="56"/>
        <v>74.401197604790426</v>
      </c>
      <c r="H935" t="str">
        <f t="shared" si="57"/>
        <v>June</v>
      </c>
      <c r="I935" t="str">
        <f t="shared" si="58"/>
        <v>Q2</v>
      </c>
      <c r="J935" t="str">
        <f t="shared" si="59"/>
        <v>Large</v>
      </c>
    </row>
    <row r="936" spans="1:10" x14ac:dyDescent="0.25">
      <c r="A936" t="s">
        <v>17</v>
      </c>
      <c r="B936" t="s">
        <v>7</v>
      </c>
      <c r="C936" t="s">
        <v>44</v>
      </c>
      <c r="D936" s="1">
        <v>44739</v>
      </c>
      <c r="E936" s="2">
        <v>1715</v>
      </c>
      <c r="F936">
        <v>286</v>
      </c>
      <c r="G936" s="2">
        <f t="shared" si="56"/>
        <v>5.9965034965034967</v>
      </c>
      <c r="H936" t="str">
        <f t="shared" si="57"/>
        <v>June</v>
      </c>
      <c r="I936" t="str">
        <f t="shared" si="58"/>
        <v>Q2</v>
      </c>
      <c r="J936" t="str">
        <f t="shared" si="59"/>
        <v>Large</v>
      </c>
    </row>
    <row r="937" spans="1:10" x14ac:dyDescent="0.25">
      <c r="A937" t="s">
        <v>25</v>
      </c>
      <c r="B937" t="s">
        <v>10</v>
      </c>
      <c r="C937" t="s">
        <v>20</v>
      </c>
      <c r="D937" s="1">
        <v>44771</v>
      </c>
      <c r="E937" s="2">
        <v>8190</v>
      </c>
      <c r="F937">
        <v>109</v>
      </c>
      <c r="G937" s="2">
        <f t="shared" si="56"/>
        <v>75.137614678899084</v>
      </c>
      <c r="H937" t="str">
        <f t="shared" si="57"/>
        <v>July</v>
      </c>
      <c r="I937" t="str">
        <f t="shared" si="58"/>
        <v>Q3</v>
      </c>
      <c r="J937" t="str">
        <f t="shared" si="59"/>
        <v>Large</v>
      </c>
    </row>
    <row r="938" spans="1:10" x14ac:dyDescent="0.25">
      <c r="A938" t="s">
        <v>46</v>
      </c>
      <c r="B938" t="s">
        <v>29</v>
      </c>
      <c r="C938" t="s">
        <v>16</v>
      </c>
      <c r="D938" s="1">
        <v>44714</v>
      </c>
      <c r="E938" s="2">
        <v>4991</v>
      </c>
      <c r="F938">
        <v>166</v>
      </c>
      <c r="G938" s="2">
        <f t="shared" si="56"/>
        <v>30.066265060240966</v>
      </c>
      <c r="H938" t="str">
        <f t="shared" si="57"/>
        <v>June</v>
      </c>
      <c r="I938" t="str">
        <f t="shared" si="58"/>
        <v>Q2</v>
      </c>
      <c r="J938" t="str">
        <f t="shared" si="59"/>
        <v>Large</v>
      </c>
    </row>
    <row r="939" spans="1:10" x14ac:dyDescent="0.25">
      <c r="A939" t="s">
        <v>24</v>
      </c>
      <c r="B939" t="s">
        <v>10</v>
      </c>
      <c r="C939" t="s">
        <v>8</v>
      </c>
      <c r="D939" s="1">
        <v>44587</v>
      </c>
      <c r="E939" s="2">
        <v>15491</v>
      </c>
      <c r="F939">
        <v>85</v>
      </c>
      <c r="G939" s="2">
        <f t="shared" si="56"/>
        <v>182.24705882352941</v>
      </c>
      <c r="H939" t="str">
        <f t="shared" si="57"/>
        <v>January</v>
      </c>
      <c r="I939" t="str">
        <f t="shared" si="58"/>
        <v>Q1</v>
      </c>
      <c r="J939" t="str">
        <f t="shared" si="59"/>
        <v>Large</v>
      </c>
    </row>
    <row r="940" spans="1:10" x14ac:dyDescent="0.25">
      <c r="A940" t="s">
        <v>24</v>
      </c>
      <c r="B940" t="s">
        <v>29</v>
      </c>
      <c r="C940" t="s">
        <v>18</v>
      </c>
      <c r="D940" s="1">
        <v>44622</v>
      </c>
      <c r="E940" s="2">
        <v>5096</v>
      </c>
      <c r="F940">
        <v>142</v>
      </c>
      <c r="G940" s="2">
        <f t="shared" si="56"/>
        <v>35.887323943661968</v>
      </c>
      <c r="H940" t="str">
        <f t="shared" si="57"/>
        <v>March</v>
      </c>
      <c r="I940" t="str">
        <f t="shared" si="58"/>
        <v>Q1</v>
      </c>
      <c r="J940" t="str">
        <f t="shared" si="59"/>
        <v>Large</v>
      </c>
    </row>
    <row r="941" spans="1:10" x14ac:dyDescent="0.25">
      <c r="A941" t="s">
        <v>9</v>
      </c>
      <c r="B941" t="s">
        <v>15</v>
      </c>
      <c r="C941" t="s">
        <v>58</v>
      </c>
      <c r="D941" s="1">
        <v>44571</v>
      </c>
      <c r="E941" s="2">
        <v>7063</v>
      </c>
      <c r="F941">
        <v>104</v>
      </c>
      <c r="G941" s="2">
        <f t="shared" si="56"/>
        <v>67.913461538461533</v>
      </c>
      <c r="H941" t="str">
        <f t="shared" si="57"/>
        <v>January</v>
      </c>
      <c r="I941" t="str">
        <f t="shared" si="58"/>
        <v>Q1</v>
      </c>
      <c r="J941" t="str">
        <f t="shared" si="59"/>
        <v>Large</v>
      </c>
    </row>
    <row r="942" spans="1:10" x14ac:dyDescent="0.25">
      <c r="A942" t="s">
        <v>34</v>
      </c>
      <c r="B942" t="s">
        <v>26</v>
      </c>
      <c r="C942" t="s">
        <v>58</v>
      </c>
      <c r="D942" s="1">
        <v>44739</v>
      </c>
      <c r="E942" s="2">
        <v>2275</v>
      </c>
      <c r="F942">
        <v>115</v>
      </c>
      <c r="G942" s="2">
        <f t="shared" si="56"/>
        <v>19.782608695652176</v>
      </c>
      <c r="H942" t="str">
        <f t="shared" si="57"/>
        <v>June</v>
      </c>
      <c r="I942" t="str">
        <f t="shared" si="58"/>
        <v>Q2</v>
      </c>
      <c r="J942" t="str">
        <f t="shared" si="59"/>
        <v>Large</v>
      </c>
    </row>
    <row r="943" spans="1:10" x14ac:dyDescent="0.25">
      <c r="A943" t="s">
        <v>25</v>
      </c>
      <c r="B943" t="s">
        <v>29</v>
      </c>
      <c r="C943" t="s">
        <v>27</v>
      </c>
      <c r="D943" s="1">
        <v>44742</v>
      </c>
      <c r="E943" s="2">
        <v>7602</v>
      </c>
      <c r="F943">
        <v>18</v>
      </c>
      <c r="G943" s="2">
        <f t="shared" si="56"/>
        <v>422.33333333333331</v>
      </c>
      <c r="H943" t="str">
        <f t="shared" si="57"/>
        <v>June</v>
      </c>
      <c r="I943" t="str">
        <f t="shared" si="58"/>
        <v>Q2</v>
      </c>
      <c r="J943" t="str">
        <f t="shared" si="59"/>
        <v>Large</v>
      </c>
    </row>
    <row r="944" spans="1:10" x14ac:dyDescent="0.25">
      <c r="A944" t="s">
        <v>36</v>
      </c>
      <c r="B944" t="s">
        <v>15</v>
      </c>
      <c r="C944" t="s">
        <v>11</v>
      </c>
      <c r="D944" s="1">
        <v>44750</v>
      </c>
      <c r="E944" s="2">
        <v>4200</v>
      </c>
      <c r="F944">
        <v>80</v>
      </c>
      <c r="G944" s="2">
        <f t="shared" si="56"/>
        <v>52.5</v>
      </c>
      <c r="H944" t="str">
        <f t="shared" si="57"/>
        <v>July</v>
      </c>
      <c r="I944" t="str">
        <f t="shared" si="58"/>
        <v>Q3</v>
      </c>
      <c r="J944" t="str">
        <f t="shared" si="59"/>
        <v>Large</v>
      </c>
    </row>
    <row r="945" spans="1:10" x14ac:dyDescent="0.25">
      <c r="A945" t="s">
        <v>17</v>
      </c>
      <c r="B945" t="s">
        <v>10</v>
      </c>
      <c r="C945" t="s">
        <v>39</v>
      </c>
      <c r="D945" s="1">
        <v>44720</v>
      </c>
      <c r="E945" s="2">
        <v>11137</v>
      </c>
      <c r="F945">
        <v>88</v>
      </c>
      <c r="G945" s="2">
        <f t="shared" si="56"/>
        <v>126.55681818181819</v>
      </c>
      <c r="H945" t="str">
        <f t="shared" si="57"/>
        <v>June</v>
      </c>
      <c r="I945" t="str">
        <f t="shared" si="58"/>
        <v>Q2</v>
      </c>
      <c r="J945" t="str">
        <f t="shared" si="59"/>
        <v>Large</v>
      </c>
    </row>
    <row r="946" spans="1:10" x14ac:dyDescent="0.25">
      <c r="A946" t="s">
        <v>14</v>
      </c>
      <c r="B946" t="s">
        <v>7</v>
      </c>
      <c r="C946" t="s">
        <v>45</v>
      </c>
      <c r="D946" s="1">
        <v>44791</v>
      </c>
      <c r="E946" s="2">
        <v>3388</v>
      </c>
      <c r="F946">
        <v>212</v>
      </c>
      <c r="G946" s="2">
        <f t="shared" si="56"/>
        <v>15.981132075471699</v>
      </c>
      <c r="H946" t="str">
        <f t="shared" si="57"/>
        <v>August</v>
      </c>
      <c r="I946" t="str">
        <f t="shared" si="58"/>
        <v>Q3</v>
      </c>
      <c r="J946" t="str">
        <f t="shared" si="59"/>
        <v>Large</v>
      </c>
    </row>
    <row r="947" spans="1:10" x14ac:dyDescent="0.25">
      <c r="A947" t="s">
        <v>41</v>
      </c>
      <c r="B947" t="s">
        <v>15</v>
      </c>
      <c r="C947" t="s">
        <v>20</v>
      </c>
      <c r="D947" s="1">
        <v>44659</v>
      </c>
      <c r="E947" s="2">
        <v>6832</v>
      </c>
      <c r="F947">
        <v>306</v>
      </c>
      <c r="G947" s="2">
        <f t="shared" si="56"/>
        <v>22.326797385620914</v>
      </c>
      <c r="H947" t="str">
        <f t="shared" si="57"/>
        <v>April</v>
      </c>
      <c r="I947" t="str">
        <f t="shared" si="58"/>
        <v>Q2</v>
      </c>
      <c r="J947" t="str">
        <f t="shared" si="59"/>
        <v>Large</v>
      </c>
    </row>
    <row r="948" spans="1:10" x14ac:dyDescent="0.25">
      <c r="A948" t="s">
        <v>46</v>
      </c>
      <c r="B948" t="s">
        <v>29</v>
      </c>
      <c r="C948" t="s">
        <v>42</v>
      </c>
      <c r="D948" s="1">
        <v>44781</v>
      </c>
      <c r="E948" s="2">
        <v>3437</v>
      </c>
      <c r="F948">
        <v>181</v>
      </c>
      <c r="G948" s="2">
        <f t="shared" si="56"/>
        <v>18.988950276243095</v>
      </c>
      <c r="H948" t="str">
        <f t="shared" si="57"/>
        <v>August</v>
      </c>
      <c r="I948" t="str">
        <f t="shared" si="58"/>
        <v>Q3</v>
      </c>
      <c r="J948" t="str">
        <f t="shared" si="59"/>
        <v>Large</v>
      </c>
    </row>
    <row r="949" spans="1:10" x14ac:dyDescent="0.25">
      <c r="A949" t="s">
        <v>46</v>
      </c>
      <c r="B949" t="s">
        <v>7</v>
      </c>
      <c r="C949" t="s">
        <v>37</v>
      </c>
      <c r="D949" s="1">
        <v>44799</v>
      </c>
      <c r="E949" s="2">
        <v>301</v>
      </c>
      <c r="F949">
        <v>65</v>
      </c>
      <c r="G949" s="2">
        <f t="shared" si="56"/>
        <v>4.6307692307692312</v>
      </c>
      <c r="H949" t="str">
        <f t="shared" si="57"/>
        <v>August</v>
      </c>
      <c r="I949" t="str">
        <f t="shared" si="58"/>
        <v>Q3</v>
      </c>
      <c r="J949" t="str">
        <f t="shared" si="59"/>
        <v>Small</v>
      </c>
    </row>
    <row r="950" spans="1:10" x14ac:dyDescent="0.25">
      <c r="A950" t="s">
        <v>17</v>
      </c>
      <c r="B950" t="s">
        <v>29</v>
      </c>
      <c r="C950" t="s">
        <v>42</v>
      </c>
      <c r="D950" s="1">
        <v>44575</v>
      </c>
      <c r="E950" s="2">
        <v>1869</v>
      </c>
      <c r="F950">
        <v>158</v>
      </c>
      <c r="G950" s="2">
        <f t="shared" si="56"/>
        <v>11.829113924050633</v>
      </c>
      <c r="H950" t="str">
        <f t="shared" si="57"/>
        <v>January</v>
      </c>
      <c r="I950" t="str">
        <f t="shared" si="58"/>
        <v>Q1</v>
      </c>
      <c r="J950" t="str">
        <f t="shared" si="59"/>
        <v>Large</v>
      </c>
    </row>
    <row r="951" spans="1:10" x14ac:dyDescent="0.25">
      <c r="A951" t="s">
        <v>43</v>
      </c>
      <c r="B951" t="s">
        <v>26</v>
      </c>
      <c r="C951" t="s">
        <v>56</v>
      </c>
      <c r="D951" s="1">
        <v>44784</v>
      </c>
      <c r="E951" s="2">
        <v>17465</v>
      </c>
      <c r="F951">
        <v>271</v>
      </c>
      <c r="G951" s="2">
        <f t="shared" si="56"/>
        <v>64.446494464944649</v>
      </c>
      <c r="H951" t="str">
        <f t="shared" si="57"/>
        <v>August</v>
      </c>
      <c r="I951" t="str">
        <f t="shared" si="58"/>
        <v>Q3</v>
      </c>
      <c r="J951" t="str">
        <f t="shared" si="59"/>
        <v>Large</v>
      </c>
    </row>
    <row r="952" spans="1:10" x14ac:dyDescent="0.25">
      <c r="A952" t="s">
        <v>53</v>
      </c>
      <c r="B952" t="s">
        <v>26</v>
      </c>
      <c r="C952" t="s">
        <v>47</v>
      </c>
      <c r="D952" s="1">
        <v>44712</v>
      </c>
      <c r="E952" s="2">
        <v>10143</v>
      </c>
      <c r="F952">
        <v>24</v>
      </c>
      <c r="G952" s="2">
        <f t="shared" si="56"/>
        <v>422.625</v>
      </c>
      <c r="H952" t="str">
        <f t="shared" si="57"/>
        <v>May</v>
      </c>
      <c r="I952" t="str">
        <f t="shared" si="58"/>
        <v>Q2</v>
      </c>
      <c r="J952" t="str">
        <f t="shared" si="59"/>
        <v>Large</v>
      </c>
    </row>
    <row r="953" spans="1:10" x14ac:dyDescent="0.25">
      <c r="A953" t="s">
        <v>9</v>
      </c>
      <c r="B953" t="s">
        <v>21</v>
      </c>
      <c r="C953" t="s">
        <v>22</v>
      </c>
      <c r="D953" s="1">
        <v>44753</v>
      </c>
      <c r="E953" s="2">
        <v>3626</v>
      </c>
      <c r="F953">
        <v>10</v>
      </c>
      <c r="G953" s="2">
        <f t="shared" si="56"/>
        <v>362.6</v>
      </c>
      <c r="H953" t="str">
        <f t="shared" si="57"/>
        <v>July</v>
      </c>
      <c r="I953" t="str">
        <f t="shared" si="58"/>
        <v>Q3</v>
      </c>
      <c r="J953" t="str">
        <f t="shared" si="59"/>
        <v>Large</v>
      </c>
    </row>
    <row r="954" spans="1:10" x14ac:dyDescent="0.25">
      <c r="A954" t="s">
        <v>31</v>
      </c>
      <c r="B954" t="s">
        <v>29</v>
      </c>
      <c r="C954" t="s">
        <v>57</v>
      </c>
      <c r="D954" s="1">
        <v>44622</v>
      </c>
      <c r="E954" s="2">
        <v>3346</v>
      </c>
      <c r="F954">
        <v>304</v>
      </c>
      <c r="G954" s="2">
        <f t="shared" si="56"/>
        <v>11.006578947368421</v>
      </c>
      <c r="H954" t="str">
        <f t="shared" si="57"/>
        <v>March</v>
      </c>
      <c r="I954" t="str">
        <f t="shared" si="58"/>
        <v>Q1</v>
      </c>
      <c r="J954" t="str">
        <f t="shared" si="59"/>
        <v>Large</v>
      </c>
    </row>
    <row r="955" spans="1:10" x14ac:dyDescent="0.25">
      <c r="A955" t="s">
        <v>53</v>
      </c>
      <c r="B955" t="s">
        <v>15</v>
      </c>
      <c r="C955" t="s">
        <v>51</v>
      </c>
      <c r="D955" s="1">
        <v>44755</v>
      </c>
      <c r="E955" s="2">
        <v>6321</v>
      </c>
      <c r="F955">
        <v>88</v>
      </c>
      <c r="G955" s="2">
        <f t="shared" si="56"/>
        <v>71.829545454545453</v>
      </c>
      <c r="H955" t="str">
        <f t="shared" si="57"/>
        <v>July</v>
      </c>
      <c r="I955" t="str">
        <f t="shared" si="58"/>
        <v>Q3</v>
      </c>
      <c r="J955" t="str">
        <f t="shared" si="59"/>
        <v>Large</v>
      </c>
    </row>
    <row r="956" spans="1:10" x14ac:dyDescent="0.25">
      <c r="A956" t="s">
        <v>24</v>
      </c>
      <c r="B956" t="s">
        <v>7</v>
      </c>
      <c r="C956" t="s">
        <v>39</v>
      </c>
      <c r="D956" s="1">
        <v>44776</v>
      </c>
      <c r="E956" s="2">
        <v>9345</v>
      </c>
      <c r="F956">
        <v>133</v>
      </c>
      <c r="G956" s="2">
        <f t="shared" si="56"/>
        <v>70.263157894736835</v>
      </c>
      <c r="H956" t="str">
        <f t="shared" si="57"/>
        <v>August</v>
      </c>
      <c r="I956" t="str">
        <f t="shared" si="58"/>
        <v>Q3</v>
      </c>
      <c r="J956" t="str">
        <f t="shared" si="59"/>
        <v>Large</v>
      </c>
    </row>
    <row r="957" spans="1:10" x14ac:dyDescent="0.25">
      <c r="A957" t="s">
        <v>38</v>
      </c>
      <c r="B957" t="s">
        <v>7</v>
      </c>
      <c r="C957" t="s">
        <v>13</v>
      </c>
      <c r="D957" s="1">
        <v>44621</v>
      </c>
      <c r="E957" s="2">
        <v>15008</v>
      </c>
      <c r="F957">
        <v>165</v>
      </c>
      <c r="G957" s="2">
        <f t="shared" si="56"/>
        <v>90.957575757575754</v>
      </c>
      <c r="H957" t="str">
        <f t="shared" si="57"/>
        <v>March</v>
      </c>
      <c r="I957" t="str">
        <f t="shared" si="58"/>
        <v>Q1</v>
      </c>
      <c r="J957" t="str">
        <f t="shared" si="59"/>
        <v>Large</v>
      </c>
    </row>
    <row r="958" spans="1:10" x14ac:dyDescent="0.25">
      <c r="A958" t="s">
        <v>49</v>
      </c>
      <c r="B958" t="s">
        <v>21</v>
      </c>
      <c r="C958" t="s">
        <v>44</v>
      </c>
      <c r="D958" s="1">
        <v>44664</v>
      </c>
      <c r="E958" s="2">
        <v>7609</v>
      </c>
      <c r="F958">
        <v>150</v>
      </c>
      <c r="G958" s="2">
        <f t="shared" si="56"/>
        <v>50.726666666666667</v>
      </c>
      <c r="H958" t="str">
        <f t="shared" si="57"/>
        <v>April</v>
      </c>
      <c r="I958" t="str">
        <f t="shared" si="58"/>
        <v>Q2</v>
      </c>
      <c r="J958" t="str">
        <f t="shared" si="59"/>
        <v>Large</v>
      </c>
    </row>
    <row r="959" spans="1:10" x14ac:dyDescent="0.25">
      <c r="A959" t="s">
        <v>34</v>
      </c>
      <c r="B959" t="s">
        <v>29</v>
      </c>
      <c r="C959" t="s">
        <v>42</v>
      </c>
      <c r="D959" s="1">
        <v>44606</v>
      </c>
      <c r="E959" s="2">
        <v>10332</v>
      </c>
      <c r="F959">
        <v>180</v>
      </c>
      <c r="G959" s="2">
        <f t="shared" si="56"/>
        <v>57.4</v>
      </c>
      <c r="H959" t="str">
        <f t="shared" si="57"/>
        <v>February</v>
      </c>
      <c r="I959" t="str">
        <f t="shared" si="58"/>
        <v>Q1</v>
      </c>
      <c r="J959" t="str">
        <f t="shared" si="59"/>
        <v>Large</v>
      </c>
    </row>
    <row r="960" spans="1:10" x14ac:dyDescent="0.25">
      <c r="A960" t="s">
        <v>28</v>
      </c>
      <c r="B960" t="s">
        <v>10</v>
      </c>
      <c r="C960" t="s">
        <v>44</v>
      </c>
      <c r="D960" s="1">
        <v>44768</v>
      </c>
      <c r="E960" s="2">
        <v>819</v>
      </c>
      <c r="F960">
        <v>213</v>
      </c>
      <c r="G960" s="2">
        <f t="shared" si="56"/>
        <v>3.8450704225352115</v>
      </c>
      <c r="H960" t="str">
        <f t="shared" si="57"/>
        <v>July</v>
      </c>
      <c r="I960" t="str">
        <f t="shared" si="58"/>
        <v>Q3</v>
      </c>
      <c r="J960" t="str">
        <f t="shared" si="59"/>
        <v>Large</v>
      </c>
    </row>
    <row r="961" spans="1:10" x14ac:dyDescent="0.25">
      <c r="A961" t="s">
        <v>23</v>
      </c>
      <c r="B961" t="s">
        <v>7</v>
      </c>
      <c r="C961" t="s">
        <v>32</v>
      </c>
      <c r="D961" s="1">
        <v>44588</v>
      </c>
      <c r="E961" s="2">
        <v>5754</v>
      </c>
      <c r="F961">
        <v>133</v>
      </c>
      <c r="G961" s="2">
        <f t="shared" si="56"/>
        <v>43.263157894736842</v>
      </c>
      <c r="H961" t="str">
        <f t="shared" si="57"/>
        <v>January</v>
      </c>
      <c r="I961" t="str">
        <f t="shared" si="58"/>
        <v>Q1</v>
      </c>
      <c r="J961" t="str">
        <f t="shared" si="59"/>
        <v>Large</v>
      </c>
    </row>
    <row r="962" spans="1:10" x14ac:dyDescent="0.25">
      <c r="A962" t="s">
        <v>6</v>
      </c>
      <c r="B962" t="s">
        <v>10</v>
      </c>
      <c r="C962" t="s">
        <v>13</v>
      </c>
      <c r="D962" s="1">
        <v>44665</v>
      </c>
      <c r="E962" s="2">
        <v>28</v>
      </c>
      <c r="F962">
        <v>446</v>
      </c>
      <c r="G962" s="2">
        <f t="shared" si="56"/>
        <v>6.2780269058295965E-2</v>
      </c>
      <c r="H962" t="str">
        <f t="shared" si="57"/>
        <v>April</v>
      </c>
      <c r="I962" t="str">
        <f t="shared" si="58"/>
        <v>Q2</v>
      </c>
      <c r="J962" t="str">
        <f t="shared" si="59"/>
        <v>Small</v>
      </c>
    </row>
    <row r="963" spans="1:10" x14ac:dyDescent="0.25">
      <c r="A963" t="s">
        <v>17</v>
      </c>
      <c r="B963" t="s">
        <v>26</v>
      </c>
      <c r="C963" t="s">
        <v>47</v>
      </c>
      <c r="D963" s="1">
        <v>44700</v>
      </c>
      <c r="E963" s="2">
        <v>6440</v>
      </c>
      <c r="F963">
        <v>141</v>
      </c>
      <c r="G963" s="2">
        <f t="shared" ref="G963:G1026" si="60">E963/F963</f>
        <v>45.673758865248224</v>
      </c>
      <c r="H963" t="str">
        <f t="shared" ref="H963:H1026" si="61">TEXT(D963, "mmmm")</f>
        <v>May</v>
      </c>
      <c r="I963" t="str">
        <f t="shared" ref="I963:I1026" si="62">"Q" &amp; ROUNDUP(MONTH(D963)/3,0)</f>
        <v>Q2</v>
      </c>
      <c r="J963" t="str">
        <f t="shared" ref="J963:J1026" si="63">IF(E963 &gt; 500, "Large", "Small")</f>
        <v>Large</v>
      </c>
    </row>
    <row r="964" spans="1:10" x14ac:dyDescent="0.25">
      <c r="A964" t="s">
        <v>40</v>
      </c>
      <c r="B964" t="s">
        <v>10</v>
      </c>
      <c r="C964" t="s">
        <v>30</v>
      </c>
      <c r="D964" s="1">
        <v>44601</v>
      </c>
      <c r="E964" s="2">
        <v>4956</v>
      </c>
      <c r="F964">
        <v>58</v>
      </c>
      <c r="G964" s="2">
        <f t="shared" si="60"/>
        <v>85.448275862068968</v>
      </c>
      <c r="H964" t="str">
        <f t="shared" si="61"/>
        <v>February</v>
      </c>
      <c r="I964" t="str">
        <f t="shared" si="62"/>
        <v>Q1</v>
      </c>
      <c r="J964" t="str">
        <f t="shared" si="63"/>
        <v>Large</v>
      </c>
    </row>
    <row r="965" spans="1:10" x14ac:dyDescent="0.25">
      <c r="A965" t="s">
        <v>23</v>
      </c>
      <c r="B965" t="s">
        <v>7</v>
      </c>
      <c r="C965" t="s">
        <v>39</v>
      </c>
      <c r="D965" s="1">
        <v>44706</v>
      </c>
      <c r="E965" s="2">
        <v>2352</v>
      </c>
      <c r="F965">
        <v>58</v>
      </c>
      <c r="G965" s="2">
        <f t="shared" si="60"/>
        <v>40.551724137931032</v>
      </c>
      <c r="H965" t="str">
        <f t="shared" si="61"/>
        <v>May</v>
      </c>
      <c r="I965" t="str">
        <f t="shared" si="62"/>
        <v>Q2</v>
      </c>
      <c r="J965" t="str">
        <f t="shared" si="63"/>
        <v>Large</v>
      </c>
    </row>
    <row r="966" spans="1:10" x14ac:dyDescent="0.25">
      <c r="A966" t="s">
        <v>17</v>
      </c>
      <c r="B966" t="s">
        <v>15</v>
      </c>
      <c r="C966" t="s">
        <v>45</v>
      </c>
      <c r="D966" s="1">
        <v>44587</v>
      </c>
      <c r="E966" s="2">
        <v>3906</v>
      </c>
      <c r="F966">
        <v>76</v>
      </c>
      <c r="G966" s="2">
        <f t="shared" si="60"/>
        <v>51.39473684210526</v>
      </c>
      <c r="H966" t="str">
        <f t="shared" si="61"/>
        <v>January</v>
      </c>
      <c r="I966" t="str">
        <f t="shared" si="62"/>
        <v>Q1</v>
      </c>
      <c r="J966" t="str">
        <f t="shared" si="63"/>
        <v>Large</v>
      </c>
    </row>
    <row r="967" spans="1:10" x14ac:dyDescent="0.25">
      <c r="A967" t="s">
        <v>34</v>
      </c>
      <c r="B967" t="s">
        <v>10</v>
      </c>
      <c r="C967" t="s">
        <v>44</v>
      </c>
      <c r="D967" s="1">
        <v>44746</v>
      </c>
      <c r="E967" s="2">
        <v>1813</v>
      </c>
      <c r="F967">
        <v>296</v>
      </c>
      <c r="G967" s="2">
        <f t="shared" si="60"/>
        <v>6.125</v>
      </c>
      <c r="H967" t="str">
        <f t="shared" si="61"/>
        <v>July</v>
      </c>
      <c r="I967" t="str">
        <f t="shared" si="62"/>
        <v>Q3</v>
      </c>
      <c r="J967" t="str">
        <f t="shared" si="63"/>
        <v>Large</v>
      </c>
    </row>
    <row r="968" spans="1:10" x14ac:dyDescent="0.25">
      <c r="A968" t="s">
        <v>55</v>
      </c>
      <c r="B968" t="s">
        <v>10</v>
      </c>
      <c r="C968" t="s">
        <v>47</v>
      </c>
      <c r="D968" s="1">
        <v>44664</v>
      </c>
      <c r="E968" s="2">
        <v>11788</v>
      </c>
      <c r="F968">
        <v>73</v>
      </c>
      <c r="G968" s="2">
        <f t="shared" si="60"/>
        <v>161.47945205479451</v>
      </c>
      <c r="H968" t="str">
        <f t="shared" si="61"/>
        <v>April</v>
      </c>
      <c r="I968" t="str">
        <f t="shared" si="62"/>
        <v>Q2</v>
      </c>
      <c r="J968" t="str">
        <f t="shared" si="63"/>
        <v>Large</v>
      </c>
    </row>
    <row r="969" spans="1:10" x14ac:dyDescent="0.25">
      <c r="A969" t="s">
        <v>12</v>
      </c>
      <c r="B969" t="s">
        <v>15</v>
      </c>
      <c r="C969" t="s">
        <v>16</v>
      </c>
      <c r="D969" s="1">
        <v>44586</v>
      </c>
      <c r="E969" s="2">
        <v>5768</v>
      </c>
      <c r="F969">
        <v>119</v>
      </c>
      <c r="G969" s="2">
        <f t="shared" si="60"/>
        <v>48.470588235294116</v>
      </c>
      <c r="H969" t="str">
        <f t="shared" si="61"/>
        <v>January</v>
      </c>
      <c r="I969" t="str">
        <f t="shared" si="62"/>
        <v>Q1</v>
      </c>
      <c r="J969" t="str">
        <f t="shared" si="63"/>
        <v>Large</v>
      </c>
    </row>
    <row r="970" spans="1:10" x14ac:dyDescent="0.25">
      <c r="A970" t="s">
        <v>50</v>
      </c>
      <c r="B970" t="s">
        <v>26</v>
      </c>
      <c r="C970" t="s">
        <v>11</v>
      </c>
      <c r="D970" s="1">
        <v>44676</v>
      </c>
      <c r="E970" s="2">
        <v>2401</v>
      </c>
      <c r="F970">
        <v>78</v>
      </c>
      <c r="G970" s="2">
        <f t="shared" si="60"/>
        <v>30.782051282051281</v>
      </c>
      <c r="H970" t="str">
        <f t="shared" si="61"/>
        <v>April</v>
      </c>
      <c r="I970" t="str">
        <f t="shared" si="62"/>
        <v>Q2</v>
      </c>
      <c r="J970" t="str">
        <f t="shared" si="63"/>
        <v>Large</v>
      </c>
    </row>
    <row r="971" spans="1:10" x14ac:dyDescent="0.25">
      <c r="A971" t="s">
        <v>50</v>
      </c>
      <c r="B971" t="s">
        <v>26</v>
      </c>
      <c r="C971" t="s">
        <v>30</v>
      </c>
      <c r="D971" s="1">
        <v>44722</v>
      </c>
      <c r="E971" s="2">
        <v>4515</v>
      </c>
      <c r="F971">
        <v>392</v>
      </c>
      <c r="G971" s="2">
        <f t="shared" si="60"/>
        <v>11.517857142857142</v>
      </c>
      <c r="H971" t="str">
        <f t="shared" si="61"/>
        <v>June</v>
      </c>
      <c r="I971" t="str">
        <f t="shared" si="62"/>
        <v>Q2</v>
      </c>
      <c r="J971" t="str">
        <f t="shared" si="63"/>
        <v>Large</v>
      </c>
    </row>
    <row r="972" spans="1:10" x14ac:dyDescent="0.25">
      <c r="A972" t="s">
        <v>53</v>
      </c>
      <c r="B972" t="s">
        <v>21</v>
      </c>
      <c r="C972" t="s">
        <v>44</v>
      </c>
      <c r="D972" s="1">
        <v>44795</v>
      </c>
      <c r="E972" s="2">
        <v>10794</v>
      </c>
      <c r="F972">
        <v>51</v>
      </c>
      <c r="G972" s="2">
        <f t="shared" si="60"/>
        <v>211.64705882352942</v>
      </c>
      <c r="H972" t="str">
        <f t="shared" si="61"/>
        <v>August</v>
      </c>
      <c r="I972" t="str">
        <f t="shared" si="62"/>
        <v>Q3</v>
      </c>
      <c r="J972" t="str">
        <f t="shared" si="63"/>
        <v>Large</v>
      </c>
    </row>
    <row r="973" spans="1:10" x14ac:dyDescent="0.25">
      <c r="A973" t="s">
        <v>9</v>
      </c>
      <c r="B973" t="s">
        <v>10</v>
      </c>
      <c r="C973" t="s">
        <v>20</v>
      </c>
      <c r="D973" s="1">
        <v>44739</v>
      </c>
      <c r="E973" s="2">
        <v>13706</v>
      </c>
      <c r="F973">
        <v>207</v>
      </c>
      <c r="G973" s="2">
        <f t="shared" si="60"/>
        <v>66.212560386473427</v>
      </c>
      <c r="H973" t="str">
        <f t="shared" si="61"/>
        <v>June</v>
      </c>
      <c r="I973" t="str">
        <f t="shared" si="62"/>
        <v>Q2</v>
      </c>
      <c r="J973" t="str">
        <f t="shared" si="63"/>
        <v>Large</v>
      </c>
    </row>
    <row r="974" spans="1:10" x14ac:dyDescent="0.25">
      <c r="A974" t="s">
        <v>40</v>
      </c>
      <c r="B974" t="s">
        <v>10</v>
      </c>
      <c r="C974" t="s">
        <v>27</v>
      </c>
      <c r="D974" s="1">
        <v>44742</v>
      </c>
      <c r="E974" s="2">
        <v>4361</v>
      </c>
      <c r="F974">
        <v>40</v>
      </c>
      <c r="G974" s="2">
        <f t="shared" si="60"/>
        <v>109.02500000000001</v>
      </c>
      <c r="H974" t="str">
        <f t="shared" si="61"/>
        <v>June</v>
      </c>
      <c r="I974" t="str">
        <f t="shared" si="62"/>
        <v>Q2</v>
      </c>
      <c r="J974" t="str">
        <f t="shared" si="63"/>
        <v>Large</v>
      </c>
    </row>
    <row r="975" spans="1:10" x14ac:dyDescent="0.25">
      <c r="A975" t="s">
        <v>6</v>
      </c>
      <c r="B975" t="s">
        <v>10</v>
      </c>
      <c r="C975" t="s">
        <v>47</v>
      </c>
      <c r="D975" s="1">
        <v>44803</v>
      </c>
      <c r="E975" s="2">
        <v>10122</v>
      </c>
      <c r="F975">
        <v>100</v>
      </c>
      <c r="G975" s="2">
        <f t="shared" si="60"/>
        <v>101.22</v>
      </c>
      <c r="H975" t="str">
        <f t="shared" si="61"/>
        <v>August</v>
      </c>
      <c r="I975" t="str">
        <f t="shared" si="62"/>
        <v>Q3</v>
      </c>
      <c r="J975" t="str">
        <f t="shared" si="63"/>
        <v>Large</v>
      </c>
    </row>
    <row r="976" spans="1:10" x14ac:dyDescent="0.25">
      <c r="A976" t="s">
        <v>31</v>
      </c>
      <c r="B976" t="s">
        <v>15</v>
      </c>
      <c r="C976" t="s">
        <v>51</v>
      </c>
      <c r="D976" s="1">
        <v>44796</v>
      </c>
      <c r="E976" s="2">
        <v>994</v>
      </c>
      <c r="F976">
        <v>57</v>
      </c>
      <c r="G976" s="2">
        <f t="shared" si="60"/>
        <v>17.438596491228068</v>
      </c>
      <c r="H976" t="str">
        <f t="shared" si="61"/>
        <v>August</v>
      </c>
      <c r="I976" t="str">
        <f t="shared" si="62"/>
        <v>Q3</v>
      </c>
      <c r="J976" t="str">
        <f t="shared" si="63"/>
        <v>Large</v>
      </c>
    </row>
    <row r="977" spans="1:10" x14ac:dyDescent="0.25">
      <c r="A977" t="s">
        <v>50</v>
      </c>
      <c r="B977" t="s">
        <v>21</v>
      </c>
      <c r="C977" t="s">
        <v>18</v>
      </c>
      <c r="D977" s="1">
        <v>44799</v>
      </c>
      <c r="E977" s="2">
        <v>2268</v>
      </c>
      <c r="F977">
        <v>42</v>
      </c>
      <c r="G977" s="2">
        <f t="shared" si="60"/>
        <v>54</v>
      </c>
      <c r="H977" t="str">
        <f t="shared" si="61"/>
        <v>August</v>
      </c>
      <c r="I977" t="str">
        <f t="shared" si="62"/>
        <v>Q3</v>
      </c>
      <c r="J977" t="str">
        <f t="shared" si="63"/>
        <v>Large</v>
      </c>
    </row>
    <row r="978" spans="1:10" x14ac:dyDescent="0.25">
      <c r="A978" t="s">
        <v>12</v>
      </c>
      <c r="B978" t="s">
        <v>15</v>
      </c>
      <c r="C978" t="s">
        <v>27</v>
      </c>
      <c r="D978" s="1">
        <v>44629</v>
      </c>
      <c r="E978" s="2">
        <v>574</v>
      </c>
      <c r="F978">
        <v>156</v>
      </c>
      <c r="G978" s="2">
        <f t="shared" si="60"/>
        <v>3.6794871794871793</v>
      </c>
      <c r="H978" t="str">
        <f t="shared" si="61"/>
        <v>March</v>
      </c>
      <c r="I978" t="str">
        <f t="shared" si="62"/>
        <v>Q1</v>
      </c>
      <c r="J978" t="str">
        <f t="shared" si="63"/>
        <v>Large</v>
      </c>
    </row>
    <row r="979" spans="1:10" x14ac:dyDescent="0.25">
      <c r="A979" t="s">
        <v>49</v>
      </c>
      <c r="B979" t="s">
        <v>7</v>
      </c>
      <c r="C979" t="s">
        <v>32</v>
      </c>
      <c r="D979" s="1">
        <v>44671</v>
      </c>
      <c r="E979" s="2">
        <v>1792</v>
      </c>
      <c r="F979">
        <v>23</v>
      </c>
      <c r="G979" s="2">
        <f t="shared" si="60"/>
        <v>77.913043478260875</v>
      </c>
      <c r="H979" t="str">
        <f t="shared" si="61"/>
        <v>April</v>
      </c>
      <c r="I979" t="str">
        <f t="shared" si="62"/>
        <v>Q2</v>
      </c>
      <c r="J979" t="str">
        <f t="shared" si="63"/>
        <v>Large</v>
      </c>
    </row>
    <row r="980" spans="1:10" x14ac:dyDescent="0.25">
      <c r="A980" t="s">
        <v>28</v>
      </c>
      <c r="B980" t="s">
        <v>29</v>
      </c>
      <c r="C980" t="s">
        <v>57</v>
      </c>
      <c r="D980" s="1">
        <v>44722</v>
      </c>
      <c r="E980" s="2">
        <v>4844</v>
      </c>
      <c r="F980">
        <v>539</v>
      </c>
      <c r="G980" s="2">
        <f t="shared" si="60"/>
        <v>8.9870129870129869</v>
      </c>
      <c r="H980" t="str">
        <f t="shared" si="61"/>
        <v>June</v>
      </c>
      <c r="I980" t="str">
        <f t="shared" si="62"/>
        <v>Q2</v>
      </c>
      <c r="J980" t="str">
        <f t="shared" si="63"/>
        <v>Large</v>
      </c>
    </row>
    <row r="981" spans="1:10" x14ac:dyDescent="0.25">
      <c r="A981" t="s">
        <v>40</v>
      </c>
      <c r="B981" t="s">
        <v>15</v>
      </c>
      <c r="C981" t="s">
        <v>35</v>
      </c>
      <c r="D981" s="1">
        <v>44600</v>
      </c>
      <c r="E981" s="2">
        <v>938</v>
      </c>
      <c r="F981">
        <v>158</v>
      </c>
      <c r="G981" s="2">
        <f t="shared" si="60"/>
        <v>5.9367088607594933</v>
      </c>
      <c r="H981" t="str">
        <f t="shared" si="61"/>
        <v>February</v>
      </c>
      <c r="I981" t="str">
        <f t="shared" si="62"/>
        <v>Q1</v>
      </c>
      <c r="J981" t="str">
        <f t="shared" si="63"/>
        <v>Large</v>
      </c>
    </row>
    <row r="982" spans="1:10" x14ac:dyDescent="0.25">
      <c r="A982" t="s">
        <v>23</v>
      </c>
      <c r="B982" t="s">
        <v>15</v>
      </c>
      <c r="C982" t="s">
        <v>44</v>
      </c>
      <c r="D982" s="1">
        <v>44798</v>
      </c>
      <c r="E982" s="2">
        <v>4879</v>
      </c>
      <c r="F982">
        <v>22</v>
      </c>
      <c r="G982" s="2">
        <f t="shared" si="60"/>
        <v>221.77272727272728</v>
      </c>
      <c r="H982" t="str">
        <f t="shared" si="61"/>
        <v>August</v>
      </c>
      <c r="I982" t="str">
        <f t="shared" si="62"/>
        <v>Q3</v>
      </c>
      <c r="J982" t="str">
        <f t="shared" si="63"/>
        <v>Large</v>
      </c>
    </row>
    <row r="983" spans="1:10" x14ac:dyDescent="0.25">
      <c r="A983" t="s">
        <v>54</v>
      </c>
      <c r="B983" t="s">
        <v>10</v>
      </c>
      <c r="C983" t="s">
        <v>13</v>
      </c>
      <c r="D983" s="1">
        <v>44608</v>
      </c>
      <c r="E983" s="2">
        <v>9107</v>
      </c>
      <c r="F983">
        <v>73</v>
      </c>
      <c r="G983" s="2">
        <f t="shared" si="60"/>
        <v>124.75342465753425</v>
      </c>
      <c r="H983" t="str">
        <f t="shared" si="61"/>
        <v>February</v>
      </c>
      <c r="I983" t="str">
        <f t="shared" si="62"/>
        <v>Q1</v>
      </c>
      <c r="J983" t="str">
        <f t="shared" si="63"/>
        <v>Large</v>
      </c>
    </row>
    <row r="984" spans="1:10" x14ac:dyDescent="0.25">
      <c r="A984" t="s">
        <v>43</v>
      </c>
      <c r="B984" t="s">
        <v>7</v>
      </c>
      <c r="C984" t="s">
        <v>18</v>
      </c>
      <c r="D984" s="1">
        <v>44711</v>
      </c>
      <c r="E984" s="2">
        <v>12187</v>
      </c>
      <c r="F984">
        <v>27</v>
      </c>
      <c r="G984" s="2">
        <f t="shared" si="60"/>
        <v>451.37037037037038</v>
      </c>
      <c r="H984" t="str">
        <f t="shared" si="61"/>
        <v>May</v>
      </c>
      <c r="I984" t="str">
        <f t="shared" si="62"/>
        <v>Q2</v>
      </c>
      <c r="J984" t="str">
        <f t="shared" si="63"/>
        <v>Large</v>
      </c>
    </row>
    <row r="985" spans="1:10" x14ac:dyDescent="0.25">
      <c r="A985" t="s">
        <v>12</v>
      </c>
      <c r="B985" t="s">
        <v>21</v>
      </c>
      <c r="C985" t="s">
        <v>22</v>
      </c>
      <c r="D985" s="1">
        <v>44741</v>
      </c>
      <c r="E985" s="2">
        <v>5670</v>
      </c>
      <c r="F985">
        <v>64</v>
      </c>
      <c r="G985" s="2">
        <f t="shared" si="60"/>
        <v>88.59375</v>
      </c>
      <c r="H985" t="str">
        <f t="shared" si="61"/>
        <v>June</v>
      </c>
      <c r="I985" t="str">
        <f t="shared" si="62"/>
        <v>Q2</v>
      </c>
      <c r="J985" t="str">
        <f t="shared" si="63"/>
        <v>Large</v>
      </c>
    </row>
    <row r="986" spans="1:10" x14ac:dyDescent="0.25">
      <c r="A986" t="s">
        <v>12</v>
      </c>
      <c r="B986" t="s">
        <v>26</v>
      </c>
      <c r="C986" t="s">
        <v>37</v>
      </c>
      <c r="D986" s="1">
        <v>44728</v>
      </c>
      <c r="E986" s="2">
        <v>476</v>
      </c>
      <c r="F986">
        <v>133</v>
      </c>
      <c r="G986" s="2">
        <f t="shared" si="60"/>
        <v>3.5789473684210527</v>
      </c>
      <c r="H986" t="str">
        <f t="shared" si="61"/>
        <v>June</v>
      </c>
      <c r="I986" t="str">
        <f t="shared" si="62"/>
        <v>Q2</v>
      </c>
      <c r="J986" t="str">
        <f t="shared" si="63"/>
        <v>Small</v>
      </c>
    </row>
    <row r="987" spans="1:10" x14ac:dyDescent="0.25">
      <c r="A987" t="s">
        <v>23</v>
      </c>
      <c r="B987" t="s">
        <v>7</v>
      </c>
      <c r="C987" t="s">
        <v>57</v>
      </c>
      <c r="D987" s="1">
        <v>44624</v>
      </c>
      <c r="E987" s="2">
        <v>2681</v>
      </c>
      <c r="F987">
        <v>149</v>
      </c>
      <c r="G987" s="2">
        <f t="shared" si="60"/>
        <v>17.993288590604028</v>
      </c>
      <c r="H987" t="str">
        <f t="shared" si="61"/>
        <v>March</v>
      </c>
      <c r="I987" t="str">
        <f t="shared" si="62"/>
        <v>Q1</v>
      </c>
      <c r="J987" t="str">
        <f t="shared" si="63"/>
        <v>Large</v>
      </c>
    </row>
    <row r="988" spans="1:10" x14ac:dyDescent="0.25">
      <c r="A988" t="s">
        <v>38</v>
      </c>
      <c r="B988" t="s">
        <v>21</v>
      </c>
      <c r="C988" t="s">
        <v>13</v>
      </c>
      <c r="D988" s="1">
        <v>44635</v>
      </c>
      <c r="E988" s="2">
        <v>1533</v>
      </c>
      <c r="F988">
        <v>434</v>
      </c>
      <c r="G988" s="2">
        <f t="shared" si="60"/>
        <v>3.532258064516129</v>
      </c>
      <c r="H988" t="str">
        <f t="shared" si="61"/>
        <v>March</v>
      </c>
      <c r="I988" t="str">
        <f t="shared" si="62"/>
        <v>Q1</v>
      </c>
      <c r="J988" t="str">
        <f t="shared" si="63"/>
        <v>Large</v>
      </c>
    </row>
    <row r="989" spans="1:10" x14ac:dyDescent="0.25">
      <c r="A989" t="s">
        <v>38</v>
      </c>
      <c r="B989" t="s">
        <v>21</v>
      </c>
      <c r="C989" t="s">
        <v>22</v>
      </c>
      <c r="D989" s="1">
        <v>44588</v>
      </c>
      <c r="E989" s="2">
        <v>9765</v>
      </c>
      <c r="F989">
        <v>85</v>
      </c>
      <c r="G989" s="2">
        <f t="shared" si="60"/>
        <v>114.88235294117646</v>
      </c>
      <c r="H989" t="str">
        <f t="shared" si="61"/>
        <v>January</v>
      </c>
      <c r="I989" t="str">
        <f t="shared" si="62"/>
        <v>Q1</v>
      </c>
      <c r="J989" t="str">
        <f t="shared" si="63"/>
        <v>Large</v>
      </c>
    </row>
    <row r="990" spans="1:10" x14ac:dyDescent="0.25">
      <c r="A990" t="s">
        <v>34</v>
      </c>
      <c r="B990" t="s">
        <v>29</v>
      </c>
      <c r="C990" t="s">
        <v>32</v>
      </c>
      <c r="D990" s="1">
        <v>44747</v>
      </c>
      <c r="E990" s="2">
        <v>994</v>
      </c>
      <c r="F990">
        <v>118</v>
      </c>
      <c r="G990" s="2">
        <f t="shared" si="60"/>
        <v>8.4237288135593218</v>
      </c>
      <c r="H990" t="str">
        <f t="shared" si="61"/>
        <v>July</v>
      </c>
      <c r="I990" t="str">
        <f t="shared" si="62"/>
        <v>Q3</v>
      </c>
      <c r="J990" t="str">
        <f t="shared" si="63"/>
        <v>Large</v>
      </c>
    </row>
    <row r="991" spans="1:10" x14ac:dyDescent="0.25">
      <c r="A991" t="s">
        <v>25</v>
      </c>
      <c r="B991" t="s">
        <v>26</v>
      </c>
      <c r="C991" t="s">
        <v>57</v>
      </c>
      <c r="D991" s="1">
        <v>44649</v>
      </c>
      <c r="E991" s="2">
        <v>3318</v>
      </c>
      <c r="F991">
        <v>299</v>
      </c>
      <c r="G991" s="2">
        <f t="shared" si="60"/>
        <v>11.096989966555183</v>
      </c>
      <c r="H991" t="str">
        <f t="shared" si="61"/>
        <v>March</v>
      </c>
      <c r="I991" t="str">
        <f t="shared" si="62"/>
        <v>Q1</v>
      </c>
      <c r="J991" t="str">
        <f t="shared" si="63"/>
        <v>Large</v>
      </c>
    </row>
    <row r="992" spans="1:10" x14ac:dyDescent="0.25">
      <c r="A992" t="s">
        <v>28</v>
      </c>
      <c r="B992" t="s">
        <v>29</v>
      </c>
      <c r="C992" t="s">
        <v>47</v>
      </c>
      <c r="D992" s="1">
        <v>44693</v>
      </c>
      <c r="E992" s="2">
        <v>4214</v>
      </c>
      <c r="F992">
        <v>35</v>
      </c>
      <c r="G992" s="2">
        <f t="shared" si="60"/>
        <v>120.4</v>
      </c>
      <c r="H992" t="str">
        <f t="shared" si="61"/>
        <v>May</v>
      </c>
      <c r="I992" t="str">
        <f t="shared" si="62"/>
        <v>Q2</v>
      </c>
      <c r="J992" t="str">
        <f t="shared" si="63"/>
        <v>Large</v>
      </c>
    </row>
    <row r="993" spans="1:10" x14ac:dyDescent="0.25">
      <c r="A993" t="s">
        <v>17</v>
      </c>
      <c r="B993" t="s">
        <v>26</v>
      </c>
      <c r="C993" t="s">
        <v>32</v>
      </c>
      <c r="D993" s="1">
        <v>44631</v>
      </c>
      <c r="E993" s="2">
        <v>7714</v>
      </c>
      <c r="F993">
        <v>44</v>
      </c>
      <c r="G993" s="2">
        <f t="shared" si="60"/>
        <v>175.31818181818181</v>
      </c>
      <c r="H993" t="str">
        <f t="shared" si="61"/>
        <v>March</v>
      </c>
      <c r="I993" t="str">
        <f t="shared" si="62"/>
        <v>Q1</v>
      </c>
      <c r="J993" t="str">
        <f t="shared" si="63"/>
        <v>Large</v>
      </c>
    </row>
    <row r="994" spans="1:10" x14ac:dyDescent="0.25">
      <c r="A994" t="s">
        <v>23</v>
      </c>
      <c r="B994" t="s">
        <v>21</v>
      </c>
      <c r="C994" t="s">
        <v>30</v>
      </c>
      <c r="D994" s="1">
        <v>44753</v>
      </c>
      <c r="E994" s="2">
        <v>4690</v>
      </c>
      <c r="F994">
        <v>299</v>
      </c>
      <c r="G994" s="2">
        <f t="shared" si="60"/>
        <v>15.685618729096991</v>
      </c>
      <c r="H994" t="str">
        <f t="shared" si="61"/>
        <v>July</v>
      </c>
      <c r="I994" t="str">
        <f t="shared" si="62"/>
        <v>Q3</v>
      </c>
      <c r="J994" t="str">
        <f t="shared" si="63"/>
        <v>Large</v>
      </c>
    </row>
    <row r="995" spans="1:10" x14ac:dyDescent="0.25">
      <c r="A995" t="s">
        <v>19</v>
      </c>
      <c r="B995" t="s">
        <v>21</v>
      </c>
      <c r="C995" t="s">
        <v>52</v>
      </c>
      <c r="D995" s="1">
        <v>44774</v>
      </c>
      <c r="E995" s="2">
        <v>13062</v>
      </c>
      <c r="F995">
        <v>62</v>
      </c>
      <c r="G995" s="2">
        <f t="shared" si="60"/>
        <v>210.67741935483872</v>
      </c>
      <c r="H995" t="str">
        <f t="shared" si="61"/>
        <v>August</v>
      </c>
      <c r="I995" t="str">
        <f t="shared" si="62"/>
        <v>Q3</v>
      </c>
      <c r="J995" t="str">
        <f t="shared" si="63"/>
        <v>Large</v>
      </c>
    </row>
    <row r="996" spans="1:10" x14ac:dyDescent="0.25">
      <c r="A996" t="s">
        <v>19</v>
      </c>
      <c r="B996" t="s">
        <v>7</v>
      </c>
      <c r="C996" t="s">
        <v>39</v>
      </c>
      <c r="D996" s="1">
        <v>44608</v>
      </c>
      <c r="E996" s="2">
        <v>12488</v>
      </c>
      <c r="F996">
        <v>200</v>
      </c>
      <c r="G996" s="2">
        <f t="shared" si="60"/>
        <v>62.44</v>
      </c>
      <c r="H996" t="str">
        <f t="shared" si="61"/>
        <v>February</v>
      </c>
      <c r="I996" t="str">
        <f t="shared" si="62"/>
        <v>Q1</v>
      </c>
      <c r="J996" t="str">
        <f t="shared" si="63"/>
        <v>Large</v>
      </c>
    </row>
    <row r="997" spans="1:10" x14ac:dyDescent="0.25">
      <c r="A997" t="s">
        <v>38</v>
      </c>
      <c r="B997" t="s">
        <v>26</v>
      </c>
      <c r="C997" t="s">
        <v>20</v>
      </c>
      <c r="D997" s="1">
        <v>44664</v>
      </c>
      <c r="E997" s="2">
        <v>14147</v>
      </c>
      <c r="F997">
        <v>235</v>
      </c>
      <c r="G997" s="2">
        <f t="shared" si="60"/>
        <v>60.2</v>
      </c>
      <c r="H997" t="str">
        <f t="shared" si="61"/>
        <v>April</v>
      </c>
      <c r="I997" t="str">
        <f t="shared" si="62"/>
        <v>Q2</v>
      </c>
      <c r="J997" t="str">
        <f t="shared" si="63"/>
        <v>Large</v>
      </c>
    </row>
    <row r="998" spans="1:10" x14ac:dyDescent="0.25">
      <c r="A998" t="s">
        <v>17</v>
      </c>
      <c r="B998" t="s">
        <v>10</v>
      </c>
      <c r="C998" t="s">
        <v>52</v>
      </c>
      <c r="D998" s="1">
        <v>44606</v>
      </c>
      <c r="E998" s="2">
        <v>49</v>
      </c>
      <c r="F998">
        <v>363</v>
      </c>
      <c r="G998" s="2">
        <f t="shared" si="60"/>
        <v>0.13498622589531681</v>
      </c>
      <c r="H998" t="str">
        <f t="shared" si="61"/>
        <v>February</v>
      </c>
      <c r="I998" t="str">
        <f t="shared" si="62"/>
        <v>Q1</v>
      </c>
      <c r="J998" t="str">
        <f t="shared" si="63"/>
        <v>Small</v>
      </c>
    </row>
    <row r="999" spans="1:10" x14ac:dyDescent="0.25">
      <c r="A999" t="s">
        <v>55</v>
      </c>
      <c r="B999" t="s">
        <v>15</v>
      </c>
      <c r="C999" t="s">
        <v>13</v>
      </c>
      <c r="D999" s="1">
        <v>44634</v>
      </c>
      <c r="E999" s="2">
        <v>10199</v>
      </c>
      <c r="F999">
        <v>68</v>
      </c>
      <c r="G999" s="2">
        <f t="shared" si="60"/>
        <v>149.98529411764707</v>
      </c>
      <c r="H999" t="str">
        <f t="shared" si="61"/>
        <v>March</v>
      </c>
      <c r="I999" t="str">
        <f t="shared" si="62"/>
        <v>Q1</v>
      </c>
      <c r="J999" t="str">
        <f t="shared" si="63"/>
        <v>Large</v>
      </c>
    </row>
    <row r="1000" spans="1:10" x14ac:dyDescent="0.25">
      <c r="A1000" t="s">
        <v>17</v>
      </c>
      <c r="B1000" t="s">
        <v>15</v>
      </c>
      <c r="C1000" t="s">
        <v>39</v>
      </c>
      <c r="D1000" s="1">
        <v>44677</v>
      </c>
      <c r="E1000" s="2">
        <v>11389</v>
      </c>
      <c r="F1000">
        <v>26</v>
      </c>
      <c r="G1000" s="2">
        <f t="shared" si="60"/>
        <v>438.03846153846155</v>
      </c>
      <c r="H1000" t="str">
        <f t="shared" si="61"/>
        <v>April</v>
      </c>
      <c r="I1000" t="str">
        <f t="shared" si="62"/>
        <v>Q2</v>
      </c>
      <c r="J1000" t="str">
        <f t="shared" si="63"/>
        <v>Large</v>
      </c>
    </row>
    <row r="1001" spans="1:10" x14ac:dyDescent="0.25">
      <c r="A1001" t="s">
        <v>6</v>
      </c>
      <c r="B1001" t="s">
        <v>29</v>
      </c>
      <c r="C1001" t="s">
        <v>45</v>
      </c>
      <c r="D1001" s="1">
        <v>44656</v>
      </c>
      <c r="E1001" s="2">
        <v>3584</v>
      </c>
      <c r="F1001">
        <v>200</v>
      </c>
      <c r="G1001" s="2">
        <f t="shared" si="60"/>
        <v>17.920000000000002</v>
      </c>
      <c r="H1001" t="str">
        <f t="shared" si="61"/>
        <v>April</v>
      </c>
      <c r="I1001" t="str">
        <f t="shared" si="62"/>
        <v>Q2</v>
      </c>
      <c r="J1001" t="str">
        <f t="shared" si="63"/>
        <v>Large</v>
      </c>
    </row>
    <row r="1002" spans="1:10" x14ac:dyDescent="0.25">
      <c r="A1002" t="s">
        <v>50</v>
      </c>
      <c r="B1002" t="s">
        <v>29</v>
      </c>
      <c r="C1002" t="s">
        <v>32</v>
      </c>
      <c r="D1002" s="1">
        <v>44623</v>
      </c>
      <c r="E1002" s="2">
        <v>12481</v>
      </c>
      <c r="F1002">
        <v>264</v>
      </c>
      <c r="G1002" s="2">
        <f t="shared" si="60"/>
        <v>47.276515151515149</v>
      </c>
      <c r="H1002" t="str">
        <f t="shared" si="61"/>
        <v>March</v>
      </c>
      <c r="I1002" t="str">
        <f t="shared" si="62"/>
        <v>Q1</v>
      </c>
      <c r="J1002" t="str">
        <f t="shared" si="63"/>
        <v>Large</v>
      </c>
    </row>
    <row r="1003" spans="1:10" x14ac:dyDescent="0.25">
      <c r="A1003" t="s">
        <v>41</v>
      </c>
      <c r="B1003" t="s">
        <v>26</v>
      </c>
      <c r="C1003" t="s">
        <v>39</v>
      </c>
      <c r="D1003" s="1">
        <v>44725</v>
      </c>
      <c r="E1003" s="2">
        <v>2107</v>
      </c>
      <c r="F1003">
        <v>175</v>
      </c>
      <c r="G1003" s="2">
        <f t="shared" si="60"/>
        <v>12.04</v>
      </c>
      <c r="H1003" t="str">
        <f t="shared" si="61"/>
        <v>June</v>
      </c>
      <c r="I1003" t="str">
        <f t="shared" si="62"/>
        <v>Q2</v>
      </c>
      <c r="J1003" t="str">
        <f t="shared" si="63"/>
        <v>Large</v>
      </c>
    </row>
    <row r="1004" spans="1:10" x14ac:dyDescent="0.25">
      <c r="A1004" t="s">
        <v>33</v>
      </c>
      <c r="B1004" t="s">
        <v>21</v>
      </c>
      <c r="C1004" t="s">
        <v>58</v>
      </c>
      <c r="D1004" s="1">
        <v>44606</v>
      </c>
      <c r="E1004" s="2">
        <v>8603</v>
      </c>
      <c r="F1004">
        <v>352</v>
      </c>
      <c r="G1004" s="2">
        <f t="shared" si="60"/>
        <v>24.44034090909091</v>
      </c>
      <c r="H1004" t="str">
        <f t="shared" si="61"/>
        <v>February</v>
      </c>
      <c r="I1004" t="str">
        <f t="shared" si="62"/>
        <v>Q1</v>
      </c>
      <c r="J1004" t="str">
        <f t="shared" si="63"/>
        <v>Large</v>
      </c>
    </row>
    <row r="1005" spans="1:10" x14ac:dyDescent="0.25">
      <c r="A1005" t="s">
        <v>36</v>
      </c>
      <c r="B1005" t="s">
        <v>21</v>
      </c>
      <c r="C1005" t="s">
        <v>18</v>
      </c>
      <c r="D1005" s="1">
        <v>44669</v>
      </c>
      <c r="E1005" s="2">
        <v>7483</v>
      </c>
      <c r="F1005">
        <v>183</v>
      </c>
      <c r="G1005" s="2">
        <f t="shared" si="60"/>
        <v>40.89071038251366</v>
      </c>
      <c r="H1005" t="str">
        <f t="shared" si="61"/>
        <v>April</v>
      </c>
      <c r="I1005" t="str">
        <f t="shared" si="62"/>
        <v>Q2</v>
      </c>
      <c r="J1005" t="str">
        <f t="shared" si="63"/>
        <v>Large</v>
      </c>
    </row>
    <row r="1006" spans="1:10" x14ac:dyDescent="0.25">
      <c r="A1006" t="s">
        <v>17</v>
      </c>
      <c r="B1006" t="s">
        <v>21</v>
      </c>
      <c r="C1006" t="s">
        <v>11</v>
      </c>
      <c r="D1006" s="1">
        <v>44593</v>
      </c>
      <c r="E1006" s="2">
        <v>3381</v>
      </c>
      <c r="F1006">
        <v>417</v>
      </c>
      <c r="G1006" s="2">
        <f t="shared" si="60"/>
        <v>8.1079136690647484</v>
      </c>
      <c r="H1006" t="str">
        <f t="shared" si="61"/>
        <v>February</v>
      </c>
      <c r="I1006" t="str">
        <f t="shared" si="62"/>
        <v>Q1</v>
      </c>
      <c r="J1006" t="str">
        <f t="shared" si="63"/>
        <v>Large</v>
      </c>
    </row>
    <row r="1007" spans="1:10" x14ac:dyDescent="0.25">
      <c r="A1007" t="s">
        <v>54</v>
      </c>
      <c r="B1007" t="s">
        <v>21</v>
      </c>
      <c r="C1007" t="s">
        <v>27</v>
      </c>
      <c r="D1007" s="1">
        <v>44777</v>
      </c>
      <c r="E1007" s="2">
        <v>2030</v>
      </c>
      <c r="F1007">
        <v>146</v>
      </c>
      <c r="G1007" s="2">
        <f t="shared" si="60"/>
        <v>13.904109589041095</v>
      </c>
      <c r="H1007" t="str">
        <f t="shared" si="61"/>
        <v>August</v>
      </c>
      <c r="I1007" t="str">
        <f t="shared" si="62"/>
        <v>Q3</v>
      </c>
      <c r="J1007" t="str">
        <f t="shared" si="63"/>
        <v>Large</v>
      </c>
    </row>
    <row r="1008" spans="1:10" x14ac:dyDescent="0.25">
      <c r="A1008" t="s">
        <v>48</v>
      </c>
      <c r="B1008" t="s">
        <v>21</v>
      </c>
      <c r="C1008" t="s">
        <v>47</v>
      </c>
      <c r="D1008" s="1">
        <v>44656</v>
      </c>
      <c r="E1008" s="2">
        <v>6559</v>
      </c>
      <c r="F1008">
        <v>158</v>
      </c>
      <c r="G1008" s="2">
        <f t="shared" si="60"/>
        <v>41.5126582278481</v>
      </c>
      <c r="H1008" t="str">
        <f t="shared" si="61"/>
        <v>April</v>
      </c>
      <c r="I1008" t="str">
        <f t="shared" si="62"/>
        <v>Q2</v>
      </c>
      <c r="J1008" t="str">
        <f t="shared" si="63"/>
        <v>Large</v>
      </c>
    </row>
    <row r="1009" spans="1:10" x14ac:dyDescent="0.25">
      <c r="A1009" t="s">
        <v>31</v>
      </c>
      <c r="B1009" t="s">
        <v>15</v>
      </c>
      <c r="C1009" t="s">
        <v>18</v>
      </c>
      <c r="D1009" s="1">
        <v>44587</v>
      </c>
      <c r="E1009" s="2">
        <v>10822</v>
      </c>
      <c r="F1009">
        <v>168</v>
      </c>
      <c r="G1009" s="2">
        <f t="shared" si="60"/>
        <v>64.416666666666671</v>
      </c>
      <c r="H1009" t="str">
        <f t="shared" si="61"/>
        <v>January</v>
      </c>
      <c r="I1009" t="str">
        <f t="shared" si="62"/>
        <v>Q1</v>
      </c>
      <c r="J1009" t="str">
        <f t="shared" si="63"/>
        <v>Large</v>
      </c>
    </row>
    <row r="1010" spans="1:10" x14ac:dyDescent="0.25">
      <c r="A1010" t="s">
        <v>41</v>
      </c>
      <c r="B1010" t="s">
        <v>7</v>
      </c>
      <c r="C1010" t="s">
        <v>20</v>
      </c>
      <c r="D1010" s="1">
        <v>44582</v>
      </c>
      <c r="E1010" s="2">
        <v>18697</v>
      </c>
      <c r="F1010">
        <v>176</v>
      </c>
      <c r="G1010" s="2">
        <f t="shared" si="60"/>
        <v>106.23295454545455</v>
      </c>
      <c r="H1010" t="str">
        <f t="shared" si="61"/>
        <v>January</v>
      </c>
      <c r="I1010" t="str">
        <f t="shared" si="62"/>
        <v>Q1</v>
      </c>
      <c r="J1010" t="str">
        <f t="shared" si="63"/>
        <v>Large</v>
      </c>
    </row>
    <row r="1011" spans="1:10" x14ac:dyDescent="0.25">
      <c r="A1011" t="s">
        <v>41</v>
      </c>
      <c r="B1011" t="s">
        <v>29</v>
      </c>
      <c r="C1011" t="s">
        <v>20</v>
      </c>
      <c r="D1011" s="1">
        <v>44795</v>
      </c>
      <c r="E1011" s="2">
        <v>5845</v>
      </c>
      <c r="F1011">
        <v>172</v>
      </c>
      <c r="G1011" s="2">
        <f t="shared" si="60"/>
        <v>33.982558139534881</v>
      </c>
      <c r="H1011" t="str">
        <f t="shared" si="61"/>
        <v>August</v>
      </c>
      <c r="I1011" t="str">
        <f t="shared" si="62"/>
        <v>Q3</v>
      </c>
      <c r="J1011" t="str">
        <f t="shared" si="63"/>
        <v>Large</v>
      </c>
    </row>
    <row r="1012" spans="1:10" x14ac:dyDescent="0.25">
      <c r="A1012" t="s">
        <v>41</v>
      </c>
      <c r="B1012" t="s">
        <v>7</v>
      </c>
      <c r="C1012" t="s">
        <v>32</v>
      </c>
      <c r="D1012" s="1">
        <v>44588</v>
      </c>
      <c r="E1012" s="2">
        <v>2317</v>
      </c>
      <c r="F1012">
        <v>224</v>
      </c>
      <c r="G1012" s="2">
        <f t="shared" si="60"/>
        <v>10.34375</v>
      </c>
      <c r="H1012" t="str">
        <f t="shared" si="61"/>
        <v>January</v>
      </c>
      <c r="I1012" t="str">
        <f t="shared" si="62"/>
        <v>Q1</v>
      </c>
      <c r="J1012" t="str">
        <f t="shared" si="63"/>
        <v>Large</v>
      </c>
    </row>
    <row r="1013" spans="1:10" x14ac:dyDescent="0.25">
      <c r="A1013" t="s">
        <v>24</v>
      </c>
      <c r="B1013" t="s">
        <v>7</v>
      </c>
      <c r="C1013" t="s">
        <v>22</v>
      </c>
      <c r="D1013" s="1">
        <v>44608</v>
      </c>
      <c r="E1013" s="2">
        <v>10150</v>
      </c>
      <c r="F1013">
        <v>68</v>
      </c>
      <c r="G1013" s="2">
        <f t="shared" si="60"/>
        <v>149.26470588235293</v>
      </c>
      <c r="H1013" t="str">
        <f t="shared" si="61"/>
        <v>February</v>
      </c>
      <c r="I1013" t="str">
        <f t="shared" si="62"/>
        <v>Q1</v>
      </c>
      <c r="J1013" t="str">
        <f t="shared" si="63"/>
        <v>Large</v>
      </c>
    </row>
    <row r="1014" spans="1:10" x14ac:dyDescent="0.25">
      <c r="A1014" t="s">
        <v>54</v>
      </c>
      <c r="B1014" t="s">
        <v>26</v>
      </c>
      <c r="C1014" t="s">
        <v>51</v>
      </c>
      <c r="D1014" s="1">
        <v>44564</v>
      </c>
      <c r="E1014" s="2">
        <v>3437</v>
      </c>
      <c r="F1014">
        <v>46</v>
      </c>
      <c r="G1014" s="2">
        <f t="shared" si="60"/>
        <v>74.717391304347828</v>
      </c>
      <c r="H1014" t="str">
        <f t="shared" si="61"/>
        <v>January</v>
      </c>
      <c r="I1014" t="str">
        <f t="shared" si="62"/>
        <v>Q1</v>
      </c>
      <c r="J1014" t="str">
        <f t="shared" si="63"/>
        <v>Large</v>
      </c>
    </row>
    <row r="1015" spans="1:10" x14ac:dyDescent="0.25">
      <c r="A1015" t="s">
        <v>31</v>
      </c>
      <c r="B1015" t="s">
        <v>26</v>
      </c>
      <c r="C1015" t="s">
        <v>44</v>
      </c>
      <c r="D1015" s="1">
        <v>44797</v>
      </c>
      <c r="E1015" s="2">
        <v>4592</v>
      </c>
      <c r="F1015">
        <v>2</v>
      </c>
      <c r="G1015" s="2">
        <f t="shared" si="60"/>
        <v>2296</v>
      </c>
      <c r="H1015" t="str">
        <f t="shared" si="61"/>
        <v>August</v>
      </c>
      <c r="I1015" t="str">
        <f t="shared" si="62"/>
        <v>Q3</v>
      </c>
      <c r="J1015" t="str">
        <f t="shared" si="63"/>
        <v>Large</v>
      </c>
    </row>
    <row r="1016" spans="1:10" x14ac:dyDescent="0.25">
      <c r="A1016" t="s">
        <v>17</v>
      </c>
      <c r="B1016" t="s">
        <v>26</v>
      </c>
      <c r="C1016" t="s">
        <v>39</v>
      </c>
      <c r="D1016" s="1">
        <v>44599</v>
      </c>
      <c r="E1016" s="2">
        <v>5691</v>
      </c>
      <c r="F1016">
        <v>417</v>
      </c>
      <c r="G1016" s="2">
        <f t="shared" si="60"/>
        <v>13.647482014388489</v>
      </c>
      <c r="H1016" t="str">
        <f t="shared" si="61"/>
        <v>February</v>
      </c>
      <c r="I1016" t="str">
        <f t="shared" si="62"/>
        <v>Q1</v>
      </c>
      <c r="J1016" t="str">
        <f t="shared" si="63"/>
        <v>Large</v>
      </c>
    </row>
    <row r="1017" spans="1:10" x14ac:dyDescent="0.25">
      <c r="A1017" t="s">
        <v>28</v>
      </c>
      <c r="B1017" t="s">
        <v>15</v>
      </c>
      <c r="C1017" t="s">
        <v>16</v>
      </c>
      <c r="D1017" s="1">
        <v>44603</v>
      </c>
      <c r="E1017" s="2">
        <v>4158</v>
      </c>
      <c r="F1017">
        <v>109</v>
      </c>
      <c r="G1017" s="2">
        <f t="shared" si="60"/>
        <v>38.146788990825691</v>
      </c>
      <c r="H1017" t="str">
        <f t="shared" si="61"/>
        <v>February</v>
      </c>
      <c r="I1017" t="str">
        <f t="shared" si="62"/>
        <v>Q1</v>
      </c>
      <c r="J1017" t="str">
        <f t="shared" si="63"/>
        <v>Large</v>
      </c>
    </row>
    <row r="1018" spans="1:10" x14ac:dyDescent="0.25">
      <c r="A1018" t="s">
        <v>41</v>
      </c>
      <c r="B1018" t="s">
        <v>29</v>
      </c>
      <c r="C1018" t="s">
        <v>35</v>
      </c>
      <c r="D1018" s="1">
        <v>44649</v>
      </c>
      <c r="E1018" s="2">
        <v>5684</v>
      </c>
      <c r="F1018">
        <v>81</v>
      </c>
      <c r="G1018" s="2">
        <f t="shared" si="60"/>
        <v>70.172839506172835</v>
      </c>
      <c r="H1018" t="str">
        <f t="shared" si="61"/>
        <v>March</v>
      </c>
      <c r="I1018" t="str">
        <f t="shared" si="62"/>
        <v>Q1</v>
      </c>
      <c r="J1018" t="str">
        <f t="shared" si="63"/>
        <v>Large</v>
      </c>
    </row>
    <row r="1019" spans="1:10" x14ac:dyDescent="0.25">
      <c r="A1019" t="s">
        <v>33</v>
      </c>
      <c r="B1019" t="s">
        <v>26</v>
      </c>
      <c r="C1019" t="s">
        <v>13</v>
      </c>
      <c r="D1019" s="1">
        <v>44727</v>
      </c>
      <c r="E1019" s="2">
        <v>693</v>
      </c>
      <c r="F1019">
        <v>350</v>
      </c>
      <c r="G1019" s="2">
        <f t="shared" si="60"/>
        <v>1.98</v>
      </c>
      <c r="H1019" t="str">
        <f t="shared" si="61"/>
        <v>June</v>
      </c>
      <c r="I1019" t="str">
        <f t="shared" si="62"/>
        <v>Q2</v>
      </c>
      <c r="J1019" t="str">
        <f t="shared" si="63"/>
        <v>Large</v>
      </c>
    </row>
    <row r="1020" spans="1:10" x14ac:dyDescent="0.25">
      <c r="A1020" t="s">
        <v>43</v>
      </c>
      <c r="B1020" t="s">
        <v>7</v>
      </c>
      <c r="C1020" t="s">
        <v>16</v>
      </c>
      <c r="D1020" s="1">
        <v>44677</v>
      </c>
      <c r="E1020" s="2">
        <v>546</v>
      </c>
      <c r="F1020">
        <v>142</v>
      </c>
      <c r="G1020" s="2">
        <f t="shared" si="60"/>
        <v>3.8450704225352115</v>
      </c>
      <c r="H1020" t="str">
        <f t="shared" si="61"/>
        <v>April</v>
      </c>
      <c r="I1020" t="str">
        <f t="shared" si="62"/>
        <v>Q2</v>
      </c>
      <c r="J1020" t="str">
        <f t="shared" si="63"/>
        <v>Large</v>
      </c>
    </row>
    <row r="1021" spans="1:10" x14ac:dyDescent="0.25">
      <c r="A1021" t="s">
        <v>23</v>
      </c>
      <c r="B1021" t="s">
        <v>15</v>
      </c>
      <c r="C1021" t="s">
        <v>35</v>
      </c>
      <c r="D1021" s="1">
        <v>44757</v>
      </c>
      <c r="E1021" s="2">
        <v>4263</v>
      </c>
      <c r="F1021">
        <v>264</v>
      </c>
      <c r="G1021" s="2">
        <f t="shared" si="60"/>
        <v>16.147727272727273</v>
      </c>
      <c r="H1021" t="str">
        <f t="shared" si="61"/>
        <v>July</v>
      </c>
      <c r="I1021" t="str">
        <f t="shared" si="62"/>
        <v>Q3</v>
      </c>
      <c r="J1021" t="str">
        <f t="shared" si="63"/>
        <v>Large</v>
      </c>
    </row>
    <row r="1022" spans="1:10" x14ac:dyDescent="0.25">
      <c r="A1022" t="s">
        <v>34</v>
      </c>
      <c r="B1022" t="s">
        <v>10</v>
      </c>
      <c r="C1022" t="s">
        <v>35</v>
      </c>
      <c r="D1022" s="1">
        <v>44735</v>
      </c>
      <c r="E1022" s="2">
        <v>1036</v>
      </c>
      <c r="F1022">
        <v>20</v>
      </c>
      <c r="G1022" s="2">
        <f t="shared" si="60"/>
        <v>51.8</v>
      </c>
      <c r="H1022" t="str">
        <f t="shared" si="61"/>
        <v>June</v>
      </c>
      <c r="I1022" t="str">
        <f t="shared" si="62"/>
        <v>Q2</v>
      </c>
      <c r="J1022" t="str">
        <f t="shared" si="63"/>
        <v>Large</v>
      </c>
    </row>
    <row r="1023" spans="1:10" x14ac:dyDescent="0.25">
      <c r="A1023" t="s">
        <v>43</v>
      </c>
      <c r="B1023" t="s">
        <v>15</v>
      </c>
      <c r="C1023" t="s">
        <v>56</v>
      </c>
      <c r="D1023" s="1">
        <v>44572</v>
      </c>
      <c r="E1023" s="2">
        <v>13846</v>
      </c>
      <c r="F1023">
        <v>421</v>
      </c>
      <c r="G1023" s="2">
        <f t="shared" si="60"/>
        <v>32.888361045130644</v>
      </c>
      <c r="H1023" t="str">
        <f t="shared" si="61"/>
        <v>January</v>
      </c>
      <c r="I1023" t="str">
        <f t="shared" si="62"/>
        <v>Q1</v>
      </c>
      <c r="J1023" t="str">
        <f t="shared" si="63"/>
        <v>Large</v>
      </c>
    </row>
    <row r="1024" spans="1:10" x14ac:dyDescent="0.25">
      <c r="A1024" t="s">
        <v>34</v>
      </c>
      <c r="B1024" t="s">
        <v>7</v>
      </c>
      <c r="C1024" t="s">
        <v>22</v>
      </c>
      <c r="D1024" s="1">
        <v>44601</v>
      </c>
      <c r="E1024" s="2">
        <v>2499</v>
      </c>
      <c r="F1024">
        <v>271</v>
      </c>
      <c r="G1024" s="2">
        <f t="shared" si="60"/>
        <v>9.2214022140221399</v>
      </c>
      <c r="H1024" t="str">
        <f t="shared" si="61"/>
        <v>February</v>
      </c>
      <c r="I1024" t="str">
        <f t="shared" si="62"/>
        <v>Q1</v>
      </c>
      <c r="J1024" t="str">
        <f t="shared" si="63"/>
        <v>Large</v>
      </c>
    </row>
    <row r="1025" spans="1:10" x14ac:dyDescent="0.25">
      <c r="A1025" t="s">
        <v>9</v>
      </c>
      <c r="B1025" t="s">
        <v>7</v>
      </c>
      <c r="C1025" t="s">
        <v>47</v>
      </c>
      <c r="D1025" s="1">
        <v>44718</v>
      </c>
      <c r="E1025" s="2">
        <v>10689</v>
      </c>
      <c r="F1025">
        <v>204</v>
      </c>
      <c r="G1025" s="2">
        <f t="shared" si="60"/>
        <v>52.397058823529413</v>
      </c>
      <c r="H1025" t="str">
        <f t="shared" si="61"/>
        <v>June</v>
      </c>
      <c r="I1025" t="str">
        <f t="shared" si="62"/>
        <v>Q2</v>
      </c>
      <c r="J1025" t="str">
        <f t="shared" si="63"/>
        <v>Large</v>
      </c>
    </row>
    <row r="1026" spans="1:10" x14ac:dyDescent="0.25">
      <c r="A1026" t="s">
        <v>54</v>
      </c>
      <c r="B1026" t="s">
        <v>7</v>
      </c>
      <c r="C1026" t="s">
        <v>57</v>
      </c>
      <c r="D1026" s="1">
        <v>44783</v>
      </c>
      <c r="E1026" s="2">
        <v>5768</v>
      </c>
      <c r="F1026">
        <v>235</v>
      </c>
      <c r="G1026" s="2">
        <f t="shared" si="60"/>
        <v>24.544680851063831</v>
      </c>
      <c r="H1026" t="str">
        <f t="shared" si="61"/>
        <v>August</v>
      </c>
      <c r="I1026" t="str">
        <f t="shared" si="62"/>
        <v>Q3</v>
      </c>
      <c r="J1026" t="str">
        <f t="shared" si="63"/>
        <v>Large</v>
      </c>
    </row>
    <row r="1027" spans="1:10" x14ac:dyDescent="0.25">
      <c r="A1027" t="s">
        <v>46</v>
      </c>
      <c r="B1027" t="s">
        <v>15</v>
      </c>
      <c r="C1027" t="s">
        <v>16</v>
      </c>
      <c r="D1027" s="1">
        <v>44565</v>
      </c>
      <c r="E1027" s="2">
        <v>2226</v>
      </c>
      <c r="F1027">
        <v>46</v>
      </c>
      <c r="G1027" s="2">
        <f t="shared" ref="G1027:G1090" si="64">E1027/F1027</f>
        <v>48.391304347826086</v>
      </c>
      <c r="H1027" t="str">
        <f t="shared" ref="H1027:H1090" si="65">TEXT(D1027, "mmmm")</f>
        <v>January</v>
      </c>
      <c r="I1027" t="str">
        <f t="shared" ref="I1027:I1090" si="66">"Q" &amp; ROUNDUP(MONTH(D1027)/3,0)</f>
        <v>Q1</v>
      </c>
      <c r="J1027" t="str">
        <f t="shared" ref="J1027:J1090" si="67">IF(E1027 &gt; 500, "Large", "Small")</f>
        <v>Large</v>
      </c>
    </row>
    <row r="1028" spans="1:10" x14ac:dyDescent="0.25">
      <c r="A1028" t="s">
        <v>48</v>
      </c>
      <c r="B1028" t="s">
        <v>29</v>
      </c>
      <c r="C1028" t="s">
        <v>58</v>
      </c>
      <c r="D1028" s="1">
        <v>44659</v>
      </c>
      <c r="E1028" s="2">
        <v>10262</v>
      </c>
      <c r="F1028">
        <v>15</v>
      </c>
      <c r="G1028" s="2">
        <f t="shared" si="64"/>
        <v>684.13333333333333</v>
      </c>
      <c r="H1028" t="str">
        <f t="shared" si="65"/>
        <v>April</v>
      </c>
      <c r="I1028" t="str">
        <f t="shared" si="66"/>
        <v>Q2</v>
      </c>
      <c r="J1028" t="str">
        <f t="shared" si="67"/>
        <v>Large</v>
      </c>
    </row>
    <row r="1029" spans="1:10" x14ac:dyDescent="0.25">
      <c r="A1029" t="s">
        <v>25</v>
      </c>
      <c r="B1029" t="s">
        <v>7</v>
      </c>
      <c r="C1029" t="s">
        <v>37</v>
      </c>
      <c r="D1029" s="1">
        <v>44622</v>
      </c>
      <c r="E1029" s="2">
        <v>3864</v>
      </c>
      <c r="F1029">
        <v>430</v>
      </c>
      <c r="G1029" s="2">
        <f t="shared" si="64"/>
        <v>8.9860465116279062</v>
      </c>
      <c r="H1029" t="str">
        <f t="shared" si="65"/>
        <v>March</v>
      </c>
      <c r="I1029" t="str">
        <f t="shared" si="66"/>
        <v>Q1</v>
      </c>
      <c r="J1029" t="str">
        <f t="shared" si="67"/>
        <v>Large</v>
      </c>
    </row>
    <row r="1030" spans="1:10" x14ac:dyDescent="0.25">
      <c r="A1030" t="s">
        <v>9</v>
      </c>
      <c r="B1030" t="s">
        <v>29</v>
      </c>
      <c r="C1030" t="s">
        <v>32</v>
      </c>
      <c r="D1030" s="1">
        <v>44727</v>
      </c>
      <c r="E1030" s="2">
        <v>4900</v>
      </c>
      <c r="F1030">
        <v>709</v>
      </c>
      <c r="G1030" s="2">
        <f t="shared" si="64"/>
        <v>6.9111424541607898</v>
      </c>
      <c r="H1030" t="str">
        <f t="shared" si="65"/>
        <v>June</v>
      </c>
      <c r="I1030" t="str">
        <f t="shared" si="66"/>
        <v>Q2</v>
      </c>
      <c r="J1030" t="str">
        <f t="shared" si="67"/>
        <v>Large</v>
      </c>
    </row>
    <row r="1031" spans="1:10" x14ac:dyDescent="0.25">
      <c r="A1031" t="s">
        <v>6</v>
      </c>
      <c r="B1031" t="s">
        <v>15</v>
      </c>
      <c r="C1031" t="s">
        <v>20</v>
      </c>
      <c r="D1031" s="1">
        <v>44606</v>
      </c>
      <c r="E1031" s="2">
        <v>5250</v>
      </c>
      <c r="F1031">
        <v>47</v>
      </c>
      <c r="G1031" s="2">
        <f t="shared" si="64"/>
        <v>111.70212765957447</v>
      </c>
      <c r="H1031" t="str">
        <f t="shared" si="65"/>
        <v>February</v>
      </c>
      <c r="I1031" t="str">
        <f t="shared" si="66"/>
        <v>Q1</v>
      </c>
      <c r="J1031" t="str">
        <f t="shared" si="67"/>
        <v>Large</v>
      </c>
    </row>
    <row r="1032" spans="1:10" x14ac:dyDescent="0.25">
      <c r="A1032" t="s">
        <v>40</v>
      </c>
      <c r="B1032" t="s">
        <v>7</v>
      </c>
      <c r="C1032" t="s">
        <v>20</v>
      </c>
      <c r="D1032" s="1">
        <v>44747</v>
      </c>
      <c r="E1032" s="2">
        <v>3507</v>
      </c>
      <c r="F1032">
        <v>380</v>
      </c>
      <c r="G1032" s="2">
        <f t="shared" si="64"/>
        <v>9.2289473684210535</v>
      </c>
      <c r="H1032" t="str">
        <f t="shared" si="65"/>
        <v>July</v>
      </c>
      <c r="I1032" t="str">
        <f t="shared" si="66"/>
        <v>Q3</v>
      </c>
      <c r="J1032" t="str">
        <f t="shared" si="67"/>
        <v>Large</v>
      </c>
    </row>
    <row r="1033" spans="1:10" x14ac:dyDescent="0.25">
      <c r="A1033" t="s">
        <v>25</v>
      </c>
      <c r="B1033" t="s">
        <v>10</v>
      </c>
      <c r="C1033" t="s">
        <v>8</v>
      </c>
      <c r="D1033" s="1">
        <v>44573</v>
      </c>
      <c r="E1033" s="2">
        <v>7413</v>
      </c>
      <c r="F1033">
        <v>465</v>
      </c>
      <c r="G1033" s="2">
        <f t="shared" si="64"/>
        <v>15.941935483870967</v>
      </c>
      <c r="H1033" t="str">
        <f t="shared" si="65"/>
        <v>January</v>
      </c>
      <c r="I1033" t="str">
        <f t="shared" si="66"/>
        <v>Q1</v>
      </c>
      <c r="J1033" t="str">
        <f t="shared" si="67"/>
        <v>Large</v>
      </c>
    </row>
    <row r="1034" spans="1:10" x14ac:dyDescent="0.25">
      <c r="A1034" t="s">
        <v>38</v>
      </c>
      <c r="B1034" t="s">
        <v>10</v>
      </c>
      <c r="C1034" t="s">
        <v>8</v>
      </c>
      <c r="D1034" s="1">
        <v>44623</v>
      </c>
      <c r="E1034" s="2">
        <v>8155</v>
      </c>
      <c r="F1034">
        <v>96</v>
      </c>
      <c r="G1034" s="2">
        <f t="shared" si="64"/>
        <v>84.947916666666671</v>
      </c>
      <c r="H1034" t="str">
        <f t="shared" si="65"/>
        <v>March</v>
      </c>
      <c r="I1034" t="str">
        <f t="shared" si="66"/>
        <v>Q1</v>
      </c>
      <c r="J1034" t="str">
        <f t="shared" si="67"/>
        <v>Large</v>
      </c>
    </row>
    <row r="1035" spans="1:10" x14ac:dyDescent="0.25">
      <c r="A1035" t="s">
        <v>6</v>
      </c>
      <c r="B1035" t="s">
        <v>21</v>
      </c>
      <c r="C1035" t="s">
        <v>37</v>
      </c>
      <c r="D1035" s="1">
        <v>44699</v>
      </c>
      <c r="E1035" s="2">
        <v>2478</v>
      </c>
      <c r="F1035">
        <v>188</v>
      </c>
      <c r="G1035" s="2">
        <f t="shared" si="64"/>
        <v>13.180851063829786</v>
      </c>
      <c r="H1035" t="str">
        <f t="shared" si="65"/>
        <v>May</v>
      </c>
      <c r="I1035" t="str">
        <f t="shared" si="66"/>
        <v>Q2</v>
      </c>
      <c r="J1035" t="str">
        <f t="shared" si="67"/>
        <v>Large</v>
      </c>
    </row>
    <row r="1036" spans="1:10" x14ac:dyDescent="0.25">
      <c r="A1036" t="s">
        <v>19</v>
      </c>
      <c r="B1036" t="s">
        <v>10</v>
      </c>
      <c r="C1036" t="s">
        <v>57</v>
      </c>
      <c r="D1036" s="1">
        <v>44770</v>
      </c>
      <c r="E1036" s="2">
        <v>2471</v>
      </c>
      <c r="F1036">
        <v>202</v>
      </c>
      <c r="G1036" s="2">
        <f t="shared" si="64"/>
        <v>12.232673267326733</v>
      </c>
      <c r="H1036" t="str">
        <f t="shared" si="65"/>
        <v>July</v>
      </c>
      <c r="I1036" t="str">
        <f t="shared" si="66"/>
        <v>Q3</v>
      </c>
      <c r="J1036" t="str">
        <f t="shared" si="67"/>
        <v>Large</v>
      </c>
    </row>
    <row r="1037" spans="1:10" x14ac:dyDescent="0.25">
      <c r="A1037" t="s">
        <v>38</v>
      </c>
      <c r="B1037" t="s">
        <v>7</v>
      </c>
      <c r="C1037" t="s">
        <v>45</v>
      </c>
      <c r="D1037" s="1">
        <v>44599</v>
      </c>
      <c r="E1037" s="2">
        <v>1666</v>
      </c>
      <c r="F1037">
        <v>106</v>
      </c>
      <c r="G1037" s="2">
        <f t="shared" si="64"/>
        <v>15.716981132075471</v>
      </c>
      <c r="H1037" t="str">
        <f t="shared" si="65"/>
        <v>February</v>
      </c>
      <c r="I1037" t="str">
        <f t="shared" si="66"/>
        <v>Q1</v>
      </c>
      <c r="J1037" t="str">
        <f t="shared" si="67"/>
        <v>Large</v>
      </c>
    </row>
    <row r="1038" spans="1:10" x14ac:dyDescent="0.25">
      <c r="A1038" t="s">
        <v>48</v>
      </c>
      <c r="B1038" t="s">
        <v>10</v>
      </c>
      <c r="C1038" t="s">
        <v>27</v>
      </c>
      <c r="D1038" s="1">
        <v>44711</v>
      </c>
      <c r="E1038" s="2">
        <v>301</v>
      </c>
      <c r="F1038">
        <v>421</v>
      </c>
      <c r="G1038" s="2">
        <f t="shared" si="64"/>
        <v>0.71496437054631834</v>
      </c>
      <c r="H1038" t="str">
        <f t="shared" si="65"/>
        <v>May</v>
      </c>
      <c r="I1038" t="str">
        <f t="shared" si="66"/>
        <v>Q2</v>
      </c>
      <c r="J1038" t="str">
        <f t="shared" si="67"/>
        <v>Small</v>
      </c>
    </row>
    <row r="1039" spans="1:10" x14ac:dyDescent="0.25">
      <c r="A1039" t="s">
        <v>28</v>
      </c>
      <c r="B1039" t="s">
        <v>15</v>
      </c>
      <c r="C1039" t="s">
        <v>51</v>
      </c>
      <c r="D1039" s="1">
        <v>44676</v>
      </c>
      <c r="E1039" s="2">
        <v>8400</v>
      </c>
      <c r="F1039">
        <v>27</v>
      </c>
      <c r="G1039" s="2">
        <f t="shared" si="64"/>
        <v>311.11111111111109</v>
      </c>
      <c r="H1039" t="str">
        <f t="shared" si="65"/>
        <v>April</v>
      </c>
      <c r="I1039" t="str">
        <f t="shared" si="66"/>
        <v>Q2</v>
      </c>
      <c r="J1039" t="str">
        <f t="shared" si="67"/>
        <v>Large</v>
      </c>
    </row>
    <row r="1040" spans="1:10" x14ac:dyDescent="0.25">
      <c r="A1040" t="s">
        <v>34</v>
      </c>
      <c r="B1040" t="s">
        <v>29</v>
      </c>
      <c r="C1040" t="s">
        <v>11</v>
      </c>
      <c r="D1040" s="1">
        <v>44608</v>
      </c>
      <c r="E1040" s="2">
        <v>6139</v>
      </c>
      <c r="F1040">
        <v>45</v>
      </c>
      <c r="G1040" s="2">
        <f t="shared" si="64"/>
        <v>136.42222222222222</v>
      </c>
      <c r="H1040" t="str">
        <f t="shared" si="65"/>
        <v>February</v>
      </c>
      <c r="I1040" t="str">
        <f t="shared" si="66"/>
        <v>Q1</v>
      </c>
      <c r="J1040" t="str">
        <f t="shared" si="67"/>
        <v>Large</v>
      </c>
    </row>
    <row r="1041" spans="1:10" x14ac:dyDescent="0.25">
      <c r="A1041" t="s">
        <v>49</v>
      </c>
      <c r="B1041" t="s">
        <v>15</v>
      </c>
      <c r="C1041" t="s">
        <v>32</v>
      </c>
      <c r="D1041" s="1">
        <v>44685</v>
      </c>
      <c r="E1041" s="2">
        <v>1288</v>
      </c>
      <c r="F1041">
        <v>60</v>
      </c>
      <c r="G1041" s="2">
        <f t="shared" si="64"/>
        <v>21.466666666666665</v>
      </c>
      <c r="H1041" t="str">
        <f t="shared" si="65"/>
        <v>May</v>
      </c>
      <c r="I1041" t="str">
        <f t="shared" si="66"/>
        <v>Q2</v>
      </c>
      <c r="J1041" t="str">
        <f t="shared" si="67"/>
        <v>Large</v>
      </c>
    </row>
    <row r="1042" spans="1:10" x14ac:dyDescent="0.25">
      <c r="A1042" t="s">
        <v>9</v>
      </c>
      <c r="B1042" t="s">
        <v>29</v>
      </c>
      <c r="C1042" t="s">
        <v>58</v>
      </c>
      <c r="D1042" s="1">
        <v>44714</v>
      </c>
      <c r="E1042" s="2">
        <v>7077</v>
      </c>
      <c r="F1042">
        <v>77</v>
      </c>
      <c r="G1042" s="2">
        <f t="shared" si="64"/>
        <v>91.909090909090907</v>
      </c>
      <c r="H1042" t="str">
        <f t="shared" si="65"/>
        <v>June</v>
      </c>
      <c r="I1042" t="str">
        <f t="shared" si="66"/>
        <v>Q2</v>
      </c>
      <c r="J1042" t="str">
        <f t="shared" si="67"/>
        <v>Large</v>
      </c>
    </row>
    <row r="1043" spans="1:10" x14ac:dyDescent="0.25">
      <c r="A1043" t="s">
        <v>43</v>
      </c>
      <c r="B1043" t="s">
        <v>26</v>
      </c>
      <c r="C1043" t="s">
        <v>57</v>
      </c>
      <c r="D1043" s="1">
        <v>44753</v>
      </c>
      <c r="E1043" s="2">
        <v>2317</v>
      </c>
      <c r="F1043">
        <v>464</v>
      </c>
      <c r="G1043" s="2">
        <f t="shared" si="64"/>
        <v>4.993534482758621</v>
      </c>
      <c r="H1043" t="str">
        <f t="shared" si="65"/>
        <v>July</v>
      </c>
      <c r="I1043" t="str">
        <f t="shared" si="66"/>
        <v>Q3</v>
      </c>
      <c r="J1043" t="str">
        <f t="shared" si="67"/>
        <v>Large</v>
      </c>
    </row>
    <row r="1044" spans="1:10" x14ac:dyDescent="0.25">
      <c r="A1044" t="s">
        <v>34</v>
      </c>
      <c r="B1044" t="s">
        <v>21</v>
      </c>
      <c r="C1044" t="s">
        <v>39</v>
      </c>
      <c r="D1044" s="1">
        <v>44719</v>
      </c>
      <c r="E1044" s="2">
        <v>63</v>
      </c>
      <c r="F1044">
        <v>60</v>
      </c>
      <c r="G1044" s="2">
        <f t="shared" si="64"/>
        <v>1.05</v>
      </c>
      <c r="H1044" t="str">
        <f t="shared" si="65"/>
        <v>June</v>
      </c>
      <c r="I1044" t="str">
        <f t="shared" si="66"/>
        <v>Q2</v>
      </c>
      <c r="J1044" t="str">
        <f t="shared" si="67"/>
        <v>Small</v>
      </c>
    </row>
    <row r="1045" spans="1:10" x14ac:dyDescent="0.25">
      <c r="A1045" t="s">
        <v>14</v>
      </c>
      <c r="B1045" t="s">
        <v>7</v>
      </c>
      <c r="C1045" t="s">
        <v>47</v>
      </c>
      <c r="D1045" s="1">
        <v>44748</v>
      </c>
      <c r="E1045" s="2">
        <v>9744</v>
      </c>
      <c r="F1045">
        <v>157</v>
      </c>
      <c r="G1045" s="2">
        <f t="shared" si="64"/>
        <v>62.06369426751592</v>
      </c>
      <c r="H1045" t="str">
        <f t="shared" si="65"/>
        <v>July</v>
      </c>
      <c r="I1045" t="str">
        <f t="shared" si="66"/>
        <v>Q3</v>
      </c>
      <c r="J1045" t="str">
        <f t="shared" si="67"/>
        <v>Large</v>
      </c>
    </row>
    <row r="1046" spans="1:10" x14ac:dyDescent="0.25">
      <c r="A1046" t="s">
        <v>40</v>
      </c>
      <c r="B1046" t="s">
        <v>10</v>
      </c>
      <c r="C1046" t="s">
        <v>51</v>
      </c>
      <c r="D1046" s="1">
        <v>44727</v>
      </c>
      <c r="E1046" s="2">
        <v>9954</v>
      </c>
      <c r="F1046">
        <v>154</v>
      </c>
      <c r="G1046" s="2">
        <f t="shared" si="64"/>
        <v>64.63636363636364</v>
      </c>
      <c r="H1046" t="str">
        <f t="shared" si="65"/>
        <v>June</v>
      </c>
      <c r="I1046" t="str">
        <f t="shared" si="66"/>
        <v>Q2</v>
      </c>
      <c r="J1046" t="str">
        <f t="shared" si="67"/>
        <v>Large</v>
      </c>
    </row>
    <row r="1047" spans="1:10" x14ac:dyDescent="0.25">
      <c r="A1047" t="s">
        <v>54</v>
      </c>
      <c r="B1047" t="s">
        <v>10</v>
      </c>
      <c r="C1047" t="s">
        <v>8</v>
      </c>
      <c r="D1047" s="1">
        <v>44665</v>
      </c>
      <c r="E1047" s="2">
        <v>1260</v>
      </c>
      <c r="F1047">
        <v>239</v>
      </c>
      <c r="G1047" s="2">
        <f t="shared" si="64"/>
        <v>5.2719665271966525</v>
      </c>
      <c r="H1047" t="str">
        <f t="shared" si="65"/>
        <v>April</v>
      </c>
      <c r="I1047" t="str">
        <f t="shared" si="66"/>
        <v>Q2</v>
      </c>
      <c r="J1047" t="str">
        <f t="shared" si="67"/>
        <v>Large</v>
      </c>
    </row>
    <row r="1048" spans="1:10" x14ac:dyDescent="0.25">
      <c r="A1048" t="s">
        <v>50</v>
      </c>
      <c r="B1048" t="s">
        <v>10</v>
      </c>
      <c r="C1048" t="s">
        <v>32</v>
      </c>
      <c r="D1048" s="1">
        <v>44781</v>
      </c>
      <c r="E1048" s="2">
        <v>469</v>
      </c>
      <c r="F1048">
        <v>163</v>
      </c>
      <c r="G1048" s="2">
        <f t="shared" si="64"/>
        <v>2.8773006134969323</v>
      </c>
      <c r="H1048" t="str">
        <f t="shared" si="65"/>
        <v>August</v>
      </c>
      <c r="I1048" t="str">
        <f t="shared" si="66"/>
        <v>Q3</v>
      </c>
      <c r="J1048" t="str">
        <f t="shared" si="67"/>
        <v>Small</v>
      </c>
    </row>
    <row r="1049" spans="1:10" x14ac:dyDescent="0.25">
      <c r="A1049" t="s">
        <v>33</v>
      </c>
      <c r="B1049" t="s">
        <v>7</v>
      </c>
      <c r="C1049" t="s">
        <v>32</v>
      </c>
      <c r="D1049" s="1">
        <v>44649</v>
      </c>
      <c r="E1049" s="2">
        <v>973</v>
      </c>
      <c r="F1049">
        <v>28</v>
      </c>
      <c r="G1049" s="2">
        <f t="shared" si="64"/>
        <v>34.75</v>
      </c>
      <c r="H1049" t="str">
        <f t="shared" si="65"/>
        <v>March</v>
      </c>
      <c r="I1049" t="str">
        <f t="shared" si="66"/>
        <v>Q1</v>
      </c>
      <c r="J1049" t="str">
        <f t="shared" si="67"/>
        <v>Large</v>
      </c>
    </row>
    <row r="1050" spans="1:10" x14ac:dyDescent="0.25">
      <c r="A1050" t="s">
        <v>36</v>
      </c>
      <c r="B1050" t="s">
        <v>15</v>
      </c>
      <c r="C1050" t="s">
        <v>35</v>
      </c>
      <c r="D1050" s="1">
        <v>44746</v>
      </c>
      <c r="E1050" s="2">
        <v>3647</v>
      </c>
      <c r="F1050">
        <v>76</v>
      </c>
      <c r="G1050" s="2">
        <f t="shared" si="64"/>
        <v>47.986842105263158</v>
      </c>
      <c r="H1050" t="str">
        <f t="shared" si="65"/>
        <v>July</v>
      </c>
      <c r="I1050" t="str">
        <f t="shared" si="66"/>
        <v>Q3</v>
      </c>
      <c r="J1050" t="str">
        <f t="shared" si="67"/>
        <v>Large</v>
      </c>
    </row>
    <row r="1051" spans="1:10" x14ac:dyDescent="0.25">
      <c r="A1051" t="s">
        <v>55</v>
      </c>
      <c r="B1051" t="s">
        <v>10</v>
      </c>
      <c r="C1051" t="s">
        <v>18</v>
      </c>
      <c r="D1051" s="1">
        <v>44608</v>
      </c>
      <c r="E1051" s="2">
        <v>455</v>
      </c>
      <c r="F1051">
        <v>96</v>
      </c>
      <c r="G1051" s="2">
        <f t="shared" si="64"/>
        <v>4.739583333333333</v>
      </c>
      <c r="H1051" t="str">
        <f t="shared" si="65"/>
        <v>February</v>
      </c>
      <c r="I1051" t="str">
        <f t="shared" si="66"/>
        <v>Q1</v>
      </c>
      <c r="J1051" t="str">
        <f t="shared" si="67"/>
        <v>Small</v>
      </c>
    </row>
    <row r="1052" spans="1:10" x14ac:dyDescent="0.25">
      <c r="A1052" t="s">
        <v>24</v>
      </c>
      <c r="B1052" t="s">
        <v>29</v>
      </c>
      <c r="C1052" t="s">
        <v>39</v>
      </c>
      <c r="D1052" s="1">
        <v>44683</v>
      </c>
      <c r="E1052" s="2">
        <v>2520</v>
      </c>
      <c r="F1052">
        <v>156</v>
      </c>
      <c r="G1052" s="2">
        <f t="shared" si="64"/>
        <v>16.153846153846153</v>
      </c>
      <c r="H1052" t="str">
        <f t="shared" si="65"/>
        <v>May</v>
      </c>
      <c r="I1052" t="str">
        <f t="shared" si="66"/>
        <v>Q2</v>
      </c>
      <c r="J1052" t="str">
        <f t="shared" si="67"/>
        <v>Large</v>
      </c>
    </row>
    <row r="1053" spans="1:10" x14ac:dyDescent="0.25">
      <c r="A1053" t="s">
        <v>9</v>
      </c>
      <c r="B1053" t="s">
        <v>10</v>
      </c>
      <c r="C1053" t="s">
        <v>30</v>
      </c>
      <c r="D1053" s="1">
        <v>44763</v>
      </c>
      <c r="E1053" s="2">
        <v>10500</v>
      </c>
      <c r="F1053">
        <v>106</v>
      </c>
      <c r="G1053" s="2">
        <f t="shared" si="64"/>
        <v>99.056603773584911</v>
      </c>
      <c r="H1053" t="str">
        <f t="shared" si="65"/>
        <v>July</v>
      </c>
      <c r="I1053" t="str">
        <f t="shared" si="66"/>
        <v>Q3</v>
      </c>
      <c r="J1053" t="str">
        <f t="shared" si="67"/>
        <v>Large</v>
      </c>
    </row>
    <row r="1054" spans="1:10" x14ac:dyDescent="0.25">
      <c r="A1054" t="s">
        <v>19</v>
      </c>
      <c r="B1054" t="s">
        <v>15</v>
      </c>
      <c r="C1054" t="s">
        <v>18</v>
      </c>
      <c r="D1054" s="1">
        <v>44791</v>
      </c>
      <c r="E1054" s="2">
        <v>7952</v>
      </c>
      <c r="F1054">
        <v>235</v>
      </c>
      <c r="G1054" s="2">
        <f t="shared" si="64"/>
        <v>33.838297872340426</v>
      </c>
      <c r="H1054" t="str">
        <f t="shared" si="65"/>
        <v>August</v>
      </c>
      <c r="I1054" t="str">
        <f t="shared" si="66"/>
        <v>Q3</v>
      </c>
      <c r="J1054" t="str">
        <f t="shared" si="67"/>
        <v>Large</v>
      </c>
    </row>
    <row r="1055" spans="1:10" x14ac:dyDescent="0.25">
      <c r="A1055" t="s">
        <v>41</v>
      </c>
      <c r="B1055" t="s">
        <v>26</v>
      </c>
      <c r="C1055" t="s">
        <v>11</v>
      </c>
      <c r="D1055" s="1">
        <v>44734</v>
      </c>
      <c r="E1055" s="2">
        <v>483</v>
      </c>
      <c r="F1055">
        <v>259</v>
      </c>
      <c r="G1055" s="2">
        <f t="shared" si="64"/>
        <v>1.8648648648648649</v>
      </c>
      <c r="H1055" t="str">
        <f t="shared" si="65"/>
        <v>June</v>
      </c>
      <c r="I1055" t="str">
        <f t="shared" si="66"/>
        <v>Q2</v>
      </c>
      <c r="J1055" t="str">
        <f t="shared" si="67"/>
        <v>Small</v>
      </c>
    </row>
    <row r="1056" spans="1:10" x14ac:dyDescent="0.25">
      <c r="A1056" t="s">
        <v>50</v>
      </c>
      <c r="B1056" t="s">
        <v>7</v>
      </c>
      <c r="C1056" t="s">
        <v>13</v>
      </c>
      <c r="D1056" s="1">
        <v>44761</v>
      </c>
      <c r="E1056" s="2">
        <v>4872</v>
      </c>
      <c r="F1056">
        <v>126</v>
      </c>
      <c r="G1056" s="2">
        <f t="shared" si="64"/>
        <v>38.666666666666664</v>
      </c>
      <c r="H1056" t="str">
        <f t="shared" si="65"/>
        <v>July</v>
      </c>
      <c r="I1056" t="str">
        <f t="shared" si="66"/>
        <v>Q3</v>
      </c>
      <c r="J1056" t="str">
        <f t="shared" si="67"/>
        <v>Large</v>
      </c>
    </row>
    <row r="1057" spans="1:10" x14ac:dyDescent="0.25">
      <c r="A1057" t="s">
        <v>53</v>
      </c>
      <c r="B1057" t="s">
        <v>7</v>
      </c>
      <c r="C1057" t="s">
        <v>13</v>
      </c>
      <c r="D1057" s="1">
        <v>44785</v>
      </c>
      <c r="E1057" s="2">
        <v>7756</v>
      </c>
      <c r="F1057">
        <v>85</v>
      </c>
      <c r="G1057" s="2">
        <f t="shared" si="64"/>
        <v>91.247058823529414</v>
      </c>
      <c r="H1057" t="str">
        <f t="shared" si="65"/>
        <v>August</v>
      </c>
      <c r="I1057" t="str">
        <f t="shared" si="66"/>
        <v>Q3</v>
      </c>
      <c r="J1057" t="str">
        <f t="shared" si="67"/>
        <v>Large</v>
      </c>
    </row>
    <row r="1058" spans="1:10" x14ac:dyDescent="0.25">
      <c r="A1058" t="s">
        <v>53</v>
      </c>
      <c r="B1058" t="s">
        <v>26</v>
      </c>
      <c r="C1058" t="s">
        <v>52</v>
      </c>
      <c r="D1058" s="1">
        <v>44719</v>
      </c>
      <c r="E1058" s="2">
        <v>5446</v>
      </c>
      <c r="F1058">
        <v>132</v>
      </c>
      <c r="G1058" s="2">
        <f t="shared" si="64"/>
        <v>41.257575757575758</v>
      </c>
      <c r="H1058" t="str">
        <f t="shared" si="65"/>
        <v>June</v>
      </c>
      <c r="I1058" t="str">
        <f t="shared" si="66"/>
        <v>Q2</v>
      </c>
      <c r="J1058" t="str">
        <f t="shared" si="67"/>
        <v>Large</v>
      </c>
    </row>
    <row r="1059" spans="1:10" x14ac:dyDescent="0.25">
      <c r="A1059" t="s">
        <v>33</v>
      </c>
      <c r="B1059" t="s">
        <v>29</v>
      </c>
      <c r="C1059" t="s">
        <v>13</v>
      </c>
      <c r="D1059" s="1">
        <v>44628</v>
      </c>
      <c r="E1059" s="2">
        <v>6594</v>
      </c>
      <c r="F1059">
        <v>91</v>
      </c>
      <c r="G1059" s="2">
        <f t="shared" si="64"/>
        <v>72.461538461538467</v>
      </c>
      <c r="H1059" t="str">
        <f t="shared" si="65"/>
        <v>March</v>
      </c>
      <c r="I1059" t="str">
        <f t="shared" si="66"/>
        <v>Q1</v>
      </c>
      <c r="J1059" t="str">
        <f t="shared" si="67"/>
        <v>Large</v>
      </c>
    </row>
    <row r="1060" spans="1:10" x14ac:dyDescent="0.25">
      <c r="A1060" t="s">
        <v>55</v>
      </c>
      <c r="B1060" t="s">
        <v>15</v>
      </c>
      <c r="C1060" t="s">
        <v>52</v>
      </c>
      <c r="D1060" s="1">
        <v>44659</v>
      </c>
      <c r="E1060" s="2">
        <v>1470</v>
      </c>
      <c r="F1060">
        <v>167</v>
      </c>
      <c r="G1060" s="2">
        <f t="shared" si="64"/>
        <v>8.8023952095808387</v>
      </c>
      <c r="H1060" t="str">
        <f t="shared" si="65"/>
        <v>April</v>
      </c>
      <c r="I1060" t="str">
        <f t="shared" si="66"/>
        <v>Q2</v>
      </c>
      <c r="J1060" t="str">
        <f t="shared" si="67"/>
        <v>Large</v>
      </c>
    </row>
    <row r="1061" spans="1:10" x14ac:dyDescent="0.25">
      <c r="A1061" t="s">
        <v>38</v>
      </c>
      <c r="B1061" t="s">
        <v>29</v>
      </c>
      <c r="C1061" t="s">
        <v>30</v>
      </c>
      <c r="D1061" s="1">
        <v>44687</v>
      </c>
      <c r="E1061" s="2">
        <v>721</v>
      </c>
      <c r="F1061">
        <v>203</v>
      </c>
      <c r="G1061" s="2">
        <f t="shared" si="64"/>
        <v>3.5517241379310347</v>
      </c>
      <c r="H1061" t="str">
        <f t="shared" si="65"/>
        <v>May</v>
      </c>
      <c r="I1061" t="str">
        <f t="shared" si="66"/>
        <v>Q2</v>
      </c>
      <c r="J1061" t="str">
        <f t="shared" si="67"/>
        <v>Large</v>
      </c>
    </row>
    <row r="1062" spans="1:10" x14ac:dyDescent="0.25">
      <c r="A1062" t="s">
        <v>36</v>
      </c>
      <c r="B1062" t="s">
        <v>10</v>
      </c>
      <c r="C1062" t="s">
        <v>32</v>
      </c>
      <c r="D1062" s="1">
        <v>44712</v>
      </c>
      <c r="E1062" s="2">
        <v>4494</v>
      </c>
      <c r="F1062">
        <v>11</v>
      </c>
      <c r="G1062" s="2">
        <f t="shared" si="64"/>
        <v>408.54545454545456</v>
      </c>
      <c r="H1062" t="str">
        <f t="shared" si="65"/>
        <v>May</v>
      </c>
      <c r="I1062" t="str">
        <f t="shared" si="66"/>
        <v>Q2</v>
      </c>
      <c r="J1062" t="str">
        <f t="shared" si="67"/>
        <v>Large</v>
      </c>
    </row>
    <row r="1063" spans="1:10" x14ac:dyDescent="0.25">
      <c r="A1063" t="s">
        <v>9</v>
      </c>
      <c r="B1063" t="s">
        <v>15</v>
      </c>
      <c r="C1063" t="s">
        <v>8</v>
      </c>
      <c r="D1063" s="1">
        <v>44574</v>
      </c>
      <c r="E1063" s="2">
        <v>2674</v>
      </c>
      <c r="F1063">
        <v>295</v>
      </c>
      <c r="G1063" s="2">
        <f t="shared" si="64"/>
        <v>9.0644067796610166</v>
      </c>
      <c r="H1063" t="str">
        <f t="shared" si="65"/>
        <v>January</v>
      </c>
      <c r="I1063" t="str">
        <f t="shared" si="66"/>
        <v>Q1</v>
      </c>
      <c r="J1063" t="str">
        <f t="shared" si="67"/>
        <v>Large</v>
      </c>
    </row>
    <row r="1064" spans="1:10" x14ac:dyDescent="0.25">
      <c r="A1064" t="s">
        <v>43</v>
      </c>
      <c r="B1064" t="s">
        <v>26</v>
      </c>
      <c r="C1064" t="s">
        <v>58</v>
      </c>
      <c r="D1064" s="1">
        <v>44635</v>
      </c>
      <c r="E1064" s="2">
        <v>658</v>
      </c>
      <c r="F1064">
        <v>77</v>
      </c>
      <c r="G1064" s="2">
        <f t="shared" si="64"/>
        <v>8.545454545454545</v>
      </c>
      <c r="H1064" t="str">
        <f t="shared" si="65"/>
        <v>March</v>
      </c>
      <c r="I1064" t="str">
        <f t="shared" si="66"/>
        <v>Q1</v>
      </c>
      <c r="J1064" t="str">
        <f t="shared" si="67"/>
        <v>Large</v>
      </c>
    </row>
    <row r="1065" spans="1:10" x14ac:dyDescent="0.25">
      <c r="A1065" t="s">
        <v>48</v>
      </c>
      <c r="B1065" t="s">
        <v>29</v>
      </c>
      <c r="C1065" t="s">
        <v>13</v>
      </c>
      <c r="D1065" s="1">
        <v>44608</v>
      </c>
      <c r="E1065" s="2">
        <v>1127</v>
      </c>
      <c r="F1065">
        <v>319</v>
      </c>
      <c r="G1065" s="2">
        <f t="shared" si="64"/>
        <v>3.5329153605015673</v>
      </c>
      <c r="H1065" t="str">
        <f t="shared" si="65"/>
        <v>February</v>
      </c>
      <c r="I1065" t="str">
        <f t="shared" si="66"/>
        <v>Q1</v>
      </c>
      <c r="J1065" t="str">
        <f t="shared" si="67"/>
        <v>Large</v>
      </c>
    </row>
    <row r="1066" spans="1:10" x14ac:dyDescent="0.25">
      <c r="A1066" t="s">
        <v>12</v>
      </c>
      <c r="B1066" t="s">
        <v>26</v>
      </c>
      <c r="C1066" t="s">
        <v>58</v>
      </c>
      <c r="D1066" s="1">
        <v>44575</v>
      </c>
      <c r="E1066" s="2">
        <v>7364</v>
      </c>
      <c r="F1066">
        <v>196</v>
      </c>
      <c r="G1066" s="2">
        <f t="shared" si="64"/>
        <v>37.571428571428569</v>
      </c>
      <c r="H1066" t="str">
        <f t="shared" si="65"/>
        <v>January</v>
      </c>
      <c r="I1066" t="str">
        <f t="shared" si="66"/>
        <v>Q1</v>
      </c>
      <c r="J1066" t="str">
        <f t="shared" si="67"/>
        <v>Large</v>
      </c>
    </row>
    <row r="1067" spans="1:10" x14ac:dyDescent="0.25">
      <c r="A1067" t="s">
        <v>24</v>
      </c>
      <c r="B1067" t="s">
        <v>15</v>
      </c>
      <c r="C1067" t="s">
        <v>44</v>
      </c>
      <c r="D1067" s="1">
        <v>44641</v>
      </c>
      <c r="E1067" s="2">
        <v>6818</v>
      </c>
      <c r="F1067">
        <v>102</v>
      </c>
      <c r="G1067" s="2">
        <f t="shared" si="64"/>
        <v>66.843137254901961</v>
      </c>
      <c r="H1067" t="str">
        <f t="shared" si="65"/>
        <v>March</v>
      </c>
      <c r="I1067" t="str">
        <f t="shared" si="66"/>
        <v>Q1</v>
      </c>
      <c r="J1067" t="str">
        <f t="shared" si="67"/>
        <v>Large</v>
      </c>
    </row>
    <row r="1068" spans="1:10" x14ac:dyDescent="0.25">
      <c r="A1068" t="s">
        <v>36</v>
      </c>
      <c r="B1068" t="s">
        <v>29</v>
      </c>
      <c r="C1068" t="s">
        <v>32</v>
      </c>
      <c r="D1068" s="1">
        <v>44698</v>
      </c>
      <c r="E1068" s="2">
        <v>6776</v>
      </c>
      <c r="F1068">
        <v>312</v>
      </c>
      <c r="G1068" s="2">
        <f t="shared" si="64"/>
        <v>21.717948717948719</v>
      </c>
      <c r="H1068" t="str">
        <f t="shared" si="65"/>
        <v>May</v>
      </c>
      <c r="I1068" t="str">
        <f t="shared" si="66"/>
        <v>Q2</v>
      </c>
      <c r="J1068" t="str">
        <f t="shared" si="67"/>
        <v>Large</v>
      </c>
    </row>
    <row r="1069" spans="1:10" x14ac:dyDescent="0.25">
      <c r="A1069" t="s">
        <v>50</v>
      </c>
      <c r="B1069" t="s">
        <v>21</v>
      </c>
      <c r="C1069" t="s">
        <v>11</v>
      </c>
      <c r="D1069" s="1">
        <v>44781</v>
      </c>
      <c r="E1069" s="2">
        <v>15099</v>
      </c>
      <c r="F1069">
        <v>55</v>
      </c>
      <c r="G1069" s="2">
        <f t="shared" si="64"/>
        <v>274.5272727272727</v>
      </c>
      <c r="H1069" t="str">
        <f t="shared" si="65"/>
        <v>August</v>
      </c>
      <c r="I1069" t="str">
        <f t="shared" si="66"/>
        <v>Q3</v>
      </c>
      <c r="J1069" t="str">
        <f t="shared" si="67"/>
        <v>Large</v>
      </c>
    </row>
    <row r="1070" spans="1:10" x14ac:dyDescent="0.25">
      <c r="A1070" t="s">
        <v>53</v>
      </c>
      <c r="B1070" t="s">
        <v>29</v>
      </c>
      <c r="C1070" t="s">
        <v>37</v>
      </c>
      <c r="D1070" s="1">
        <v>44677</v>
      </c>
      <c r="E1070" s="2">
        <v>3612</v>
      </c>
      <c r="F1070">
        <v>82</v>
      </c>
      <c r="G1070" s="2">
        <f t="shared" si="64"/>
        <v>44.048780487804876</v>
      </c>
      <c r="H1070" t="str">
        <f t="shared" si="65"/>
        <v>April</v>
      </c>
      <c r="I1070" t="str">
        <f t="shared" si="66"/>
        <v>Q2</v>
      </c>
      <c r="J1070" t="str">
        <f t="shared" si="67"/>
        <v>Large</v>
      </c>
    </row>
    <row r="1071" spans="1:10" x14ac:dyDescent="0.25">
      <c r="A1071" t="s">
        <v>53</v>
      </c>
      <c r="B1071" t="s">
        <v>15</v>
      </c>
      <c r="C1071" t="s">
        <v>58</v>
      </c>
      <c r="D1071" s="1">
        <v>44666</v>
      </c>
      <c r="E1071" s="2">
        <v>3710</v>
      </c>
      <c r="F1071">
        <v>260</v>
      </c>
      <c r="G1071" s="2">
        <f t="shared" si="64"/>
        <v>14.26923076923077</v>
      </c>
      <c r="H1071" t="str">
        <f t="shared" si="65"/>
        <v>April</v>
      </c>
      <c r="I1071" t="str">
        <f t="shared" si="66"/>
        <v>Q2</v>
      </c>
      <c r="J1071" t="str">
        <f t="shared" si="67"/>
        <v>Large</v>
      </c>
    </row>
    <row r="1072" spans="1:10" x14ac:dyDescent="0.25">
      <c r="A1072" t="s">
        <v>17</v>
      </c>
      <c r="B1072" t="s">
        <v>29</v>
      </c>
      <c r="C1072" t="s">
        <v>30</v>
      </c>
      <c r="D1072" s="1">
        <v>44700</v>
      </c>
      <c r="E1072" s="2">
        <v>6111</v>
      </c>
      <c r="F1072">
        <v>591</v>
      </c>
      <c r="G1072" s="2">
        <f t="shared" si="64"/>
        <v>10.340101522842639</v>
      </c>
      <c r="H1072" t="str">
        <f t="shared" si="65"/>
        <v>May</v>
      </c>
      <c r="I1072" t="str">
        <f t="shared" si="66"/>
        <v>Q2</v>
      </c>
      <c r="J1072" t="str">
        <f t="shared" si="67"/>
        <v>Large</v>
      </c>
    </row>
    <row r="1073" spans="1:10" x14ac:dyDescent="0.25">
      <c r="A1073" t="s">
        <v>43</v>
      </c>
      <c r="B1073" t="s">
        <v>29</v>
      </c>
      <c r="C1073" t="s">
        <v>32</v>
      </c>
      <c r="D1073" s="1">
        <v>44571</v>
      </c>
      <c r="E1073" s="2">
        <v>2702</v>
      </c>
      <c r="F1073">
        <v>24</v>
      </c>
      <c r="G1073" s="2">
        <f t="shared" si="64"/>
        <v>112.58333333333333</v>
      </c>
      <c r="H1073" t="str">
        <f t="shared" si="65"/>
        <v>January</v>
      </c>
      <c r="I1073" t="str">
        <f t="shared" si="66"/>
        <v>Q1</v>
      </c>
      <c r="J1073" t="str">
        <f t="shared" si="67"/>
        <v>Large</v>
      </c>
    </row>
    <row r="1074" spans="1:10" x14ac:dyDescent="0.25">
      <c r="A1074" t="s">
        <v>28</v>
      </c>
      <c r="B1074" t="s">
        <v>21</v>
      </c>
      <c r="C1074" t="s">
        <v>20</v>
      </c>
      <c r="D1074" s="1">
        <v>44685</v>
      </c>
      <c r="E1074" s="2">
        <v>483</v>
      </c>
      <c r="F1074">
        <v>228</v>
      </c>
      <c r="G1074" s="2">
        <f t="shared" si="64"/>
        <v>2.1184210526315788</v>
      </c>
      <c r="H1074" t="str">
        <f t="shared" si="65"/>
        <v>May</v>
      </c>
      <c r="I1074" t="str">
        <f t="shared" si="66"/>
        <v>Q2</v>
      </c>
      <c r="J1074" t="str">
        <f t="shared" si="67"/>
        <v>Small</v>
      </c>
    </row>
    <row r="1075" spans="1:10" x14ac:dyDescent="0.25">
      <c r="A1075" t="s">
        <v>36</v>
      </c>
      <c r="B1075" t="s">
        <v>29</v>
      </c>
      <c r="C1075" t="s">
        <v>44</v>
      </c>
      <c r="D1075" s="1">
        <v>44656</v>
      </c>
      <c r="E1075" s="2">
        <v>5887</v>
      </c>
      <c r="F1075">
        <v>268</v>
      </c>
      <c r="G1075" s="2">
        <f t="shared" si="64"/>
        <v>21.96641791044776</v>
      </c>
      <c r="H1075" t="str">
        <f t="shared" si="65"/>
        <v>April</v>
      </c>
      <c r="I1075" t="str">
        <f t="shared" si="66"/>
        <v>Q2</v>
      </c>
      <c r="J1075" t="str">
        <f t="shared" si="67"/>
        <v>Large</v>
      </c>
    </row>
    <row r="1076" spans="1:10" x14ac:dyDescent="0.25">
      <c r="A1076" t="s">
        <v>48</v>
      </c>
      <c r="B1076" t="s">
        <v>10</v>
      </c>
      <c r="C1076" t="s">
        <v>20</v>
      </c>
      <c r="D1076" s="1">
        <v>44578</v>
      </c>
      <c r="E1076" s="2">
        <v>952</v>
      </c>
      <c r="F1076">
        <v>68</v>
      </c>
      <c r="G1076" s="2">
        <f t="shared" si="64"/>
        <v>14</v>
      </c>
      <c r="H1076" t="str">
        <f t="shared" si="65"/>
        <v>January</v>
      </c>
      <c r="I1076" t="str">
        <f t="shared" si="66"/>
        <v>Q1</v>
      </c>
      <c r="J1076" t="str">
        <f t="shared" si="67"/>
        <v>Large</v>
      </c>
    </row>
    <row r="1077" spans="1:10" x14ac:dyDescent="0.25">
      <c r="A1077" t="s">
        <v>36</v>
      </c>
      <c r="B1077" t="s">
        <v>10</v>
      </c>
      <c r="C1077" t="s">
        <v>39</v>
      </c>
      <c r="D1077" s="1">
        <v>44642</v>
      </c>
      <c r="E1077" s="2">
        <v>10647</v>
      </c>
      <c r="F1077">
        <v>173</v>
      </c>
      <c r="G1077" s="2">
        <f t="shared" si="64"/>
        <v>61.543352601156066</v>
      </c>
      <c r="H1077" t="str">
        <f t="shared" si="65"/>
        <v>March</v>
      </c>
      <c r="I1077" t="str">
        <f t="shared" si="66"/>
        <v>Q1</v>
      </c>
      <c r="J1077" t="str">
        <f t="shared" si="67"/>
        <v>Large</v>
      </c>
    </row>
    <row r="1078" spans="1:10" x14ac:dyDescent="0.25">
      <c r="A1078" t="s">
        <v>54</v>
      </c>
      <c r="B1078" t="s">
        <v>15</v>
      </c>
      <c r="C1078" t="s">
        <v>44</v>
      </c>
      <c r="D1078" s="1">
        <v>44747</v>
      </c>
      <c r="E1078" s="2">
        <v>6055</v>
      </c>
      <c r="F1078">
        <v>93</v>
      </c>
      <c r="G1078" s="2">
        <f t="shared" si="64"/>
        <v>65.107526881720432</v>
      </c>
      <c r="H1078" t="str">
        <f t="shared" si="65"/>
        <v>July</v>
      </c>
      <c r="I1078" t="str">
        <f t="shared" si="66"/>
        <v>Q3</v>
      </c>
      <c r="J1078" t="str">
        <f t="shared" si="67"/>
        <v>Large</v>
      </c>
    </row>
    <row r="1079" spans="1:10" x14ac:dyDescent="0.25">
      <c r="A1079" t="s">
        <v>17</v>
      </c>
      <c r="B1079" t="s">
        <v>29</v>
      </c>
      <c r="C1079" t="s">
        <v>27</v>
      </c>
      <c r="D1079" s="1">
        <v>44678</v>
      </c>
      <c r="E1079" s="2">
        <v>8757</v>
      </c>
      <c r="F1079">
        <v>338</v>
      </c>
      <c r="G1079" s="2">
        <f t="shared" si="64"/>
        <v>25.908284023668639</v>
      </c>
      <c r="H1079" t="str">
        <f t="shared" si="65"/>
        <v>April</v>
      </c>
      <c r="I1079" t="str">
        <f t="shared" si="66"/>
        <v>Q2</v>
      </c>
      <c r="J1079" t="str">
        <f t="shared" si="67"/>
        <v>Large</v>
      </c>
    </row>
    <row r="1080" spans="1:10" x14ac:dyDescent="0.25">
      <c r="A1080" t="s">
        <v>41</v>
      </c>
      <c r="B1080" t="s">
        <v>29</v>
      </c>
      <c r="C1080" t="s">
        <v>47</v>
      </c>
      <c r="D1080" s="1">
        <v>44785</v>
      </c>
      <c r="E1080" s="2">
        <v>6055</v>
      </c>
      <c r="F1080">
        <v>73</v>
      </c>
      <c r="G1080" s="2">
        <f t="shared" si="64"/>
        <v>82.945205479452056</v>
      </c>
      <c r="H1080" t="str">
        <f t="shared" si="65"/>
        <v>August</v>
      </c>
      <c r="I1080" t="str">
        <f t="shared" si="66"/>
        <v>Q3</v>
      </c>
      <c r="J1080" t="str">
        <f t="shared" si="67"/>
        <v>Large</v>
      </c>
    </row>
    <row r="1081" spans="1:10" x14ac:dyDescent="0.25">
      <c r="A1081" t="s">
        <v>14</v>
      </c>
      <c r="B1081" t="s">
        <v>7</v>
      </c>
      <c r="C1081" t="s">
        <v>56</v>
      </c>
      <c r="D1081" s="1">
        <v>44631</v>
      </c>
      <c r="E1081" s="2">
        <v>721</v>
      </c>
      <c r="F1081">
        <v>251</v>
      </c>
      <c r="G1081" s="2">
        <f t="shared" si="64"/>
        <v>2.8725099601593627</v>
      </c>
      <c r="H1081" t="str">
        <f t="shared" si="65"/>
        <v>March</v>
      </c>
      <c r="I1081" t="str">
        <f t="shared" si="66"/>
        <v>Q1</v>
      </c>
      <c r="J1081" t="str">
        <f t="shared" si="67"/>
        <v>Large</v>
      </c>
    </row>
    <row r="1082" spans="1:10" x14ac:dyDescent="0.25">
      <c r="A1082" t="s">
        <v>6</v>
      </c>
      <c r="B1082" t="s">
        <v>7</v>
      </c>
      <c r="C1082" t="s">
        <v>42</v>
      </c>
      <c r="D1082" s="1">
        <v>44694</v>
      </c>
      <c r="E1082" s="2">
        <v>8589</v>
      </c>
      <c r="F1082">
        <v>229</v>
      </c>
      <c r="G1082" s="2">
        <f t="shared" si="64"/>
        <v>37.506550218340614</v>
      </c>
      <c r="H1082" t="str">
        <f t="shared" si="65"/>
        <v>May</v>
      </c>
      <c r="I1082" t="str">
        <f t="shared" si="66"/>
        <v>Q2</v>
      </c>
      <c r="J1082" t="str">
        <f t="shared" si="67"/>
        <v>Large</v>
      </c>
    </row>
    <row r="1083" spans="1:10" x14ac:dyDescent="0.25">
      <c r="A1083" t="s">
        <v>43</v>
      </c>
      <c r="B1083" t="s">
        <v>26</v>
      </c>
      <c r="C1083" t="s">
        <v>16</v>
      </c>
      <c r="D1083" s="1">
        <v>44693</v>
      </c>
      <c r="E1083" s="2">
        <v>11781</v>
      </c>
      <c r="F1083">
        <v>91</v>
      </c>
      <c r="G1083" s="2">
        <f t="shared" si="64"/>
        <v>129.46153846153845</v>
      </c>
      <c r="H1083" t="str">
        <f t="shared" si="65"/>
        <v>May</v>
      </c>
      <c r="I1083" t="str">
        <f t="shared" si="66"/>
        <v>Q2</v>
      </c>
      <c r="J1083" t="str">
        <f t="shared" si="67"/>
        <v>Large</v>
      </c>
    </row>
    <row r="1084" spans="1:10" x14ac:dyDescent="0.25">
      <c r="A1084" t="s">
        <v>23</v>
      </c>
      <c r="B1084" t="s">
        <v>26</v>
      </c>
      <c r="C1084" t="s">
        <v>51</v>
      </c>
      <c r="D1084" s="1">
        <v>44573</v>
      </c>
      <c r="E1084" s="2">
        <v>672</v>
      </c>
      <c r="F1084">
        <v>194</v>
      </c>
      <c r="G1084" s="2">
        <f t="shared" si="64"/>
        <v>3.463917525773196</v>
      </c>
      <c r="H1084" t="str">
        <f t="shared" si="65"/>
        <v>January</v>
      </c>
      <c r="I1084" t="str">
        <f t="shared" si="66"/>
        <v>Q1</v>
      </c>
      <c r="J1084" t="str">
        <f t="shared" si="67"/>
        <v>Large</v>
      </c>
    </row>
    <row r="1085" spans="1:10" x14ac:dyDescent="0.25">
      <c r="A1085" t="s">
        <v>53</v>
      </c>
      <c r="B1085" t="s">
        <v>21</v>
      </c>
      <c r="C1085" t="s">
        <v>37</v>
      </c>
      <c r="D1085" s="1">
        <v>44649</v>
      </c>
      <c r="E1085" s="2">
        <v>12558</v>
      </c>
      <c r="F1085">
        <v>403</v>
      </c>
      <c r="G1085" s="2">
        <f t="shared" si="64"/>
        <v>31.161290322580644</v>
      </c>
      <c r="H1085" t="str">
        <f t="shared" si="65"/>
        <v>March</v>
      </c>
      <c r="I1085" t="str">
        <f t="shared" si="66"/>
        <v>Q1</v>
      </c>
      <c r="J1085" t="str">
        <f t="shared" si="67"/>
        <v>Large</v>
      </c>
    </row>
    <row r="1086" spans="1:10" x14ac:dyDescent="0.25">
      <c r="A1086" t="s">
        <v>36</v>
      </c>
      <c r="B1086" t="s">
        <v>10</v>
      </c>
      <c r="C1086" t="s">
        <v>22</v>
      </c>
      <c r="D1086" s="1">
        <v>44634</v>
      </c>
      <c r="E1086" s="2">
        <v>8337</v>
      </c>
      <c r="F1086">
        <v>12</v>
      </c>
      <c r="G1086" s="2">
        <f t="shared" si="64"/>
        <v>694.75</v>
      </c>
      <c r="H1086" t="str">
        <f t="shared" si="65"/>
        <v>March</v>
      </c>
      <c r="I1086" t="str">
        <f t="shared" si="66"/>
        <v>Q1</v>
      </c>
      <c r="J1086" t="str">
        <f t="shared" si="67"/>
        <v>Large</v>
      </c>
    </row>
    <row r="1087" spans="1:10" x14ac:dyDescent="0.25">
      <c r="A1087" t="s">
        <v>25</v>
      </c>
      <c r="B1087" t="s">
        <v>21</v>
      </c>
      <c r="C1087" t="s">
        <v>18</v>
      </c>
      <c r="D1087" s="1">
        <v>44705</v>
      </c>
      <c r="E1087" s="2">
        <v>8134</v>
      </c>
      <c r="F1087">
        <v>195</v>
      </c>
      <c r="G1087" s="2">
        <f t="shared" si="64"/>
        <v>41.712820512820514</v>
      </c>
      <c r="H1087" t="str">
        <f t="shared" si="65"/>
        <v>May</v>
      </c>
      <c r="I1087" t="str">
        <f t="shared" si="66"/>
        <v>Q2</v>
      </c>
      <c r="J1087" t="str">
        <f t="shared" si="67"/>
        <v>Large</v>
      </c>
    </row>
    <row r="1088" spans="1:10" x14ac:dyDescent="0.25">
      <c r="A1088" t="s">
        <v>43</v>
      </c>
      <c r="B1088" t="s">
        <v>29</v>
      </c>
      <c r="C1088" t="s">
        <v>35</v>
      </c>
      <c r="D1088" s="1">
        <v>44589</v>
      </c>
      <c r="E1088" s="2">
        <v>8491</v>
      </c>
      <c r="F1088">
        <v>75</v>
      </c>
      <c r="G1088" s="2">
        <f t="shared" si="64"/>
        <v>113.21333333333334</v>
      </c>
      <c r="H1088" t="str">
        <f t="shared" si="65"/>
        <v>January</v>
      </c>
      <c r="I1088" t="str">
        <f t="shared" si="66"/>
        <v>Q1</v>
      </c>
      <c r="J1088" t="str">
        <f t="shared" si="67"/>
        <v>Large</v>
      </c>
    </row>
    <row r="1089" spans="1:10" x14ac:dyDescent="0.25">
      <c r="A1089" t="s">
        <v>34</v>
      </c>
      <c r="B1089" t="s">
        <v>10</v>
      </c>
      <c r="C1089" t="s">
        <v>47</v>
      </c>
      <c r="D1089" s="1">
        <v>44705</v>
      </c>
      <c r="E1089" s="2">
        <v>3066</v>
      </c>
      <c r="F1089">
        <v>96</v>
      </c>
      <c r="G1089" s="2">
        <f t="shared" si="64"/>
        <v>31.9375</v>
      </c>
      <c r="H1089" t="str">
        <f t="shared" si="65"/>
        <v>May</v>
      </c>
      <c r="I1089" t="str">
        <f t="shared" si="66"/>
        <v>Q2</v>
      </c>
      <c r="J1089" t="str">
        <f t="shared" si="67"/>
        <v>Large</v>
      </c>
    </row>
    <row r="1090" spans="1:10" x14ac:dyDescent="0.25">
      <c r="A1090" t="s">
        <v>23</v>
      </c>
      <c r="B1090" t="s">
        <v>15</v>
      </c>
      <c r="C1090" t="s">
        <v>13</v>
      </c>
      <c r="D1090" s="1">
        <v>44792</v>
      </c>
      <c r="E1090" s="2">
        <v>301</v>
      </c>
      <c r="F1090">
        <v>205</v>
      </c>
      <c r="G1090" s="2">
        <f t="shared" si="64"/>
        <v>1.4682926829268292</v>
      </c>
      <c r="H1090" t="str">
        <f t="shared" si="65"/>
        <v>August</v>
      </c>
      <c r="I1090" t="str">
        <f t="shared" si="66"/>
        <v>Q3</v>
      </c>
      <c r="J1090" t="str">
        <f t="shared" si="67"/>
        <v>Small</v>
      </c>
    </row>
    <row r="1091" spans="1:10" x14ac:dyDescent="0.25">
      <c r="A1091" t="s">
        <v>31</v>
      </c>
      <c r="B1091" t="s">
        <v>15</v>
      </c>
      <c r="C1091" t="s">
        <v>39</v>
      </c>
      <c r="D1091" s="1">
        <v>44698</v>
      </c>
      <c r="E1091" s="2">
        <v>4410</v>
      </c>
      <c r="F1091">
        <v>323</v>
      </c>
      <c r="G1091" s="2">
        <f t="shared" ref="G1091:G1154" si="68">E1091/F1091</f>
        <v>13.653250773993808</v>
      </c>
      <c r="H1091" t="str">
        <f t="shared" ref="H1091:H1154" si="69">TEXT(D1091, "mmmm")</f>
        <v>May</v>
      </c>
      <c r="I1091" t="str">
        <f t="shared" ref="I1091:I1154" si="70">"Q" &amp; ROUNDUP(MONTH(D1091)/3,0)</f>
        <v>Q2</v>
      </c>
      <c r="J1091" t="str">
        <f t="shared" ref="J1091:J1154" si="71">IF(E1091 &gt; 500, "Large", "Small")</f>
        <v>Large</v>
      </c>
    </row>
    <row r="1092" spans="1:10" x14ac:dyDescent="0.25">
      <c r="A1092" t="s">
        <v>6</v>
      </c>
      <c r="B1092" t="s">
        <v>26</v>
      </c>
      <c r="C1092" t="s">
        <v>44</v>
      </c>
      <c r="D1092" s="1">
        <v>44719</v>
      </c>
      <c r="E1092" s="2">
        <v>6559</v>
      </c>
      <c r="F1092">
        <v>119</v>
      </c>
      <c r="G1092" s="2">
        <f t="shared" si="68"/>
        <v>55.117647058823529</v>
      </c>
      <c r="H1092" t="str">
        <f t="shared" si="69"/>
        <v>June</v>
      </c>
      <c r="I1092" t="str">
        <f t="shared" si="70"/>
        <v>Q2</v>
      </c>
      <c r="J1092" t="str">
        <f t="shared" si="71"/>
        <v>Large</v>
      </c>
    </row>
    <row r="1093" spans="1:10" x14ac:dyDescent="0.25">
      <c r="A1093" t="s">
        <v>55</v>
      </c>
      <c r="B1093" t="s">
        <v>29</v>
      </c>
      <c r="C1093" t="s">
        <v>35</v>
      </c>
      <c r="D1093" s="1">
        <v>44768</v>
      </c>
      <c r="E1093" s="2">
        <v>574</v>
      </c>
      <c r="F1093">
        <v>217</v>
      </c>
      <c r="G1093" s="2">
        <f t="shared" si="68"/>
        <v>2.6451612903225805</v>
      </c>
      <c r="H1093" t="str">
        <f t="shared" si="69"/>
        <v>July</v>
      </c>
      <c r="I1093" t="str">
        <f t="shared" si="70"/>
        <v>Q3</v>
      </c>
      <c r="J1093" t="str">
        <f t="shared" si="71"/>
        <v>Large</v>
      </c>
    </row>
    <row r="1094" spans="1:10" x14ac:dyDescent="0.25">
      <c r="A1094" t="s">
        <v>54</v>
      </c>
      <c r="B1094" t="s">
        <v>10</v>
      </c>
      <c r="C1094" t="s">
        <v>30</v>
      </c>
      <c r="D1094" s="1">
        <v>44770</v>
      </c>
      <c r="E1094" s="2">
        <v>2086</v>
      </c>
      <c r="F1094">
        <v>384</v>
      </c>
      <c r="G1094" s="2">
        <f t="shared" si="68"/>
        <v>5.432291666666667</v>
      </c>
      <c r="H1094" t="str">
        <f t="shared" si="69"/>
        <v>July</v>
      </c>
      <c r="I1094" t="str">
        <f t="shared" si="70"/>
        <v>Q3</v>
      </c>
      <c r="J1094" t="str">
        <f t="shared" si="71"/>
        <v>Large</v>
      </c>
    </row>
    <row r="1095" spans="1:10" x14ac:dyDescent="0.25">
      <c r="A1095" t="s">
        <v>31</v>
      </c>
      <c r="B1095" t="s">
        <v>10</v>
      </c>
      <c r="C1095" t="s">
        <v>58</v>
      </c>
      <c r="D1095" s="1">
        <v>44704</v>
      </c>
      <c r="E1095" s="2">
        <v>5075</v>
      </c>
      <c r="F1095">
        <v>344</v>
      </c>
      <c r="G1095" s="2">
        <f t="shared" si="68"/>
        <v>14.752906976744185</v>
      </c>
      <c r="H1095" t="str">
        <f t="shared" si="69"/>
        <v>May</v>
      </c>
      <c r="I1095" t="str">
        <f t="shared" si="70"/>
        <v>Q2</v>
      </c>
      <c r="J1095" t="str">
        <f t="shared" si="71"/>
        <v>Large</v>
      </c>
    </row>
    <row r="1096" spans="1:10" x14ac:dyDescent="0.25">
      <c r="A1096" t="s">
        <v>6</v>
      </c>
      <c r="B1096" t="s">
        <v>7</v>
      </c>
      <c r="C1096" t="s">
        <v>8</v>
      </c>
      <c r="D1096" s="1">
        <v>44930</v>
      </c>
      <c r="E1096" s="2">
        <v>5902.13</v>
      </c>
      <c r="F1096">
        <v>178</v>
      </c>
      <c r="G1096" s="2">
        <f t="shared" si="68"/>
        <v>33.158033707865172</v>
      </c>
      <c r="H1096" t="str">
        <f t="shared" si="69"/>
        <v>January</v>
      </c>
      <c r="I1096" t="str">
        <f t="shared" si="70"/>
        <v>Q1</v>
      </c>
      <c r="J1096" t="str">
        <f t="shared" si="71"/>
        <v>Large</v>
      </c>
    </row>
    <row r="1097" spans="1:10" x14ac:dyDescent="0.25">
      <c r="A1097" t="s">
        <v>9</v>
      </c>
      <c r="B1097" t="s">
        <v>10</v>
      </c>
      <c r="C1097" t="s">
        <v>11</v>
      </c>
      <c r="D1097" s="1">
        <v>45139</v>
      </c>
      <c r="E1097" s="2">
        <v>8074.39</v>
      </c>
      <c r="F1097">
        <v>100</v>
      </c>
      <c r="G1097" s="2">
        <f t="shared" si="68"/>
        <v>80.743899999999996</v>
      </c>
      <c r="H1097" t="str">
        <f t="shared" si="69"/>
        <v>August</v>
      </c>
      <c r="I1097" t="str">
        <f t="shared" si="70"/>
        <v>Q3</v>
      </c>
      <c r="J1097" t="str">
        <f t="shared" si="71"/>
        <v>Large</v>
      </c>
    </row>
    <row r="1098" spans="1:10" x14ac:dyDescent="0.25">
      <c r="A1098" t="s">
        <v>12</v>
      </c>
      <c r="B1098" t="s">
        <v>10</v>
      </c>
      <c r="C1098" t="s">
        <v>13</v>
      </c>
      <c r="D1098" s="1">
        <v>45114</v>
      </c>
      <c r="E1098" s="2">
        <v>4666.18</v>
      </c>
      <c r="F1098">
        <v>100</v>
      </c>
      <c r="G1098" s="2">
        <f t="shared" si="68"/>
        <v>46.661799999999999</v>
      </c>
      <c r="H1098" t="str">
        <f t="shared" si="69"/>
        <v>July</v>
      </c>
      <c r="I1098" t="str">
        <f t="shared" si="70"/>
        <v>Q3</v>
      </c>
      <c r="J1098" t="str">
        <f t="shared" si="71"/>
        <v>Large</v>
      </c>
    </row>
    <row r="1099" spans="1:10" x14ac:dyDescent="0.25">
      <c r="A1099" t="s">
        <v>14</v>
      </c>
      <c r="B1099" t="s">
        <v>15</v>
      </c>
      <c r="C1099" t="s">
        <v>13</v>
      </c>
      <c r="D1099" s="1">
        <v>45043</v>
      </c>
      <c r="E1099" s="2">
        <v>14103.4</v>
      </c>
      <c r="F1099">
        <v>350</v>
      </c>
      <c r="G1099" s="2">
        <f t="shared" si="68"/>
        <v>40.295428571428573</v>
      </c>
      <c r="H1099" t="str">
        <f t="shared" si="69"/>
        <v>April</v>
      </c>
      <c r="I1099" t="str">
        <f t="shared" si="70"/>
        <v>Q2</v>
      </c>
      <c r="J1099" t="str">
        <f t="shared" si="71"/>
        <v>Large</v>
      </c>
    </row>
    <row r="1100" spans="1:10" x14ac:dyDescent="0.25">
      <c r="A1100" t="s">
        <v>6</v>
      </c>
      <c r="B1100" t="s">
        <v>7</v>
      </c>
      <c r="C1100" t="s">
        <v>13</v>
      </c>
      <c r="D1100" s="1">
        <v>44981</v>
      </c>
      <c r="E1100" s="2">
        <v>14167.84</v>
      </c>
      <c r="F1100">
        <v>178</v>
      </c>
      <c r="G1100" s="2">
        <f t="shared" si="68"/>
        <v>79.594606741573031</v>
      </c>
      <c r="H1100" t="str">
        <f t="shared" si="69"/>
        <v>February</v>
      </c>
      <c r="I1100" t="str">
        <f t="shared" si="70"/>
        <v>Q1</v>
      </c>
      <c r="J1100" t="str">
        <f t="shared" si="71"/>
        <v>Large</v>
      </c>
    </row>
    <row r="1101" spans="1:10" x14ac:dyDescent="0.25">
      <c r="A1101" t="s">
        <v>9</v>
      </c>
      <c r="B1101" t="s">
        <v>10</v>
      </c>
      <c r="C1101" t="s">
        <v>16</v>
      </c>
      <c r="D1101" s="1">
        <v>45083</v>
      </c>
      <c r="E1101" s="2">
        <v>5768.75</v>
      </c>
      <c r="F1101">
        <v>37</v>
      </c>
      <c r="G1101" s="2">
        <f t="shared" si="68"/>
        <v>155.91216216216216</v>
      </c>
      <c r="H1101" t="str">
        <f t="shared" si="69"/>
        <v>June</v>
      </c>
      <c r="I1101" t="str">
        <f t="shared" si="70"/>
        <v>Q2</v>
      </c>
      <c r="J1101" t="str">
        <f t="shared" si="71"/>
        <v>Large</v>
      </c>
    </row>
    <row r="1102" spans="1:10" x14ac:dyDescent="0.25">
      <c r="A1102" t="s">
        <v>17</v>
      </c>
      <c r="B1102" t="s">
        <v>7</v>
      </c>
      <c r="C1102" t="s">
        <v>18</v>
      </c>
      <c r="D1102" s="1">
        <v>44951</v>
      </c>
      <c r="E1102" s="2">
        <v>14673.2</v>
      </c>
      <c r="F1102">
        <v>175</v>
      </c>
      <c r="G1102" s="2">
        <f t="shared" si="68"/>
        <v>83.846857142857147</v>
      </c>
      <c r="H1102" t="str">
        <f t="shared" si="69"/>
        <v>January</v>
      </c>
      <c r="I1102" t="str">
        <f t="shared" si="70"/>
        <v>Q1</v>
      </c>
      <c r="J1102" t="str">
        <f t="shared" si="71"/>
        <v>Large</v>
      </c>
    </row>
    <row r="1103" spans="1:10" x14ac:dyDescent="0.25">
      <c r="A1103" t="s">
        <v>19</v>
      </c>
      <c r="B1103" t="s">
        <v>15</v>
      </c>
      <c r="C1103" t="s">
        <v>20</v>
      </c>
      <c r="D1103" s="1">
        <v>45009</v>
      </c>
      <c r="E1103" s="2">
        <v>3249.23</v>
      </c>
      <c r="F1103">
        <v>78</v>
      </c>
      <c r="G1103" s="2">
        <f t="shared" si="68"/>
        <v>41.656794871794872</v>
      </c>
      <c r="H1103" t="str">
        <f t="shared" si="69"/>
        <v>March</v>
      </c>
      <c r="I1103" t="str">
        <f t="shared" si="70"/>
        <v>Q1</v>
      </c>
      <c r="J1103" t="str">
        <f t="shared" si="71"/>
        <v>Large</v>
      </c>
    </row>
    <row r="1104" spans="1:10" x14ac:dyDescent="0.25">
      <c r="A1104" t="s">
        <v>6</v>
      </c>
      <c r="B1104" t="s">
        <v>21</v>
      </c>
      <c r="C1104" t="s">
        <v>22</v>
      </c>
      <c r="D1104" s="1">
        <v>45036</v>
      </c>
      <c r="E1104" s="2">
        <v>4526.24</v>
      </c>
      <c r="F1104">
        <v>64</v>
      </c>
      <c r="G1104" s="2">
        <f t="shared" si="68"/>
        <v>70.722499999999997</v>
      </c>
      <c r="H1104" t="str">
        <f t="shared" si="69"/>
        <v>April</v>
      </c>
      <c r="I1104" t="str">
        <f t="shared" si="70"/>
        <v>Q2</v>
      </c>
      <c r="J1104" t="str">
        <f t="shared" si="71"/>
        <v>Large</v>
      </c>
    </row>
    <row r="1105" spans="1:10" x14ac:dyDescent="0.25">
      <c r="A1105" t="s">
        <v>23</v>
      </c>
      <c r="B1105" t="s">
        <v>15</v>
      </c>
      <c r="C1105" t="s">
        <v>18</v>
      </c>
      <c r="D1105" s="1">
        <v>45111</v>
      </c>
      <c r="E1105" s="2">
        <v>3166.56</v>
      </c>
      <c r="F1105">
        <v>98</v>
      </c>
      <c r="G1105" s="2">
        <f t="shared" si="68"/>
        <v>32.311836734693877</v>
      </c>
      <c r="H1105" t="str">
        <f t="shared" si="69"/>
        <v>July</v>
      </c>
      <c r="I1105" t="str">
        <f t="shared" si="70"/>
        <v>Q3</v>
      </c>
      <c r="J1105" t="str">
        <f t="shared" si="71"/>
        <v>Large</v>
      </c>
    </row>
    <row r="1106" spans="1:10" x14ac:dyDescent="0.25">
      <c r="A1106" t="s">
        <v>24</v>
      </c>
      <c r="B1106" t="s">
        <v>7</v>
      </c>
      <c r="C1106" t="s">
        <v>16</v>
      </c>
      <c r="D1106" s="1">
        <v>44939</v>
      </c>
      <c r="E1106" s="2">
        <v>4866.3900000000003</v>
      </c>
      <c r="F1106">
        <v>65</v>
      </c>
      <c r="G1106" s="2">
        <f t="shared" si="68"/>
        <v>74.867538461538473</v>
      </c>
      <c r="H1106" t="str">
        <f t="shared" si="69"/>
        <v>January</v>
      </c>
      <c r="I1106" t="str">
        <f t="shared" si="70"/>
        <v>Q1</v>
      </c>
      <c r="J1106" t="str">
        <f t="shared" si="71"/>
        <v>Large</v>
      </c>
    </row>
    <row r="1107" spans="1:10" x14ac:dyDescent="0.25">
      <c r="A1107" t="s">
        <v>25</v>
      </c>
      <c r="B1107" t="s">
        <v>26</v>
      </c>
      <c r="C1107" t="s">
        <v>27</v>
      </c>
      <c r="D1107" s="1">
        <v>44995</v>
      </c>
      <c r="E1107" s="2">
        <v>4254.37</v>
      </c>
      <c r="F1107">
        <v>12</v>
      </c>
      <c r="G1107" s="2">
        <f t="shared" si="68"/>
        <v>354.53083333333331</v>
      </c>
      <c r="H1107" t="str">
        <f t="shared" si="69"/>
        <v>March</v>
      </c>
      <c r="I1107" t="str">
        <f t="shared" si="70"/>
        <v>Q1</v>
      </c>
      <c r="J1107" t="str">
        <f t="shared" si="71"/>
        <v>Large</v>
      </c>
    </row>
    <row r="1108" spans="1:10" x14ac:dyDescent="0.25">
      <c r="A1108" t="s">
        <v>28</v>
      </c>
      <c r="B1108" t="s">
        <v>29</v>
      </c>
      <c r="C1108" t="s">
        <v>30</v>
      </c>
      <c r="D1108" s="1">
        <v>44939</v>
      </c>
      <c r="E1108" s="2">
        <v>1652.61</v>
      </c>
      <c r="F1108">
        <v>277</v>
      </c>
      <c r="G1108" s="2">
        <f t="shared" si="68"/>
        <v>5.9661010830324903</v>
      </c>
      <c r="H1108" t="str">
        <f t="shared" si="69"/>
        <v>January</v>
      </c>
      <c r="I1108" t="str">
        <f t="shared" si="70"/>
        <v>Q1</v>
      </c>
      <c r="J1108" t="str">
        <f t="shared" si="71"/>
        <v>Large</v>
      </c>
    </row>
    <row r="1109" spans="1:10" x14ac:dyDescent="0.25">
      <c r="A1109" t="s">
        <v>31</v>
      </c>
      <c r="B1109" t="s">
        <v>21</v>
      </c>
      <c r="C1109" t="s">
        <v>32</v>
      </c>
      <c r="D1109" s="1">
        <v>45135</v>
      </c>
      <c r="E1109" s="2">
        <v>171.49</v>
      </c>
      <c r="F1109">
        <v>163</v>
      </c>
      <c r="G1109" s="2">
        <f t="shared" si="68"/>
        <v>1.0520858895705523</v>
      </c>
      <c r="H1109" t="str">
        <f t="shared" si="69"/>
        <v>July</v>
      </c>
      <c r="I1109" t="str">
        <f t="shared" si="70"/>
        <v>Q3</v>
      </c>
      <c r="J1109" t="str">
        <f t="shared" si="71"/>
        <v>Small</v>
      </c>
    </row>
    <row r="1110" spans="1:10" x14ac:dyDescent="0.25">
      <c r="A1110" t="s">
        <v>33</v>
      </c>
      <c r="B1110" t="s">
        <v>21</v>
      </c>
      <c r="C1110" t="s">
        <v>13</v>
      </c>
      <c r="D1110" s="1">
        <v>45141</v>
      </c>
      <c r="E1110" s="2">
        <v>8549.84</v>
      </c>
      <c r="F1110">
        <v>169</v>
      </c>
      <c r="G1110" s="2">
        <f t="shared" si="68"/>
        <v>50.590769230769233</v>
      </c>
      <c r="H1110" t="str">
        <f t="shared" si="69"/>
        <v>August</v>
      </c>
      <c r="I1110" t="str">
        <f t="shared" si="70"/>
        <v>Q3</v>
      </c>
      <c r="J1110" t="str">
        <f t="shared" si="71"/>
        <v>Large</v>
      </c>
    </row>
    <row r="1111" spans="1:10" x14ac:dyDescent="0.25">
      <c r="A1111" t="s">
        <v>34</v>
      </c>
      <c r="B1111" t="s">
        <v>15</v>
      </c>
      <c r="C1111" t="s">
        <v>35</v>
      </c>
      <c r="D1111" s="1">
        <v>44952</v>
      </c>
      <c r="E1111" s="2">
        <v>7807.74</v>
      </c>
      <c r="F1111">
        <v>355</v>
      </c>
      <c r="G1111" s="2">
        <f t="shared" si="68"/>
        <v>21.993633802816902</v>
      </c>
      <c r="H1111" t="str">
        <f t="shared" si="69"/>
        <v>January</v>
      </c>
      <c r="I1111" t="str">
        <f t="shared" si="70"/>
        <v>Q1</v>
      </c>
      <c r="J1111" t="str">
        <f t="shared" si="71"/>
        <v>Large</v>
      </c>
    </row>
    <row r="1112" spans="1:10" x14ac:dyDescent="0.25">
      <c r="A1112" t="s">
        <v>9</v>
      </c>
      <c r="B1112" t="s">
        <v>29</v>
      </c>
      <c r="C1112" t="s">
        <v>35</v>
      </c>
      <c r="D1112" s="1">
        <v>44971</v>
      </c>
      <c r="E1112" s="2">
        <v>4561.43</v>
      </c>
      <c r="F1112">
        <v>44</v>
      </c>
      <c r="G1112" s="2">
        <f t="shared" si="68"/>
        <v>103.66886363636364</v>
      </c>
      <c r="H1112" t="str">
        <f t="shared" si="69"/>
        <v>February</v>
      </c>
      <c r="I1112" t="str">
        <f t="shared" si="70"/>
        <v>Q1</v>
      </c>
      <c r="J1112" t="str">
        <f t="shared" si="71"/>
        <v>Large</v>
      </c>
    </row>
    <row r="1113" spans="1:10" x14ac:dyDescent="0.25">
      <c r="A1113" t="s">
        <v>36</v>
      </c>
      <c r="B1113" t="s">
        <v>26</v>
      </c>
      <c r="C1113" t="s">
        <v>16</v>
      </c>
      <c r="D1113" s="1">
        <v>45021</v>
      </c>
      <c r="E1113" s="2">
        <v>3041.12</v>
      </c>
      <c r="F1113">
        <v>148</v>
      </c>
      <c r="G1113" s="2">
        <f t="shared" si="68"/>
        <v>20.548108108108107</v>
      </c>
      <c r="H1113" t="str">
        <f t="shared" si="69"/>
        <v>April</v>
      </c>
      <c r="I1113" t="str">
        <f t="shared" si="70"/>
        <v>Q2</v>
      </c>
      <c r="J1113" t="str">
        <f t="shared" si="71"/>
        <v>Large</v>
      </c>
    </row>
    <row r="1114" spans="1:10" x14ac:dyDescent="0.25">
      <c r="A1114" t="s">
        <v>34</v>
      </c>
      <c r="B1114" t="s">
        <v>29</v>
      </c>
      <c r="C1114" t="s">
        <v>37</v>
      </c>
      <c r="D1114" s="1">
        <v>44973</v>
      </c>
      <c r="E1114" s="2">
        <v>9786.09</v>
      </c>
      <c r="F1114">
        <v>248</v>
      </c>
      <c r="G1114" s="2">
        <f t="shared" si="68"/>
        <v>39.460040322580646</v>
      </c>
      <c r="H1114" t="str">
        <f t="shared" si="69"/>
        <v>February</v>
      </c>
      <c r="I1114" t="str">
        <f t="shared" si="70"/>
        <v>Q1</v>
      </c>
      <c r="J1114" t="str">
        <f t="shared" si="71"/>
        <v>Large</v>
      </c>
    </row>
    <row r="1115" spans="1:10" x14ac:dyDescent="0.25">
      <c r="A1115" t="s">
        <v>38</v>
      </c>
      <c r="B1115" t="s">
        <v>7</v>
      </c>
      <c r="C1115" t="s">
        <v>11</v>
      </c>
      <c r="D1115" s="1">
        <v>45085</v>
      </c>
      <c r="E1115" s="2">
        <v>1131.25</v>
      </c>
      <c r="F1115">
        <v>175</v>
      </c>
      <c r="G1115" s="2">
        <f t="shared" si="68"/>
        <v>6.4642857142857144</v>
      </c>
      <c r="H1115" t="str">
        <f t="shared" si="69"/>
        <v>June</v>
      </c>
      <c r="I1115" t="str">
        <f t="shared" si="70"/>
        <v>Q2</v>
      </c>
      <c r="J1115" t="str">
        <f t="shared" si="71"/>
        <v>Large</v>
      </c>
    </row>
    <row r="1116" spans="1:10" x14ac:dyDescent="0.25">
      <c r="A1116" t="s">
        <v>23</v>
      </c>
      <c r="B1116" t="s">
        <v>15</v>
      </c>
      <c r="C1116" t="s">
        <v>30</v>
      </c>
      <c r="D1116" s="1">
        <v>45104</v>
      </c>
      <c r="E1116" s="2">
        <v>7484.07</v>
      </c>
      <c r="F1116">
        <v>94</v>
      </c>
      <c r="G1116" s="2">
        <f t="shared" si="68"/>
        <v>79.617765957446807</v>
      </c>
      <c r="H1116" t="str">
        <f t="shared" si="69"/>
        <v>June</v>
      </c>
      <c r="I1116" t="str">
        <f t="shared" si="70"/>
        <v>Q2</v>
      </c>
      <c r="J1116" t="str">
        <f t="shared" si="71"/>
        <v>Large</v>
      </c>
    </row>
    <row r="1117" spans="1:10" x14ac:dyDescent="0.25">
      <c r="A1117" t="s">
        <v>19</v>
      </c>
      <c r="B1117" t="s">
        <v>26</v>
      </c>
      <c r="C1117" t="s">
        <v>39</v>
      </c>
      <c r="D1117" s="1">
        <v>44974</v>
      </c>
      <c r="E1117" s="2">
        <v>1339.61</v>
      </c>
      <c r="F1117">
        <v>166</v>
      </c>
      <c r="G1117" s="2">
        <f t="shared" si="68"/>
        <v>8.0699397590361439</v>
      </c>
      <c r="H1117" t="str">
        <f t="shared" si="69"/>
        <v>February</v>
      </c>
      <c r="I1117" t="str">
        <f t="shared" si="70"/>
        <v>Q1</v>
      </c>
      <c r="J1117" t="str">
        <f t="shared" si="71"/>
        <v>Large</v>
      </c>
    </row>
    <row r="1118" spans="1:10" x14ac:dyDescent="0.25">
      <c r="A1118" t="s">
        <v>33</v>
      </c>
      <c r="B1118" t="s">
        <v>26</v>
      </c>
      <c r="C1118" t="s">
        <v>20</v>
      </c>
      <c r="D1118" s="1">
        <v>45076</v>
      </c>
      <c r="E1118" s="2">
        <v>5481.18</v>
      </c>
      <c r="F1118">
        <v>159</v>
      </c>
      <c r="G1118" s="2">
        <f t="shared" si="68"/>
        <v>34.472830188679247</v>
      </c>
      <c r="H1118" t="str">
        <f t="shared" si="69"/>
        <v>May</v>
      </c>
      <c r="I1118" t="str">
        <f t="shared" si="70"/>
        <v>Q2</v>
      </c>
      <c r="J1118" t="str">
        <f t="shared" si="71"/>
        <v>Large</v>
      </c>
    </row>
    <row r="1119" spans="1:10" x14ac:dyDescent="0.25">
      <c r="A1119" t="s">
        <v>40</v>
      </c>
      <c r="B1119" t="s">
        <v>7</v>
      </c>
      <c r="C1119" t="s">
        <v>32</v>
      </c>
      <c r="D1119" s="1">
        <v>44999</v>
      </c>
      <c r="E1119" s="2">
        <v>3275.4</v>
      </c>
      <c r="F1119">
        <v>120</v>
      </c>
      <c r="G1119" s="2">
        <f t="shared" si="68"/>
        <v>27.295000000000002</v>
      </c>
      <c r="H1119" t="str">
        <f t="shared" si="69"/>
        <v>March</v>
      </c>
      <c r="I1119" t="str">
        <f t="shared" si="70"/>
        <v>Q1</v>
      </c>
      <c r="J1119" t="str">
        <f t="shared" si="71"/>
        <v>Large</v>
      </c>
    </row>
    <row r="1120" spans="1:10" x14ac:dyDescent="0.25">
      <c r="A1120" t="s">
        <v>41</v>
      </c>
      <c r="B1120" t="s">
        <v>15</v>
      </c>
      <c r="C1120" t="s">
        <v>30</v>
      </c>
      <c r="D1120" s="1">
        <v>44985</v>
      </c>
      <c r="E1120" s="2">
        <v>7677.78</v>
      </c>
      <c r="F1120">
        <v>118</v>
      </c>
      <c r="G1120" s="2">
        <f t="shared" si="68"/>
        <v>65.065932203389835</v>
      </c>
      <c r="H1120" t="str">
        <f t="shared" si="69"/>
        <v>February</v>
      </c>
      <c r="I1120" t="str">
        <f t="shared" si="70"/>
        <v>Q1</v>
      </c>
      <c r="J1120" t="str">
        <f t="shared" si="71"/>
        <v>Large</v>
      </c>
    </row>
    <row r="1121" spans="1:10" x14ac:dyDescent="0.25">
      <c r="A1121" t="s">
        <v>31</v>
      </c>
      <c r="B1121" t="s">
        <v>10</v>
      </c>
      <c r="C1121" t="s">
        <v>42</v>
      </c>
      <c r="D1121" s="1">
        <v>44952</v>
      </c>
      <c r="E1121" s="2">
        <v>189.37</v>
      </c>
      <c r="F1121">
        <v>315</v>
      </c>
      <c r="G1121" s="2">
        <f t="shared" si="68"/>
        <v>0.60117460317460314</v>
      </c>
      <c r="H1121" t="str">
        <f t="shared" si="69"/>
        <v>January</v>
      </c>
      <c r="I1121" t="str">
        <f t="shared" si="70"/>
        <v>Q1</v>
      </c>
      <c r="J1121" t="str">
        <f t="shared" si="71"/>
        <v>Small</v>
      </c>
    </row>
    <row r="1122" spans="1:10" x14ac:dyDescent="0.25">
      <c r="A1122" t="s">
        <v>36</v>
      </c>
      <c r="B1122" t="s">
        <v>29</v>
      </c>
      <c r="C1122" t="s">
        <v>39</v>
      </c>
      <c r="D1122" s="1">
        <v>44966</v>
      </c>
      <c r="E1122" s="2">
        <v>1658.79</v>
      </c>
      <c r="F1122">
        <v>193</v>
      </c>
      <c r="G1122" s="2">
        <f t="shared" si="68"/>
        <v>8.5947668393782379</v>
      </c>
      <c r="H1122" t="str">
        <f t="shared" si="69"/>
        <v>February</v>
      </c>
      <c r="I1122" t="str">
        <f t="shared" si="70"/>
        <v>Q1</v>
      </c>
      <c r="J1122" t="str">
        <f t="shared" si="71"/>
        <v>Large</v>
      </c>
    </row>
    <row r="1123" spans="1:10" x14ac:dyDescent="0.25">
      <c r="A1123" t="s">
        <v>40</v>
      </c>
      <c r="B1123" t="s">
        <v>26</v>
      </c>
      <c r="C1123" t="s">
        <v>30</v>
      </c>
      <c r="D1123" s="1">
        <v>45114</v>
      </c>
      <c r="E1123" s="2">
        <v>4168.93</v>
      </c>
      <c r="F1123">
        <v>122</v>
      </c>
      <c r="G1123" s="2">
        <f t="shared" si="68"/>
        <v>34.171557377049183</v>
      </c>
      <c r="H1123" t="str">
        <f t="shared" si="69"/>
        <v>July</v>
      </c>
      <c r="I1123" t="str">
        <f t="shared" si="70"/>
        <v>Q3</v>
      </c>
      <c r="J1123" t="str">
        <f t="shared" si="71"/>
        <v>Large</v>
      </c>
    </row>
    <row r="1124" spans="1:10" x14ac:dyDescent="0.25">
      <c r="A1124" t="s">
        <v>43</v>
      </c>
      <c r="B1124" t="s">
        <v>21</v>
      </c>
      <c r="C1124" t="s">
        <v>44</v>
      </c>
      <c r="D1124" s="1">
        <v>45112</v>
      </c>
      <c r="E1124" s="2">
        <v>10604.89</v>
      </c>
      <c r="F1124">
        <v>165</v>
      </c>
      <c r="G1124" s="2">
        <f t="shared" si="68"/>
        <v>64.272060606060606</v>
      </c>
      <c r="H1124" t="str">
        <f t="shared" si="69"/>
        <v>July</v>
      </c>
      <c r="I1124" t="str">
        <f t="shared" si="70"/>
        <v>Q3</v>
      </c>
      <c r="J1124" t="str">
        <f t="shared" si="71"/>
        <v>Large</v>
      </c>
    </row>
    <row r="1125" spans="1:10" x14ac:dyDescent="0.25">
      <c r="A1125" t="s">
        <v>43</v>
      </c>
      <c r="B1125" t="s">
        <v>21</v>
      </c>
      <c r="C1125" t="s">
        <v>45</v>
      </c>
      <c r="D1125" s="1">
        <v>45092</v>
      </c>
      <c r="E1125" s="2">
        <v>5773.51</v>
      </c>
      <c r="F1125">
        <v>325</v>
      </c>
      <c r="G1125" s="2">
        <f t="shared" si="68"/>
        <v>17.764646153846154</v>
      </c>
      <c r="H1125" t="str">
        <f t="shared" si="69"/>
        <v>June</v>
      </c>
      <c r="I1125" t="str">
        <f t="shared" si="70"/>
        <v>Q2</v>
      </c>
      <c r="J1125" t="str">
        <f t="shared" si="71"/>
        <v>Large</v>
      </c>
    </row>
    <row r="1126" spans="1:10" x14ac:dyDescent="0.25">
      <c r="A1126" t="s">
        <v>9</v>
      </c>
      <c r="B1126" t="s">
        <v>21</v>
      </c>
      <c r="C1126" t="s">
        <v>11</v>
      </c>
      <c r="D1126" s="1">
        <v>45070</v>
      </c>
      <c r="E1126" s="2">
        <v>1838.78</v>
      </c>
      <c r="F1126">
        <v>121</v>
      </c>
      <c r="G1126" s="2">
        <f t="shared" si="68"/>
        <v>15.196528925619834</v>
      </c>
      <c r="H1126" t="str">
        <f t="shared" si="69"/>
        <v>May</v>
      </c>
      <c r="I1126" t="str">
        <f t="shared" si="70"/>
        <v>Q2</v>
      </c>
      <c r="J1126" t="str">
        <f t="shared" si="71"/>
        <v>Large</v>
      </c>
    </row>
    <row r="1127" spans="1:10" x14ac:dyDescent="0.25">
      <c r="A1127" t="s">
        <v>24</v>
      </c>
      <c r="B1127" t="s">
        <v>7</v>
      </c>
      <c r="C1127" t="s">
        <v>18</v>
      </c>
      <c r="D1127" s="1">
        <v>45106</v>
      </c>
      <c r="E1127" s="2">
        <v>12643.1</v>
      </c>
      <c r="F1127">
        <v>150</v>
      </c>
      <c r="G1127" s="2">
        <f t="shared" si="68"/>
        <v>84.287333333333336</v>
      </c>
      <c r="H1127" t="str">
        <f t="shared" si="69"/>
        <v>June</v>
      </c>
      <c r="I1127" t="str">
        <f t="shared" si="70"/>
        <v>Q2</v>
      </c>
      <c r="J1127" t="str">
        <f t="shared" si="71"/>
        <v>Large</v>
      </c>
    </row>
    <row r="1128" spans="1:10" x14ac:dyDescent="0.25">
      <c r="A1128" t="s">
        <v>46</v>
      </c>
      <c r="B1128" t="s">
        <v>15</v>
      </c>
      <c r="C1128" t="s">
        <v>45</v>
      </c>
      <c r="D1128" s="1">
        <v>45057</v>
      </c>
      <c r="E1128" s="2">
        <v>4439.5200000000004</v>
      </c>
      <c r="F1128">
        <v>95</v>
      </c>
      <c r="G1128" s="2">
        <f t="shared" si="68"/>
        <v>46.731789473684216</v>
      </c>
      <c r="H1128" t="str">
        <f t="shared" si="69"/>
        <v>May</v>
      </c>
      <c r="I1128" t="str">
        <f t="shared" si="70"/>
        <v>Q2</v>
      </c>
      <c r="J1128" t="str">
        <f t="shared" si="71"/>
        <v>Large</v>
      </c>
    </row>
    <row r="1129" spans="1:10" x14ac:dyDescent="0.25">
      <c r="A1129" t="s">
        <v>31</v>
      </c>
      <c r="B1129" t="s">
        <v>7</v>
      </c>
      <c r="C1129" t="s">
        <v>47</v>
      </c>
      <c r="D1129" s="1">
        <v>45107</v>
      </c>
      <c r="E1129" s="2">
        <v>7698.6</v>
      </c>
      <c r="F1129">
        <v>126</v>
      </c>
      <c r="G1129" s="2">
        <f t="shared" si="68"/>
        <v>61.1</v>
      </c>
      <c r="H1129" t="str">
        <f t="shared" si="69"/>
        <v>June</v>
      </c>
      <c r="I1129" t="str">
        <f t="shared" si="70"/>
        <v>Q2</v>
      </c>
      <c r="J1129" t="str">
        <f t="shared" si="71"/>
        <v>Large</v>
      </c>
    </row>
    <row r="1130" spans="1:10" x14ac:dyDescent="0.25">
      <c r="A1130" t="s">
        <v>48</v>
      </c>
      <c r="B1130" t="s">
        <v>29</v>
      </c>
      <c r="C1130" t="s">
        <v>20</v>
      </c>
      <c r="D1130" s="1">
        <v>45057</v>
      </c>
      <c r="E1130" s="2">
        <v>2222.3000000000002</v>
      </c>
      <c r="F1130">
        <v>77</v>
      </c>
      <c r="G1130" s="2">
        <f t="shared" si="68"/>
        <v>28.861038961038965</v>
      </c>
      <c r="H1130" t="str">
        <f t="shared" si="69"/>
        <v>May</v>
      </c>
      <c r="I1130" t="str">
        <f t="shared" si="70"/>
        <v>Q2</v>
      </c>
      <c r="J1130" t="str">
        <f t="shared" si="71"/>
        <v>Large</v>
      </c>
    </row>
    <row r="1131" spans="1:10" x14ac:dyDescent="0.25">
      <c r="A1131" t="s">
        <v>36</v>
      </c>
      <c r="B1131" t="s">
        <v>26</v>
      </c>
      <c r="C1131" t="s">
        <v>45</v>
      </c>
      <c r="D1131" s="1">
        <v>45129</v>
      </c>
      <c r="E1131" s="2">
        <v>10959.02</v>
      </c>
      <c r="F1131">
        <v>302</v>
      </c>
      <c r="G1131" s="2">
        <f t="shared" si="68"/>
        <v>36.288145695364243</v>
      </c>
      <c r="H1131" t="str">
        <f t="shared" si="69"/>
        <v>July</v>
      </c>
      <c r="I1131" t="str">
        <f t="shared" si="70"/>
        <v>Q3</v>
      </c>
      <c r="J1131" t="str">
        <f t="shared" si="71"/>
        <v>Large</v>
      </c>
    </row>
    <row r="1132" spans="1:10" x14ac:dyDescent="0.25">
      <c r="A1132" t="s">
        <v>48</v>
      </c>
      <c r="B1132" t="s">
        <v>7</v>
      </c>
      <c r="C1132" t="s">
        <v>22</v>
      </c>
      <c r="D1132" s="1">
        <v>45162</v>
      </c>
      <c r="E1132" s="2">
        <v>2854.85</v>
      </c>
      <c r="F1132">
        <v>337</v>
      </c>
      <c r="G1132" s="2">
        <f t="shared" si="68"/>
        <v>8.4713649851632038</v>
      </c>
      <c r="H1132" t="str">
        <f t="shared" si="69"/>
        <v>August</v>
      </c>
      <c r="I1132" t="str">
        <f t="shared" si="70"/>
        <v>Q3</v>
      </c>
      <c r="J1132" t="str">
        <f t="shared" si="71"/>
        <v>Large</v>
      </c>
    </row>
    <row r="1133" spans="1:10" x14ac:dyDescent="0.25">
      <c r="A1133" t="s">
        <v>49</v>
      </c>
      <c r="B1133" t="s">
        <v>21</v>
      </c>
      <c r="C1133" t="s">
        <v>20</v>
      </c>
      <c r="D1133" s="1">
        <v>45114</v>
      </c>
      <c r="E1133" s="2">
        <v>147.82</v>
      </c>
      <c r="F1133">
        <v>74</v>
      </c>
      <c r="G1133" s="2">
        <f t="shared" si="68"/>
        <v>1.9975675675675675</v>
      </c>
      <c r="H1133" t="str">
        <f t="shared" si="69"/>
        <v>July</v>
      </c>
      <c r="I1133" t="str">
        <f t="shared" si="70"/>
        <v>Q3</v>
      </c>
      <c r="J1133" t="str">
        <f t="shared" si="71"/>
        <v>Small</v>
      </c>
    </row>
    <row r="1134" spans="1:10" x14ac:dyDescent="0.25">
      <c r="A1134" t="s">
        <v>50</v>
      </c>
      <c r="B1134" t="s">
        <v>15</v>
      </c>
      <c r="C1134" t="s">
        <v>11</v>
      </c>
      <c r="D1134" s="1">
        <v>45065</v>
      </c>
      <c r="E1134" s="2">
        <v>3790.51</v>
      </c>
      <c r="F1134">
        <v>14</v>
      </c>
      <c r="G1134" s="2">
        <f t="shared" si="68"/>
        <v>270.75071428571431</v>
      </c>
      <c r="H1134" t="str">
        <f t="shared" si="69"/>
        <v>May</v>
      </c>
      <c r="I1134" t="str">
        <f t="shared" si="70"/>
        <v>Q2</v>
      </c>
      <c r="J1134" t="str">
        <f t="shared" si="71"/>
        <v>Large</v>
      </c>
    </row>
    <row r="1135" spans="1:10" x14ac:dyDescent="0.25">
      <c r="A1135" t="s">
        <v>31</v>
      </c>
      <c r="B1135" t="s">
        <v>10</v>
      </c>
      <c r="C1135" t="s">
        <v>45</v>
      </c>
      <c r="D1135" s="1">
        <v>45111</v>
      </c>
      <c r="E1135" s="2">
        <v>2487.19</v>
      </c>
      <c r="F1135">
        <v>583</v>
      </c>
      <c r="G1135" s="2">
        <f t="shared" si="68"/>
        <v>4.2661921097770152</v>
      </c>
      <c r="H1135" t="str">
        <f t="shared" si="69"/>
        <v>July</v>
      </c>
      <c r="I1135" t="str">
        <f t="shared" si="70"/>
        <v>Q3</v>
      </c>
      <c r="J1135" t="str">
        <f t="shared" si="71"/>
        <v>Large</v>
      </c>
    </row>
    <row r="1136" spans="1:10" x14ac:dyDescent="0.25">
      <c r="A1136" t="s">
        <v>49</v>
      </c>
      <c r="B1136" t="s">
        <v>26</v>
      </c>
      <c r="C1136" t="s">
        <v>20</v>
      </c>
      <c r="D1136" s="1">
        <v>45079</v>
      </c>
      <c r="E1136" s="2">
        <v>1021.27</v>
      </c>
      <c r="F1136">
        <v>17</v>
      </c>
      <c r="G1136" s="2">
        <f t="shared" si="68"/>
        <v>60.074705882352937</v>
      </c>
      <c r="H1136" t="str">
        <f t="shared" si="69"/>
        <v>June</v>
      </c>
      <c r="I1136" t="str">
        <f t="shared" si="70"/>
        <v>Q2</v>
      </c>
      <c r="J1136" t="str">
        <f t="shared" si="71"/>
        <v>Large</v>
      </c>
    </row>
    <row r="1137" spans="1:10" x14ac:dyDescent="0.25">
      <c r="A1137" t="s">
        <v>31</v>
      </c>
      <c r="B1137" t="s">
        <v>26</v>
      </c>
      <c r="C1137" t="s">
        <v>51</v>
      </c>
      <c r="D1137" s="1">
        <v>45031</v>
      </c>
      <c r="E1137" s="2">
        <v>15370.06</v>
      </c>
      <c r="F1137">
        <v>353</v>
      </c>
      <c r="G1137" s="2">
        <f t="shared" si="68"/>
        <v>43.54124645892351</v>
      </c>
      <c r="H1137" t="str">
        <f t="shared" si="69"/>
        <v>April</v>
      </c>
      <c r="I1137" t="str">
        <f t="shared" si="70"/>
        <v>Q2</v>
      </c>
      <c r="J1137" t="str">
        <f t="shared" si="71"/>
        <v>Large</v>
      </c>
    </row>
    <row r="1138" spans="1:10" x14ac:dyDescent="0.25">
      <c r="A1138" t="s">
        <v>28</v>
      </c>
      <c r="B1138" t="s">
        <v>29</v>
      </c>
      <c r="C1138" t="s">
        <v>52</v>
      </c>
      <c r="D1138" s="1">
        <v>45118</v>
      </c>
      <c r="E1138" s="2">
        <v>5345.58</v>
      </c>
      <c r="F1138">
        <v>250</v>
      </c>
      <c r="G1138" s="2">
        <f t="shared" si="68"/>
        <v>21.38232</v>
      </c>
      <c r="H1138" t="str">
        <f t="shared" si="69"/>
        <v>July</v>
      </c>
      <c r="I1138" t="str">
        <f t="shared" si="70"/>
        <v>Q3</v>
      </c>
      <c r="J1138" t="str">
        <f t="shared" si="71"/>
        <v>Large</v>
      </c>
    </row>
    <row r="1139" spans="1:10" x14ac:dyDescent="0.25">
      <c r="A1139" t="s">
        <v>48</v>
      </c>
      <c r="B1139" t="s">
        <v>10</v>
      </c>
      <c r="C1139" t="s">
        <v>39</v>
      </c>
      <c r="D1139" s="1">
        <v>44980</v>
      </c>
      <c r="E1139" s="2">
        <v>6559.44</v>
      </c>
      <c r="F1139">
        <v>154</v>
      </c>
      <c r="G1139" s="2">
        <f t="shared" si="68"/>
        <v>42.593766233766232</v>
      </c>
      <c r="H1139" t="str">
        <f t="shared" si="69"/>
        <v>February</v>
      </c>
      <c r="I1139" t="str">
        <f t="shared" si="70"/>
        <v>Q1</v>
      </c>
      <c r="J1139" t="str">
        <f t="shared" si="71"/>
        <v>Large</v>
      </c>
    </row>
    <row r="1140" spans="1:10" x14ac:dyDescent="0.25">
      <c r="A1140" t="s">
        <v>53</v>
      </c>
      <c r="B1140" t="s">
        <v>29</v>
      </c>
      <c r="C1140" t="s">
        <v>47</v>
      </c>
      <c r="D1140" s="1">
        <v>45160</v>
      </c>
      <c r="E1140" s="2">
        <v>8282.93</v>
      </c>
      <c r="F1140">
        <v>107</v>
      </c>
      <c r="G1140" s="2">
        <f t="shared" si="68"/>
        <v>77.410560747663553</v>
      </c>
      <c r="H1140" t="str">
        <f t="shared" si="69"/>
        <v>August</v>
      </c>
      <c r="I1140" t="str">
        <f t="shared" si="70"/>
        <v>Q3</v>
      </c>
      <c r="J1140" t="str">
        <f t="shared" si="71"/>
        <v>Large</v>
      </c>
    </row>
    <row r="1141" spans="1:10" x14ac:dyDescent="0.25">
      <c r="A1141" t="s">
        <v>41</v>
      </c>
      <c r="B1141" t="s">
        <v>26</v>
      </c>
      <c r="C1141" t="s">
        <v>13</v>
      </c>
      <c r="D1141" s="1">
        <v>44973</v>
      </c>
      <c r="E1141" s="2">
        <v>6981.4</v>
      </c>
      <c r="F1141">
        <v>189</v>
      </c>
      <c r="G1141" s="2">
        <f t="shared" si="68"/>
        <v>36.938624338624336</v>
      </c>
      <c r="H1141" t="str">
        <f t="shared" si="69"/>
        <v>February</v>
      </c>
      <c r="I1141" t="str">
        <f t="shared" si="70"/>
        <v>Q1</v>
      </c>
      <c r="J1141" t="str">
        <f t="shared" si="71"/>
        <v>Large</v>
      </c>
    </row>
    <row r="1142" spans="1:10" x14ac:dyDescent="0.25">
      <c r="A1142" t="s">
        <v>9</v>
      </c>
      <c r="B1142" t="s">
        <v>26</v>
      </c>
      <c r="C1142" t="s">
        <v>22</v>
      </c>
      <c r="D1142" s="1">
        <v>44939</v>
      </c>
      <c r="E1142" s="2">
        <v>10280.17</v>
      </c>
      <c r="F1142">
        <v>155</v>
      </c>
      <c r="G1142" s="2">
        <f t="shared" si="68"/>
        <v>66.323677419354837</v>
      </c>
      <c r="H1142" t="str">
        <f t="shared" si="69"/>
        <v>January</v>
      </c>
      <c r="I1142" t="str">
        <f t="shared" si="70"/>
        <v>Q1</v>
      </c>
      <c r="J1142" t="str">
        <f t="shared" si="71"/>
        <v>Large</v>
      </c>
    </row>
    <row r="1143" spans="1:10" x14ac:dyDescent="0.25">
      <c r="A1143" t="s">
        <v>38</v>
      </c>
      <c r="B1143" t="s">
        <v>15</v>
      </c>
      <c r="C1143" t="s">
        <v>37</v>
      </c>
      <c r="D1143" s="1">
        <v>44971</v>
      </c>
      <c r="E1143" s="2">
        <v>7703.62</v>
      </c>
      <c r="F1143">
        <v>20</v>
      </c>
      <c r="G1143" s="2">
        <f t="shared" si="68"/>
        <v>385.18099999999998</v>
      </c>
      <c r="H1143" t="str">
        <f t="shared" si="69"/>
        <v>February</v>
      </c>
      <c r="I1143" t="str">
        <f t="shared" si="70"/>
        <v>Q1</v>
      </c>
      <c r="J1143" t="str">
        <f t="shared" si="71"/>
        <v>Large</v>
      </c>
    </row>
    <row r="1144" spans="1:10" x14ac:dyDescent="0.25">
      <c r="A1144" t="s">
        <v>36</v>
      </c>
      <c r="B1144" t="s">
        <v>10</v>
      </c>
      <c r="C1144" t="s">
        <v>30</v>
      </c>
      <c r="D1144" s="1">
        <v>45087</v>
      </c>
      <c r="E1144" s="2">
        <v>4489.8100000000004</v>
      </c>
      <c r="F1144">
        <v>310</v>
      </c>
      <c r="G1144" s="2">
        <f t="shared" si="68"/>
        <v>14.48325806451613</v>
      </c>
      <c r="H1144" t="str">
        <f t="shared" si="69"/>
        <v>June</v>
      </c>
      <c r="I1144" t="str">
        <f t="shared" si="70"/>
        <v>Q2</v>
      </c>
      <c r="J1144" t="str">
        <f t="shared" si="71"/>
        <v>Large</v>
      </c>
    </row>
    <row r="1145" spans="1:10" x14ac:dyDescent="0.25">
      <c r="A1145" t="s">
        <v>38</v>
      </c>
      <c r="B1145" t="s">
        <v>10</v>
      </c>
      <c r="C1145" t="s">
        <v>42</v>
      </c>
      <c r="D1145" s="1">
        <v>45114</v>
      </c>
      <c r="E1145" s="2">
        <v>5806.11</v>
      </c>
      <c r="F1145">
        <v>190</v>
      </c>
      <c r="G1145" s="2">
        <f t="shared" si="68"/>
        <v>30.558473684210526</v>
      </c>
      <c r="H1145" t="str">
        <f t="shared" si="69"/>
        <v>July</v>
      </c>
      <c r="I1145" t="str">
        <f t="shared" si="70"/>
        <v>Q3</v>
      </c>
      <c r="J1145" t="str">
        <f t="shared" si="71"/>
        <v>Large</v>
      </c>
    </row>
    <row r="1146" spans="1:10" x14ac:dyDescent="0.25">
      <c r="A1146" t="s">
        <v>38</v>
      </c>
      <c r="B1146" t="s">
        <v>29</v>
      </c>
      <c r="C1146" t="s">
        <v>47</v>
      </c>
      <c r="D1146" s="1">
        <v>45009</v>
      </c>
      <c r="E1146" s="2">
        <v>5148.7</v>
      </c>
      <c r="F1146">
        <v>76</v>
      </c>
      <c r="G1146" s="2">
        <f t="shared" si="68"/>
        <v>67.746052631578948</v>
      </c>
      <c r="H1146" t="str">
        <f t="shared" si="69"/>
        <v>March</v>
      </c>
      <c r="I1146" t="str">
        <f t="shared" si="70"/>
        <v>Q1</v>
      </c>
      <c r="J1146" t="str">
        <f t="shared" si="71"/>
        <v>Large</v>
      </c>
    </row>
    <row r="1147" spans="1:10" x14ac:dyDescent="0.25">
      <c r="A1147" t="s">
        <v>23</v>
      </c>
      <c r="B1147" t="s">
        <v>15</v>
      </c>
      <c r="C1147" t="s">
        <v>42</v>
      </c>
      <c r="D1147" s="1">
        <v>45083</v>
      </c>
      <c r="E1147" s="2">
        <v>8558.59</v>
      </c>
      <c r="F1147">
        <v>24</v>
      </c>
      <c r="G1147" s="2">
        <f t="shared" si="68"/>
        <v>356.60791666666665</v>
      </c>
      <c r="H1147" t="str">
        <f t="shared" si="69"/>
        <v>June</v>
      </c>
      <c r="I1147" t="str">
        <f t="shared" si="70"/>
        <v>Q2</v>
      </c>
      <c r="J1147" t="str">
        <f t="shared" si="71"/>
        <v>Large</v>
      </c>
    </row>
    <row r="1148" spans="1:10" x14ac:dyDescent="0.25">
      <c r="A1148" t="s">
        <v>54</v>
      </c>
      <c r="B1148" t="s">
        <v>15</v>
      </c>
      <c r="C1148" t="s">
        <v>32</v>
      </c>
      <c r="D1148" s="1">
        <v>45126</v>
      </c>
      <c r="E1148" s="2">
        <v>94.19</v>
      </c>
      <c r="F1148">
        <v>145</v>
      </c>
      <c r="G1148" s="2">
        <f t="shared" si="68"/>
        <v>0.64958620689655167</v>
      </c>
      <c r="H1148" t="str">
        <f t="shared" si="69"/>
        <v>July</v>
      </c>
      <c r="I1148" t="str">
        <f t="shared" si="70"/>
        <v>Q3</v>
      </c>
      <c r="J1148" t="str">
        <f t="shared" si="71"/>
        <v>Small</v>
      </c>
    </row>
    <row r="1149" spans="1:10" x14ac:dyDescent="0.25">
      <c r="A1149" t="s">
        <v>34</v>
      </c>
      <c r="B1149" t="s">
        <v>26</v>
      </c>
      <c r="C1149" t="s">
        <v>51</v>
      </c>
      <c r="D1149" s="1">
        <v>45035</v>
      </c>
      <c r="E1149" s="2">
        <v>16223.83</v>
      </c>
      <c r="F1149">
        <v>87</v>
      </c>
      <c r="G1149" s="2">
        <f t="shared" si="68"/>
        <v>186.48080459770114</v>
      </c>
      <c r="H1149" t="str">
        <f t="shared" si="69"/>
        <v>April</v>
      </c>
      <c r="I1149" t="str">
        <f t="shared" si="70"/>
        <v>Q2</v>
      </c>
      <c r="J1149" t="str">
        <f t="shared" si="71"/>
        <v>Large</v>
      </c>
    </row>
    <row r="1150" spans="1:10" x14ac:dyDescent="0.25">
      <c r="A1150" t="s">
        <v>33</v>
      </c>
      <c r="B1150" t="s">
        <v>10</v>
      </c>
      <c r="C1150" t="s">
        <v>11</v>
      </c>
      <c r="D1150" s="1">
        <v>45126</v>
      </c>
      <c r="E1150" s="2">
        <v>2439.06</v>
      </c>
      <c r="F1150">
        <v>175</v>
      </c>
      <c r="G1150" s="2">
        <f t="shared" si="68"/>
        <v>13.937485714285714</v>
      </c>
      <c r="H1150" t="str">
        <f t="shared" si="69"/>
        <v>July</v>
      </c>
      <c r="I1150" t="str">
        <f t="shared" si="70"/>
        <v>Q3</v>
      </c>
      <c r="J1150" t="str">
        <f t="shared" si="71"/>
        <v>Large</v>
      </c>
    </row>
    <row r="1151" spans="1:10" x14ac:dyDescent="0.25">
      <c r="A1151" t="s">
        <v>6</v>
      </c>
      <c r="B1151" t="s">
        <v>29</v>
      </c>
      <c r="C1151" t="s">
        <v>32</v>
      </c>
      <c r="D1151" s="1">
        <v>45122</v>
      </c>
      <c r="E1151" s="2">
        <v>466.65</v>
      </c>
      <c r="F1151">
        <v>23</v>
      </c>
      <c r="G1151" s="2">
        <f t="shared" si="68"/>
        <v>20.289130434782606</v>
      </c>
      <c r="H1151" t="str">
        <f t="shared" si="69"/>
        <v>July</v>
      </c>
      <c r="I1151" t="str">
        <f t="shared" si="70"/>
        <v>Q3</v>
      </c>
      <c r="J1151" t="str">
        <f t="shared" si="71"/>
        <v>Small</v>
      </c>
    </row>
    <row r="1152" spans="1:10" x14ac:dyDescent="0.25">
      <c r="A1152" t="s">
        <v>55</v>
      </c>
      <c r="B1152" t="s">
        <v>21</v>
      </c>
      <c r="C1152" t="s">
        <v>39</v>
      </c>
      <c r="D1152" s="1">
        <v>44971</v>
      </c>
      <c r="E1152" s="2">
        <v>4044.24</v>
      </c>
      <c r="F1152">
        <v>18</v>
      </c>
      <c r="G1152" s="2">
        <f t="shared" si="68"/>
        <v>224.67999999999998</v>
      </c>
      <c r="H1152" t="str">
        <f t="shared" si="69"/>
        <v>February</v>
      </c>
      <c r="I1152" t="str">
        <f t="shared" si="70"/>
        <v>Q1</v>
      </c>
      <c r="J1152" t="str">
        <f t="shared" si="71"/>
        <v>Large</v>
      </c>
    </row>
    <row r="1153" spans="1:10" x14ac:dyDescent="0.25">
      <c r="A1153" t="s">
        <v>23</v>
      </c>
      <c r="B1153" t="s">
        <v>29</v>
      </c>
      <c r="C1153" t="s">
        <v>18</v>
      </c>
      <c r="D1153" s="1">
        <v>45064</v>
      </c>
      <c r="E1153" s="2">
        <v>17675.28</v>
      </c>
      <c r="F1153">
        <v>446</v>
      </c>
      <c r="G1153" s="2">
        <f t="shared" si="68"/>
        <v>39.630672645739907</v>
      </c>
      <c r="H1153" t="str">
        <f t="shared" si="69"/>
        <v>May</v>
      </c>
      <c r="I1153" t="str">
        <f t="shared" si="70"/>
        <v>Q2</v>
      </c>
      <c r="J1153" t="str">
        <f t="shared" si="71"/>
        <v>Large</v>
      </c>
    </row>
    <row r="1154" spans="1:10" x14ac:dyDescent="0.25">
      <c r="A1154" t="s">
        <v>25</v>
      </c>
      <c r="B1154" t="s">
        <v>15</v>
      </c>
      <c r="C1154" t="s">
        <v>42</v>
      </c>
      <c r="D1154" s="1">
        <v>45107</v>
      </c>
      <c r="E1154" s="2">
        <v>17280.98</v>
      </c>
      <c r="F1154">
        <v>58</v>
      </c>
      <c r="G1154" s="2">
        <f t="shared" si="68"/>
        <v>297.94793103448274</v>
      </c>
      <c r="H1154" t="str">
        <f t="shared" si="69"/>
        <v>June</v>
      </c>
      <c r="I1154" t="str">
        <f t="shared" si="70"/>
        <v>Q2</v>
      </c>
      <c r="J1154" t="str">
        <f t="shared" si="71"/>
        <v>Large</v>
      </c>
    </row>
    <row r="1155" spans="1:10" x14ac:dyDescent="0.25">
      <c r="A1155" t="s">
        <v>48</v>
      </c>
      <c r="B1155" t="s">
        <v>15</v>
      </c>
      <c r="C1155" t="s">
        <v>22</v>
      </c>
      <c r="D1155" s="1">
        <v>45079</v>
      </c>
      <c r="E1155" s="2">
        <v>5091.78</v>
      </c>
      <c r="F1155">
        <v>219</v>
      </c>
      <c r="G1155" s="2">
        <f t="shared" ref="G1155:G1218" si="72">E1155/F1155</f>
        <v>23.250136986301367</v>
      </c>
      <c r="H1155" t="str">
        <f t="shared" ref="H1155:H1218" si="73">TEXT(D1155, "mmmm")</f>
        <v>June</v>
      </c>
      <c r="I1155" t="str">
        <f t="shared" ref="I1155:I1218" si="74">"Q" &amp; ROUNDUP(MONTH(D1155)/3,0)</f>
        <v>Q2</v>
      </c>
      <c r="J1155" t="str">
        <f t="shared" ref="J1155:J1218" si="75">IF(E1155 &gt; 500, "Large", "Small")</f>
        <v>Large</v>
      </c>
    </row>
    <row r="1156" spans="1:10" x14ac:dyDescent="0.25">
      <c r="A1156" t="s">
        <v>48</v>
      </c>
      <c r="B1156" t="s">
        <v>15</v>
      </c>
      <c r="C1156" t="s">
        <v>32</v>
      </c>
      <c r="D1156" s="1">
        <v>45105</v>
      </c>
      <c r="E1156" s="2">
        <v>1657.2</v>
      </c>
      <c r="F1156">
        <v>49</v>
      </c>
      <c r="G1156" s="2">
        <f t="shared" si="72"/>
        <v>33.820408163265306</v>
      </c>
      <c r="H1156" t="str">
        <f t="shared" si="73"/>
        <v>June</v>
      </c>
      <c r="I1156" t="str">
        <f t="shared" si="74"/>
        <v>Q2</v>
      </c>
      <c r="J1156" t="str">
        <f t="shared" si="75"/>
        <v>Large</v>
      </c>
    </row>
    <row r="1157" spans="1:10" x14ac:dyDescent="0.25">
      <c r="A1157" t="s">
        <v>33</v>
      </c>
      <c r="B1157" t="s">
        <v>15</v>
      </c>
      <c r="C1157" t="s">
        <v>35</v>
      </c>
      <c r="D1157" s="1">
        <v>45062</v>
      </c>
      <c r="E1157" s="2">
        <v>305.79000000000002</v>
      </c>
      <c r="F1157">
        <v>189</v>
      </c>
      <c r="G1157" s="2">
        <f t="shared" si="72"/>
        <v>1.617936507936508</v>
      </c>
      <c r="H1157" t="str">
        <f t="shared" si="73"/>
        <v>May</v>
      </c>
      <c r="I1157" t="str">
        <f t="shared" si="74"/>
        <v>Q2</v>
      </c>
      <c r="J1157" t="str">
        <f t="shared" si="75"/>
        <v>Small</v>
      </c>
    </row>
    <row r="1158" spans="1:10" x14ac:dyDescent="0.25">
      <c r="A1158" t="s">
        <v>49</v>
      </c>
      <c r="B1158" t="s">
        <v>29</v>
      </c>
      <c r="C1158" t="s">
        <v>56</v>
      </c>
      <c r="D1158" s="1">
        <v>45072</v>
      </c>
      <c r="E1158" s="2">
        <v>3377.41</v>
      </c>
      <c r="F1158">
        <v>325</v>
      </c>
      <c r="G1158" s="2">
        <f t="shared" si="72"/>
        <v>10.392030769230768</v>
      </c>
      <c r="H1158" t="str">
        <f t="shared" si="73"/>
        <v>May</v>
      </c>
      <c r="I1158" t="str">
        <f t="shared" si="74"/>
        <v>Q2</v>
      </c>
      <c r="J1158" t="str">
        <f t="shared" si="75"/>
        <v>Large</v>
      </c>
    </row>
    <row r="1159" spans="1:10" x14ac:dyDescent="0.25">
      <c r="A1159" t="s">
        <v>31</v>
      </c>
      <c r="B1159" t="s">
        <v>10</v>
      </c>
      <c r="C1159" t="s">
        <v>47</v>
      </c>
      <c r="D1159" s="1">
        <v>45113</v>
      </c>
      <c r="E1159" s="2">
        <v>6188.62</v>
      </c>
      <c r="F1159">
        <v>157</v>
      </c>
      <c r="G1159" s="2">
        <f t="shared" si="72"/>
        <v>39.417961783439488</v>
      </c>
      <c r="H1159" t="str">
        <f t="shared" si="73"/>
        <v>July</v>
      </c>
      <c r="I1159" t="str">
        <f t="shared" si="74"/>
        <v>Q3</v>
      </c>
      <c r="J1159" t="str">
        <f t="shared" si="75"/>
        <v>Large</v>
      </c>
    </row>
    <row r="1160" spans="1:10" x14ac:dyDescent="0.25">
      <c r="A1160" t="s">
        <v>17</v>
      </c>
      <c r="B1160" t="s">
        <v>10</v>
      </c>
      <c r="C1160" t="s">
        <v>18</v>
      </c>
      <c r="D1160" s="1">
        <v>45073</v>
      </c>
      <c r="E1160" s="2">
        <v>10914.36</v>
      </c>
      <c r="F1160">
        <v>11</v>
      </c>
      <c r="G1160" s="2">
        <f t="shared" si="72"/>
        <v>992.21454545454549</v>
      </c>
      <c r="H1160" t="str">
        <f t="shared" si="73"/>
        <v>May</v>
      </c>
      <c r="I1160" t="str">
        <f t="shared" si="74"/>
        <v>Q2</v>
      </c>
      <c r="J1160" t="str">
        <f t="shared" si="75"/>
        <v>Large</v>
      </c>
    </row>
    <row r="1161" spans="1:10" x14ac:dyDescent="0.25">
      <c r="A1161" t="s">
        <v>46</v>
      </c>
      <c r="B1161" t="s">
        <v>15</v>
      </c>
      <c r="C1161" t="s">
        <v>57</v>
      </c>
      <c r="D1161" s="1">
        <v>45030</v>
      </c>
      <c r="E1161" s="2">
        <v>2342.0700000000002</v>
      </c>
      <c r="F1161">
        <v>12</v>
      </c>
      <c r="G1161" s="2">
        <f t="shared" si="72"/>
        <v>195.17250000000001</v>
      </c>
      <c r="H1161" t="str">
        <f t="shared" si="73"/>
        <v>April</v>
      </c>
      <c r="I1161" t="str">
        <f t="shared" si="74"/>
        <v>Q2</v>
      </c>
      <c r="J1161" t="str">
        <f t="shared" si="75"/>
        <v>Large</v>
      </c>
    </row>
    <row r="1162" spans="1:10" x14ac:dyDescent="0.25">
      <c r="A1162" t="s">
        <v>9</v>
      </c>
      <c r="B1162" t="s">
        <v>15</v>
      </c>
      <c r="C1162" t="s">
        <v>35</v>
      </c>
      <c r="D1162" s="1">
        <v>45148</v>
      </c>
      <c r="E1162" s="2">
        <v>21762.799999999999</v>
      </c>
      <c r="F1162">
        <v>15</v>
      </c>
      <c r="G1162" s="2">
        <f t="shared" si="72"/>
        <v>1450.8533333333332</v>
      </c>
      <c r="H1162" t="str">
        <f t="shared" si="73"/>
        <v>August</v>
      </c>
      <c r="I1162" t="str">
        <f t="shared" si="74"/>
        <v>Q3</v>
      </c>
      <c r="J1162" t="str">
        <f t="shared" si="75"/>
        <v>Large</v>
      </c>
    </row>
    <row r="1163" spans="1:10" x14ac:dyDescent="0.25">
      <c r="A1163" t="s">
        <v>50</v>
      </c>
      <c r="B1163" t="s">
        <v>10</v>
      </c>
      <c r="C1163" t="s">
        <v>22</v>
      </c>
      <c r="D1163" s="1">
        <v>45111</v>
      </c>
      <c r="E1163" s="2">
        <v>10539.54</v>
      </c>
      <c r="F1163">
        <v>398</v>
      </c>
      <c r="G1163" s="2">
        <f t="shared" si="72"/>
        <v>26.481256281407038</v>
      </c>
      <c r="H1163" t="str">
        <f t="shared" si="73"/>
        <v>July</v>
      </c>
      <c r="I1163" t="str">
        <f t="shared" si="74"/>
        <v>Q3</v>
      </c>
      <c r="J1163" t="str">
        <f t="shared" si="75"/>
        <v>Large</v>
      </c>
    </row>
    <row r="1164" spans="1:10" x14ac:dyDescent="0.25">
      <c r="A1164" t="s">
        <v>17</v>
      </c>
      <c r="B1164" t="s">
        <v>10</v>
      </c>
      <c r="C1164" t="s">
        <v>35</v>
      </c>
      <c r="D1164" s="1">
        <v>45115</v>
      </c>
      <c r="E1164" s="2">
        <v>6665.87</v>
      </c>
      <c r="F1164">
        <v>60</v>
      </c>
      <c r="G1164" s="2">
        <f t="shared" si="72"/>
        <v>111.09783333333333</v>
      </c>
      <c r="H1164" t="str">
        <f t="shared" si="73"/>
        <v>July</v>
      </c>
      <c r="I1164" t="str">
        <f t="shared" si="74"/>
        <v>Q3</v>
      </c>
      <c r="J1164" t="str">
        <f t="shared" si="75"/>
        <v>Large</v>
      </c>
    </row>
    <row r="1165" spans="1:10" x14ac:dyDescent="0.25">
      <c r="A1165" t="s">
        <v>14</v>
      </c>
      <c r="B1165" t="s">
        <v>26</v>
      </c>
      <c r="C1165" t="s">
        <v>13</v>
      </c>
      <c r="D1165" s="1">
        <v>45129</v>
      </c>
      <c r="E1165" s="2">
        <v>9605.11</v>
      </c>
      <c r="F1165">
        <v>98</v>
      </c>
      <c r="G1165" s="2">
        <f t="shared" si="72"/>
        <v>98.011326530612251</v>
      </c>
      <c r="H1165" t="str">
        <f t="shared" si="73"/>
        <v>July</v>
      </c>
      <c r="I1165" t="str">
        <f t="shared" si="74"/>
        <v>Q3</v>
      </c>
      <c r="J1165" t="str">
        <f t="shared" si="75"/>
        <v>Large</v>
      </c>
    </row>
    <row r="1166" spans="1:10" x14ac:dyDescent="0.25">
      <c r="A1166" t="s">
        <v>12</v>
      </c>
      <c r="B1166" t="s">
        <v>26</v>
      </c>
      <c r="C1166" t="s">
        <v>52</v>
      </c>
      <c r="D1166" s="1">
        <v>44987</v>
      </c>
      <c r="E1166" s="2">
        <v>13018</v>
      </c>
      <c r="F1166">
        <v>103</v>
      </c>
      <c r="G1166" s="2">
        <f t="shared" si="72"/>
        <v>126.3883495145631</v>
      </c>
      <c r="H1166" t="str">
        <f t="shared" si="73"/>
        <v>March</v>
      </c>
      <c r="I1166" t="str">
        <f t="shared" si="74"/>
        <v>Q1</v>
      </c>
      <c r="J1166" t="str">
        <f t="shared" si="75"/>
        <v>Large</v>
      </c>
    </row>
    <row r="1167" spans="1:10" x14ac:dyDescent="0.25">
      <c r="A1167" t="s">
        <v>12</v>
      </c>
      <c r="B1167" t="s">
        <v>7</v>
      </c>
      <c r="C1167" t="s">
        <v>47</v>
      </c>
      <c r="D1167" s="1">
        <v>44936</v>
      </c>
      <c r="E1167" s="2">
        <v>6046.4</v>
      </c>
      <c r="F1167">
        <v>10</v>
      </c>
      <c r="G1167" s="2">
        <f t="shared" si="72"/>
        <v>604.64</v>
      </c>
      <c r="H1167" t="str">
        <f t="shared" si="73"/>
        <v>January</v>
      </c>
      <c r="I1167" t="str">
        <f t="shared" si="74"/>
        <v>Q1</v>
      </c>
      <c r="J1167" t="str">
        <f t="shared" si="75"/>
        <v>Large</v>
      </c>
    </row>
    <row r="1168" spans="1:10" x14ac:dyDescent="0.25">
      <c r="A1168" t="s">
        <v>6</v>
      </c>
      <c r="B1168" t="s">
        <v>21</v>
      </c>
      <c r="C1168" t="s">
        <v>44</v>
      </c>
      <c r="D1168" s="1">
        <v>44996</v>
      </c>
      <c r="E1168" s="2">
        <v>3078.33</v>
      </c>
      <c r="F1168">
        <v>231</v>
      </c>
      <c r="G1168" s="2">
        <f t="shared" si="72"/>
        <v>13.326103896103897</v>
      </c>
      <c r="H1168" t="str">
        <f t="shared" si="73"/>
        <v>March</v>
      </c>
      <c r="I1168" t="str">
        <f t="shared" si="74"/>
        <v>Q1</v>
      </c>
      <c r="J1168" t="str">
        <f t="shared" si="75"/>
        <v>Large</v>
      </c>
    </row>
    <row r="1169" spans="1:10" x14ac:dyDescent="0.25">
      <c r="A1169" t="s">
        <v>48</v>
      </c>
      <c r="B1169" t="s">
        <v>21</v>
      </c>
      <c r="C1169" t="s">
        <v>13</v>
      </c>
      <c r="D1169" s="1">
        <v>45097</v>
      </c>
      <c r="E1169" s="2">
        <v>970.96</v>
      </c>
      <c r="F1169">
        <v>291</v>
      </c>
      <c r="G1169" s="2">
        <f t="shared" si="72"/>
        <v>3.3366323024054982</v>
      </c>
      <c r="H1169" t="str">
        <f t="shared" si="73"/>
        <v>June</v>
      </c>
      <c r="I1169" t="str">
        <f t="shared" si="74"/>
        <v>Q2</v>
      </c>
      <c r="J1169" t="str">
        <f t="shared" si="75"/>
        <v>Large</v>
      </c>
    </row>
    <row r="1170" spans="1:10" x14ac:dyDescent="0.25">
      <c r="A1170" t="s">
        <v>9</v>
      </c>
      <c r="B1170" t="s">
        <v>7</v>
      </c>
      <c r="C1170" t="s">
        <v>35</v>
      </c>
      <c r="D1170" s="1">
        <v>45164</v>
      </c>
      <c r="E1170" s="2">
        <v>2064.71</v>
      </c>
      <c r="F1170">
        <v>208</v>
      </c>
      <c r="G1170" s="2">
        <f t="shared" si="72"/>
        <v>9.9264903846153842</v>
      </c>
      <c r="H1170" t="str">
        <f t="shared" si="73"/>
        <v>August</v>
      </c>
      <c r="I1170" t="str">
        <f t="shared" si="74"/>
        <v>Q3</v>
      </c>
      <c r="J1170" t="str">
        <f t="shared" si="75"/>
        <v>Large</v>
      </c>
    </row>
    <row r="1171" spans="1:10" x14ac:dyDescent="0.25">
      <c r="A1171" t="s">
        <v>36</v>
      </c>
      <c r="B1171" t="s">
        <v>29</v>
      </c>
      <c r="C1171" t="s">
        <v>37</v>
      </c>
      <c r="D1171" s="1">
        <v>45120</v>
      </c>
      <c r="E1171" s="2">
        <v>679.94</v>
      </c>
      <c r="F1171">
        <v>34</v>
      </c>
      <c r="G1171" s="2">
        <f t="shared" si="72"/>
        <v>19.998235294117649</v>
      </c>
      <c r="H1171" t="str">
        <f t="shared" si="73"/>
        <v>July</v>
      </c>
      <c r="I1171" t="str">
        <f t="shared" si="74"/>
        <v>Q3</v>
      </c>
      <c r="J1171" t="str">
        <f t="shared" si="75"/>
        <v>Large</v>
      </c>
    </row>
    <row r="1172" spans="1:10" x14ac:dyDescent="0.25">
      <c r="A1172" t="s">
        <v>50</v>
      </c>
      <c r="B1172" t="s">
        <v>26</v>
      </c>
      <c r="C1172" t="s">
        <v>39</v>
      </c>
      <c r="D1172" s="1">
        <v>44968</v>
      </c>
      <c r="E1172" s="2">
        <v>1311.25</v>
      </c>
      <c r="F1172">
        <v>251</v>
      </c>
      <c r="G1172" s="2">
        <f t="shared" si="72"/>
        <v>5.2241035856573701</v>
      </c>
      <c r="H1172" t="str">
        <f t="shared" si="73"/>
        <v>February</v>
      </c>
      <c r="I1172" t="str">
        <f t="shared" si="74"/>
        <v>Q1</v>
      </c>
      <c r="J1172" t="str">
        <f t="shared" si="75"/>
        <v>Large</v>
      </c>
    </row>
    <row r="1173" spans="1:10" x14ac:dyDescent="0.25">
      <c r="A1173" t="s">
        <v>33</v>
      </c>
      <c r="B1173" t="s">
        <v>26</v>
      </c>
      <c r="C1173" t="s">
        <v>27</v>
      </c>
      <c r="D1173" s="1">
        <v>44953</v>
      </c>
      <c r="E1173" s="2">
        <v>8692.64</v>
      </c>
      <c r="F1173">
        <v>184</v>
      </c>
      <c r="G1173" s="2">
        <f t="shared" si="72"/>
        <v>47.242608695652173</v>
      </c>
      <c r="H1173" t="str">
        <f t="shared" si="73"/>
        <v>January</v>
      </c>
      <c r="I1173" t="str">
        <f t="shared" si="74"/>
        <v>Q1</v>
      </c>
      <c r="J1173" t="str">
        <f t="shared" si="75"/>
        <v>Large</v>
      </c>
    </row>
    <row r="1174" spans="1:10" x14ac:dyDescent="0.25">
      <c r="A1174" t="s">
        <v>9</v>
      </c>
      <c r="B1174" t="s">
        <v>7</v>
      </c>
      <c r="C1174" t="s">
        <v>18</v>
      </c>
      <c r="D1174" s="1">
        <v>44957</v>
      </c>
      <c r="E1174" s="2">
        <v>4993.21</v>
      </c>
      <c r="F1174">
        <v>145</v>
      </c>
      <c r="G1174" s="2">
        <f t="shared" si="72"/>
        <v>34.435931034482756</v>
      </c>
      <c r="H1174" t="str">
        <f t="shared" si="73"/>
        <v>January</v>
      </c>
      <c r="I1174" t="str">
        <f t="shared" si="74"/>
        <v>Q1</v>
      </c>
      <c r="J1174" t="str">
        <f t="shared" si="75"/>
        <v>Large</v>
      </c>
    </row>
    <row r="1175" spans="1:10" x14ac:dyDescent="0.25">
      <c r="A1175" t="s">
        <v>50</v>
      </c>
      <c r="B1175" t="s">
        <v>26</v>
      </c>
      <c r="C1175" t="s">
        <v>44</v>
      </c>
      <c r="D1175" s="1">
        <v>45156</v>
      </c>
      <c r="E1175" s="2">
        <v>10898.19</v>
      </c>
      <c r="F1175">
        <v>24</v>
      </c>
      <c r="G1175" s="2">
        <f t="shared" si="72"/>
        <v>454.09125</v>
      </c>
      <c r="H1175" t="str">
        <f t="shared" si="73"/>
        <v>August</v>
      </c>
      <c r="I1175" t="str">
        <f t="shared" si="74"/>
        <v>Q3</v>
      </c>
      <c r="J1175" t="str">
        <f t="shared" si="75"/>
        <v>Large</v>
      </c>
    </row>
    <row r="1176" spans="1:10" x14ac:dyDescent="0.25">
      <c r="A1176" t="s">
        <v>48</v>
      </c>
      <c r="B1176" t="s">
        <v>26</v>
      </c>
      <c r="C1176" t="s">
        <v>51</v>
      </c>
      <c r="D1176" s="1">
        <v>45107</v>
      </c>
      <c r="E1176" s="2">
        <v>15565.91</v>
      </c>
      <c r="F1176">
        <v>21</v>
      </c>
      <c r="G1176" s="2">
        <f t="shared" si="72"/>
        <v>741.23380952380955</v>
      </c>
      <c r="H1176" t="str">
        <f t="shared" si="73"/>
        <v>June</v>
      </c>
      <c r="I1176" t="str">
        <f t="shared" si="74"/>
        <v>Q2</v>
      </c>
      <c r="J1176" t="str">
        <f t="shared" si="75"/>
        <v>Large</v>
      </c>
    </row>
    <row r="1177" spans="1:10" x14ac:dyDescent="0.25">
      <c r="A1177" t="s">
        <v>54</v>
      </c>
      <c r="B1177" t="s">
        <v>15</v>
      </c>
      <c r="C1177" t="s">
        <v>42</v>
      </c>
      <c r="D1177" s="1">
        <v>45161</v>
      </c>
      <c r="E1177" s="2">
        <v>280.58999999999997</v>
      </c>
      <c r="F1177">
        <v>328</v>
      </c>
      <c r="G1177" s="2">
        <f t="shared" si="72"/>
        <v>0.85545731707317063</v>
      </c>
      <c r="H1177" t="str">
        <f t="shared" si="73"/>
        <v>August</v>
      </c>
      <c r="I1177" t="str">
        <f t="shared" si="74"/>
        <v>Q3</v>
      </c>
      <c r="J1177" t="str">
        <f t="shared" si="75"/>
        <v>Small</v>
      </c>
    </row>
    <row r="1178" spans="1:10" x14ac:dyDescent="0.25">
      <c r="A1178" t="s">
        <v>23</v>
      </c>
      <c r="B1178" t="s">
        <v>21</v>
      </c>
      <c r="C1178" t="s">
        <v>8</v>
      </c>
      <c r="D1178" s="1">
        <v>45139</v>
      </c>
      <c r="E1178" s="2">
        <v>66.349999999999994</v>
      </c>
      <c r="F1178">
        <v>197</v>
      </c>
      <c r="G1178" s="2">
        <f t="shared" si="72"/>
        <v>0.33680203045685275</v>
      </c>
      <c r="H1178" t="str">
        <f t="shared" si="73"/>
        <v>August</v>
      </c>
      <c r="I1178" t="str">
        <f t="shared" si="74"/>
        <v>Q3</v>
      </c>
      <c r="J1178" t="str">
        <f t="shared" si="75"/>
        <v>Small</v>
      </c>
    </row>
    <row r="1179" spans="1:10" x14ac:dyDescent="0.25">
      <c r="A1179" t="s">
        <v>36</v>
      </c>
      <c r="B1179" t="s">
        <v>21</v>
      </c>
      <c r="C1179" t="s">
        <v>20</v>
      </c>
      <c r="D1179" s="1">
        <v>45071</v>
      </c>
      <c r="E1179" s="2">
        <v>8766.4500000000007</v>
      </c>
      <c r="F1179">
        <v>10</v>
      </c>
      <c r="G1179" s="2">
        <f t="shared" si="72"/>
        <v>876.6450000000001</v>
      </c>
      <c r="H1179" t="str">
        <f t="shared" si="73"/>
        <v>May</v>
      </c>
      <c r="I1179" t="str">
        <f t="shared" si="74"/>
        <v>Q2</v>
      </c>
      <c r="J1179" t="str">
        <f t="shared" si="75"/>
        <v>Large</v>
      </c>
    </row>
    <row r="1180" spans="1:10" x14ac:dyDescent="0.25">
      <c r="A1180" t="s">
        <v>36</v>
      </c>
      <c r="B1180" t="s">
        <v>29</v>
      </c>
      <c r="C1180" t="s">
        <v>35</v>
      </c>
      <c r="D1180" s="1">
        <v>44936</v>
      </c>
      <c r="E1180" s="2">
        <v>4265.4799999999996</v>
      </c>
      <c r="F1180">
        <v>85</v>
      </c>
      <c r="G1180" s="2">
        <f t="shared" si="72"/>
        <v>50.182117647058817</v>
      </c>
      <c r="H1180" t="str">
        <f t="shared" si="73"/>
        <v>January</v>
      </c>
      <c r="I1180" t="str">
        <f t="shared" si="74"/>
        <v>Q1</v>
      </c>
      <c r="J1180" t="str">
        <f t="shared" si="75"/>
        <v>Large</v>
      </c>
    </row>
    <row r="1181" spans="1:10" x14ac:dyDescent="0.25">
      <c r="A1181" t="s">
        <v>43</v>
      </c>
      <c r="B1181" t="s">
        <v>15</v>
      </c>
      <c r="C1181" t="s">
        <v>58</v>
      </c>
      <c r="D1181" s="1">
        <v>44964</v>
      </c>
      <c r="E1181" s="2">
        <v>6087.53</v>
      </c>
      <c r="F1181">
        <v>113</v>
      </c>
      <c r="G1181" s="2">
        <f t="shared" si="72"/>
        <v>53.871946902654862</v>
      </c>
      <c r="H1181" t="str">
        <f t="shared" si="73"/>
        <v>February</v>
      </c>
      <c r="I1181" t="str">
        <f t="shared" si="74"/>
        <v>Q1</v>
      </c>
      <c r="J1181" t="str">
        <f t="shared" si="75"/>
        <v>Large</v>
      </c>
    </row>
    <row r="1182" spans="1:10" x14ac:dyDescent="0.25">
      <c r="A1182" t="s">
        <v>31</v>
      </c>
      <c r="B1182" t="s">
        <v>26</v>
      </c>
      <c r="C1182" t="s">
        <v>27</v>
      </c>
      <c r="D1182" s="1">
        <v>45058</v>
      </c>
      <c r="E1182" s="2">
        <v>11694.48</v>
      </c>
      <c r="F1182">
        <v>425</v>
      </c>
      <c r="G1182" s="2">
        <f t="shared" si="72"/>
        <v>27.516423529411764</v>
      </c>
      <c r="H1182" t="str">
        <f t="shared" si="73"/>
        <v>May</v>
      </c>
      <c r="I1182" t="str">
        <f t="shared" si="74"/>
        <v>Q2</v>
      </c>
      <c r="J1182" t="str">
        <f t="shared" si="75"/>
        <v>Large</v>
      </c>
    </row>
    <row r="1183" spans="1:10" x14ac:dyDescent="0.25">
      <c r="A1183" t="s">
        <v>53</v>
      </c>
      <c r="B1183" t="s">
        <v>15</v>
      </c>
      <c r="C1183" t="s">
        <v>39</v>
      </c>
      <c r="D1183" s="1">
        <v>44992</v>
      </c>
      <c r="E1183" s="2">
        <v>7616.38</v>
      </c>
      <c r="F1183">
        <v>392</v>
      </c>
      <c r="G1183" s="2">
        <f t="shared" si="72"/>
        <v>19.429540816326529</v>
      </c>
      <c r="H1183" t="str">
        <f t="shared" si="73"/>
        <v>March</v>
      </c>
      <c r="I1183" t="str">
        <f t="shared" si="74"/>
        <v>Q1</v>
      </c>
      <c r="J1183" t="str">
        <f t="shared" si="75"/>
        <v>Large</v>
      </c>
    </row>
    <row r="1184" spans="1:10" x14ac:dyDescent="0.25">
      <c r="A1184" t="s">
        <v>43</v>
      </c>
      <c r="B1184" t="s">
        <v>15</v>
      </c>
      <c r="C1184" t="s">
        <v>11</v>
      </c>
      <c r="D1184" s="1">
        <v>45021</v>
      </c>
      <c r="E1184" s="2">
        <v>7807.02</v>
      </c>
      <c r="F1184">
        <v>419</v>
      </c>
      <c r="G1184" s="2">
        <f t="shared" si="72"/>
        <v>18.632505966587114</v>
      </c>
      <c r="H1184" t="str">
        <f t="shared" si="73"/>
        <v>April</v>
      </c>
      <c r="I1184" t="str">
        <f t="shared" si="74"/>
        <v>Q2</v>
      </c>
      <c r="J1184" t="str">
        <f t="shared" si="75"/>
        <v>Large</v>
      </c>
    </row>
    <row r="1185" spans="1:10" x14ac:dyDescent="0.25">
      <c r="A1185" t="s">
        <v>48</v>
      </c>
      <c r="B1185" t="s">
        <v>29</v>
      </c>
      <c r="C1185" t="s">
        <v>57</v>
      </c>
      <c r="D1185" s="1">
        <v>44929</v>
      </c>
      <c r="E1185" s="2">
        <v>7990.91</v>
      </c>
      <c r="F1185">
        <v>343</v>
      </c>
      <c r="G1185" s="2">
        <f t="shared" si="72"/>
        <v>23.297113702623907</v>
      </c>
      <c r="H1185" t="str">
        <f t="shared" si="73"/>
        <v>January</v>
      </c>
      <c r="I1185" t="str">
        <f t="shared" si="74"/>
        <v>Q1</v>
      </c>
      <c r="J1185" t="str">
        <f t="shared" si="75"/>
        <v>Large</v>
      </c>
    </row>
    <row r="1186" spans="1:10" x14ac:dyDescent="0.25">
      <c r="A1186" t="s">
        <v>43</v>
      </c>
      <c r="B1186" t="s">
        <v>7</v>
      </c>
      <c r="C1186" t="s">
        <v>30</v>
      </c>
      <c r="D1186" s="1">
        <v>45009</v>
      </c>
      <c r="E1186" s="2">
        <v>6757.17</v>
      </c>
      <c r="F1186">
        <v>276</v>
      </c>
      <c r="G1186" s="2">
        <f t="shared" si="72"/>
        <v>24.482500000000002</v>
      </c>
      <c r="H1186" t="str">
        <f t="shared" si="73"/>
        <v>March</v>
      </c>
      <c r="I1186" t="str">
        <f t="shared" si="74"/>
        <v>Q1</v>
      </c>
      <c r="J1186" t="str">
        <f t="shared" si="75"/>
        <v>Large</v>
      </c>
    </row>
    <row r="1187" spans="1:10" x14ac:dyDescent="0.25">
      <c r="A1187" t="s">
        <v>53</v>
      </c>
      <c r="B1187" t="s">
        <v>10</v>
      </c>
      <c r="C1187" t="s">
        <v>51</v>
      </c>
      <c r="D1187" s="1">
        <v>45114</v>
      </c>
      <c r="E1187" s="2">
        <v>4409.21</v>
      </c>
      <c r="F1187">
        <v>10</v>
      </c>
      <c r="G1187" s="2">
        <f t="shared" si="72"/>
        <v>440.92099999999999</v>
      </c>
      <c r="H1187" t="str">
        <f t="shared" si="73"/>
        <v>July</v>
      </c>
      <c r="I1187" t="str">
        <f t="shared" si="74"/>
        <v>Q3</v>
      </c>
      <c r="J1187" t="str">
        <f t="shared" si="75"/>
        <v>Large</v>
      </c>
    </row>
    <row r="1188" spans="1:10" x14ac:dyDescent="0.25">
      <c r="A1188" t="s">
        <v>9</v>
      </c>
      <c r="B1188" t="s">
        <v>26</v>
      </c>
      <c r="C1188" t="s">
        <v>20</v>
      </c>
      <c r="D1188" s="1">
        <v>45133</v>
      </c>
      <c r="E1188" s="2">
        <v>722.25</v>
      </c>
      <c r="F1188">
        <v>255</v>
      </c>
      <c r="G1188" s="2">
        <f t="shared" si="72"/>
        <v>2.8323529411764707</v>
      </c>
      <c r="H1188" t="str">
        <f t="shared" si="73"/>
        <v>July</v>
      </c>
      <c r="I1188" t="str">
        <f t="shared" si="74"/>
        <v>Q3</v>
      </c>
      <c r="J1188" t="str">
        <f t="shared" si="75"/>
        <v>Large</v>
      </c>
    </row>
    <row r="1189" spans="1:10" x14ac:dyDescent="0.25">
      <c r="A1189" t="s">
        <v>46</v>
      </c>
      <c r="B1189" t="s">
        <v>15</v>
      </c>
      <c r="C1189" t="s">
        <v>35</v>
      </c>
      <c r="D1189" s="1">
        <v>45114</v>
      </c>
      <c r="E1189" s="2">
        <v>1896.24</v>
      </c>
      <c r="F1189">
        <v>115</v>
      </c>
      <c r="G1189" s="2">
        <f t="shared" si="72"/>
        <v>16.489043478260868</v>
      </c>
      <c r="H1189" t="str">
        <f t="shared" si="73"/>
        <v>July</v>
      </c>
      <c r="I1189" t="str">
        <f t="shared" si="74"/>
        <v>Q3</v>
      </c>
      <c r="J1189" t="str">
        <f t="shared" si="75"/>
        <v>Large</v>
      </c>
    </row>
    <row r="1190" spans="1:10" x14ac:dyDescent="0.25">
      <c r="A1190" t="s">
        <v>31</v>
      </c>
      <c r="B1190" t="s">
        <v>29</v>
      </c>
      <c r="C1190" t="s">
        <v>22</v>
      </c>
      <c r="D1190" s="1">
        <v>45122</v>
      </c>
      <c r="E1190" s="2">
        <v>2966.83</v>
      </c>
      <c r="F1190">
        <v>65</v>
      </c>
      <c r="G1190" s="2">
        <f t="shared" si="72"/>
        <v>45.643538461538462</v>
      </c>
      <c r="H1190" t="str">
        <f t="shared" si="73"/>
        <v>July</v>
      </c>
      <c r="I1190" t="str">
        <f t="shared" si="74"/>
        <v>Q3</v>
      </c>
      <c r="J1190" t="str">
        <f t="shared" si="75"/>
        <v>Large</v>
      </c>
    </row>
    <row r="1191" spans="1:10" x14ac:dyDescent="0.25">
      <c r="A1191" t="s">
        <v>36</v>
      </c>
      <c r="B1191" t="s">
        <v>21</v>
      </c>
      <c r="C1191" t="s">
        <v>27</v>
      </c>
      <c r="D1191" s="1">
        <v>45017</v>
      </c>
      <c r="E1191" s="2">
        <v>51.29</v>
      </c>
      <c r="F1191">
        <v>100</v>
      </c>
      <c r="G1191" s="2">
        <f t="shared" si="72"/>
        <v>0.51290000000000002</v>
      </c>
      <c r="H1191" t="str">
        <f t="shared" si="73"/>
        <v>April</v>
      </c>
      <c r="I1191" t="str">
        <f t="shared" si="74"/>
        <v>Q2</v>
      </c>
      <c r="J1191" t="str">
        <f t="shared" si="75"/>
        <v>Small</v>
      </c>
    </row>
    <row r="1192" spans="1:10" x14ac:dyDescent="0.25">
      <c r="A1192" t="s">
        <v>34</v>
      </c>
      <c r="B1192" t="s">
        <v>15</v>
      </c>
      <c r="C1192" t="s">
        <v>30</v>
      </c>
      <c r="D1192" s="1">
        <v>45097</v>
      </c>
      <c r="E1192" s="2">
        <v>1835.42</v>
      </c>
      <c r="F1192">
        <v>6</v>
      </c>
      <c r="G1192" s="2">
        <f t="shared" si="72"/>
        <v>305.90333333333336</v>
      </c>
      <c r="H1192" t="str">
        <f t="shared" si="73"/>
        <v>June</v>
      </c>
      <c r="I1192" t="str">
        <f t="shared" si="74"/>
        <v>Q2</v>
      </c>
      <c r="J1192" t="str">
        <f t="shared" si="75"/>
        <v>Large</v>
      </c>
    </row>
    <row r="1193" spans="1:10" x14ac:dyDescent="0.25">
      <c r="A1193" t="s">
        <v>49</v>
      </c>
      <c r="B1193" t="s">
        <v>7</v>
      </c>
      <c r="C1193" t="s">
        <v>42</v>
      </c>
      <c r="D1193" s="1">
        <v>45106</v>
      </c>
      <c r="E1193" s="2">
        <v>14592.11</v>
      </c>
      <c r="F1193">
        <v>509</v>
      </c>
      <c r="G1193" s="2">
        <f t="shared" si="72"/>
        <v>28.668192534381141</v>
      </c>
      <c r="H1193" t="str">
        <f t="shared" si="73"/>
        <v>June</v>
      </c>
      <c r="I1193" t="str">
        <f t="shared" si="74"/>
        <v>Q2</v>
      </c>
      <c r="J1193" t="str">
        <f t="shared" si="75"/>
        <v>Large</v>
      </c>
    </row>
    <row r="1194" spans="1:10" x14ac:dyDescent="0.25">
      <c r="A1194" t="s">
        <v>33</v>
      </c>
      <c r="B1194" t="s">
        <v>26</v>
      </c>
      <c r="C1194" t="s">
        <v>22</v>
      </c>
      <c r="D1194" s="1">
        <v>45092</v>
      </c>
      <c r="E1194" s="2">
        <v>1114.1300000000001</v>
      </c>
      <c r="F1194">
        <v>106</v>
      </c>
      <c r="G1194" s="2">
        <f t="shared" si="72"/>
        <v>10.510660377358491</v>
      </c>
      <c r="H1194" t="str">
        <f t="shared" si="73"/>
        <v>June</v>
      </c>
      <c r="I1194" t="str">
        <f t="shared" si="74"/>
        <v>Q2</v>
      </c>
      <c r="J1194" t="str">
        <f t="shared" si="75"/>
        <v>Large</v>
      </c>
    </row>
    <row r="1195" spans="1:10" x14ac:dyDescent="0.25">
      <c r="A1195" t="s">
        <v>40</v>
      </c>
      <c r="B1195" t="s">
        <v>26</v>
      </c>
      <c r="C1195" t="s">
        <v>20</v>
      </c>
      <c r="D1195" s="1">
        <v>45024</v>
      </c>
      <c r="E1195" s="2">
        <v>13051.75</v>
      </c>
      <c r="F1195">
        <v>193</v>
      </c>
      <c r="G1195" s="2">
        <f t="shared" si="72"/>
        <v>67.625647668393782</v>
      </c>
      <c r="H1195" t="str">
        <f t="shared" si="73"/>
        <v>April</v>
      </c>
      <c r="I1195" t="str">
        <f t="shared" si="74"/>
        <v>Q2</v>
      </c>
      <c r="J1195" t="str">
        <f t="shared" si="75"/>
        <v>Large</v>
      </c>
    </row>
    <row r="1196" spans="1:10" x14ac:dyDescent="0.25">
      <c r="A1196" t="s">
        <v>43</v>
      </c>
      <c r="B1196" t="s">
        <v>15</v>
      </c>
      <c r="C1196" t="s">
        <v>51</v>
      </c>
      <c r="D1196" s="1">
        <v>44999</v>
      </c>
      <c r="E1196" s="2">
        <v>5997.71</v>
      </c>
      <c r="F1196">
        <v>31</v>
      </c>
      <c r="G1196" s="2">
        <f t="shared" si="72"/>
        <v>193.47451612903225</v>
      </c>
      <c r="H1196" t="str">
        <f t="shared" si="73"/>
        <v>March</v>
      </c>
      <c r="I1196" t="str">
        <f t="shared" si="74"/>
        <v>Q1</v>
      </c>
      <c r="J1196" t="str">
        <f t="shared" si="75"/>
        <v>Large</v>
      </c>
    </row>
    <row r="1197" spans="1:10" x14ac:dyDescent="0.25">
      <c r="A1197" t="s">
        <v>48</v>
      </c>
      <c r="B1197" t="s">
        <v>26</v>
      </c>
      <c r="C1197" t="s">
        <v>42</v>
      </c>
      <c r="D1197" s="1">
        <v>45122</v>
      </c>
      <c r="E1197" s="2">
        <v>1588.28</v>
      </c>
      <c r="F1197">
        <v>352</v>
      </c>
      <c r="G1197" s="2">
        <f t="shared" si="72"/>
        <v>4.5121590909090905</v>
      </c>
      <c r="H1197" t="str">
        <f t="shared" si="73"/>
        <v>July</v>
      </c>
      <c r="I1197" t="str">
        <f t="shared" si="74"/>
        <v>Q3</v>
      </c>
      <c r="J1197" t="str">
        <f t="shared" si="75"/>
        <v>Large</v>
      </c>
    </row>
    <row r="1198" spans="1:10" x14ac:dyDescent="0.25">
      <c r="A1198" t="s">
        <v>49</v>
      </c>
      <c r="B1198" t="s">
        <v>10</v>
      </c>
      <c r="C1198" t="s">
        <v>30</v>
      </c>
      <c r="D1198" s="1">
        <v>45035</v>
      </c>
      <c r="E1198" s="2">
        <v>5344.21</v>
      </c>
      <c r="F1198">
        <v>80</v>
      </c>
      <c r="G1198" s="2">
        <f t="shared" si="72"/>
        <v>66.802625000000006</v>
      </c>
      <c r="H1198" t="str">
        <f t="shared" si="73"/>
        <v>April</v>
      </c>
      <c r="I1198" t="str">
        <f t="shared" si="74"/>
        <v>Q2</v>
      </c>
      <c r="J1198" t="str">
        <f t="shared" si="75"/>
        <v>Large</v>
      </c>
    </row>
    <row r="1199" spans="1:10" x14ac:dyDescent="0.25">
      <c r="A1199" t="s">
        <v>33</v>
      </c>
      <c r="B1199" t="s">
        <v>26</v>
      </c>
      <c r="C1199" t="s">
        <v>18</v>
      </c>
      <c r="D1199" s="1">
        <v>45013</v>
      </c>
      <c r="E1199" s="2">
        <v>4646.91</v>
      </c>
      <c r="F1199">
        <v>317</v>
      </c>
      <c r="G1199" s="2">
        <f t="shared" si="72"/>
        <v>14.659022082018927</v>
      </c>
      <c r="H1199" t="str">
        <f t="shared" si="73"/>
        <v>March</v>
      </c>
      <c r="I1199" t="str">
        <f t="shared" si="74"/>
        <v>Q1</v>
      </c>
      <c r="J1199" t="str">
        <f t="shared" si="75"/>
        <v>Large</v>
      </c>
    </row>
    <row r="1200" spans="1:10" x14ac:dyDescent="0.25">
      <c r="A1200" t="s">
        <v>23</v>
      </c>
      <c r="B1200" t="s">
        <v>29</v>
      </c>
      <c r="C1200" t="s">
        <v>39</v>
      </c>
      <c r="D1200" s="1">
        <v>44989</v>
      </c>
      <c r="E1200" s="2">
        <v>8929.8799999999992</v>
      </c>
      <c r="F1200">
        <v>100</v>
      </c>
      <c r="G1200" s="2">
        <f t="shared" si="72"/>
        <v>89.298799999999986</v>
      </c>
      <c r="H1200" t="str">
        <f t="shared" si="73"/>
        <v>March</v>
      </c>
      <c r="I1200" t="str">
        <f t="shared" si="74"/>
        <v>Q1</v>
      </c>
      <c r="J1200" t="str">
        <f t="shared" si="75"/>
        <v>Large</v>
      </c>
    </row>
    <row r="1201" spans="1:10" x14ac:dyDescent="0.25">
      <c r="A1201" t="s">
        <v>31</v>
      </c>
      <c r="B1201" t="s">
        <v>21</v>
      </c>
      <c r="C1201" t="s">
        <v>58</v>
      </c>
      <c r="D1201" s="1">
        <v>45140</v>
      </c>
      <c r="E1201" s="2">
        <v>141.22999999999999</v>
      </c>
      <c r="F1201">
        <v>38</v>
      </c>
      <c r="G1201" s="2">
        <f t="shared" si="72"/>
        <v>3.7165789473684208</v>
      </c>
      <c r="H1201" t="str">
        <f t="shared" si="73"/>
        <v>August</v>
      </c>
      <c r="I1201" t="str">
        <f t="shared" si="74"/>
        <v>Q3</v>
      </c>
      <c r="J1201" t="str">
        <f t="shared" si="75"/>
        <v>Small</v>
      </c>
    </row>
    <row r="1202" spans="1:10" x14ac:dyDescent="0.25">
      <c r="A1202" t="s">
        <v>40</v>
      </c>
      <c r="B1202" t="s">
        <v>7</v>
      </c>
      <c r="C1202" t="s">
        <v>39</v>
      </c>
      <c r="D1202" s="1">
        <v>45163</v>
      </c>
      <c r="E1202" s="2">
        <v>5068.99</v>
      </c>
      <c r="F1202">
        <v>45</v>
      </c>
      <c r="G1202" s="2">
        <f t="shared" si="72"/>
        <v>112.64422222222221</v>
      </c>
      <c r="H1202" t="str">
        <f t="shared" si="73"/>
        <v>August</v>
      </c>
      <c r="I1202" t="str">
        <f t="shared" si="74"/>
        <v>Q3</v>
      </c>
      <c r="J1202" t="str">
        <f t="shared" si="75"/>
        <v>Large</v>
      </c>
    </row>
    <row r="1203" spans="1:10" x14ac:dyDescent="0.25">
      <c r="A1203" t="s">
        <v>33</v>
      </c>
      <c r="B1203" t="s">
        <v>26</v>
      </c>
      <c r="C1203" t="s">
        <v>47</v>
      </c>
      <c r="D1203" s="1">
        <v>44982</v>
      </c>
      <c r="E1203" s="2">
        <v>8012.72</v>
      </c>
      <c r="F1203">
        <v>163</v>
      </c>
      <c r="G1203" s="2">
        <f t="shared" si="72"/>
        <v>49.157791411042943</v>
      </c>
      <c r="H1203" t="str">
        <f t="shared" si="73"/>
        <v>February</v>
      </c>
      <c r="I1203" t="str">
        <f t="shared" si="74"/>
        <v>Q1</v>
      </c>
      <c r="J1203" t="str">
        <f t="shared" si="75"/>
        <v>Large</v>
      </c>
    </row>
    <row r="1204" spans="1:10" x14ac:dyDescent="0.25">
      <c r="A1204" t="s">
        <v>49</v>
      </c>
      <c r="B1204" t="s">
        <v>10</v>
      </c>
      <c r="C1204" t="s">
        <v>27</v>
      </c>
      <c r="D1204" s="1">
        <v>45084</v>
      </c>
      <c r="E1204" s="2">
        <v>10587.71</v>
      </c>
      <c r="F1204">
        <v>134</v>
      </c>
      <c r="G1204" s="2">
        <f t="shared" si="72"/>
        <v>79.012761194029849</v>
      </c>
      <c r="H1204" t="str">
        <f t="shared" si="73"/>
        <v>June</v>
      </c>
      <c r="I1204" t="str">
        <f t="shared" si="74"/>
        <v>Q2</v>
      </c>
      <c r="J1204" t="str">
        <f t="shared" si="75"/>
        <v>Large</v>
      </c>
    </row>
    <row r="1205" spans="1:10" x14ac:dyDescent="0.25">
      <c r="A1205" t="s">
        <v>14</v>
      </c>
      <c r="B1205" t="s">
        <v>10</v>
      </c>
      <c r="C1205" t="s">
        <v>39</v>
      </c>
      <c r="D1205" s="1">
        <v>45028</v>
      </c>
      <c r="E1205" s="2">
        <v>2155.62</v>
      </c>
      <c r="F1205">
        <v>495</v>
      </c>
      <c r="G1205" s="2">
        <f t="shared" si="72"/>
        <v>4.3547878787878789</v>
      </c>
      <c r="H1205" t="str">
        <f t="shared" si="73"/>
        <v>April</v>
      </c>
      <c r="I1205" t="str">
        <f t="shared" si="74"/>
        <v>Q2</v>
      </c>
      <c r="J1205" t="str">
        <f t="shared" si="75"/>
        <v>Large</v>
      </c>
    </row>
    <row r="1206" spans="1:10" x14ac:dyDescent="0.25">
      <c r="A1206" t="s">
        <v>55</v>
      </c>
      <c r="B1206" t="s">
        <v>10</v>
      </c>
      <c r="C1206" t="s">
        <v>39</v>
      </c>
      <c r="D1206" s="1">
        <v>45113</v>
      </c>
      <c r="E1206" s="2">
        <v>11010.43</v>
      </c>
      <c r="F1206">
        <v>103</v>
      </c>
      <c r="G1206" s="2">
        <f t="shared" si="72"/>
        <v>106.89737864077671</v>
      </c>
      <c r="H1206" t="str">
        <f t="shared" si="73"/>
        <v>July</v>
      </c>
      <c r="I1206" t="str">
        <f t="shared" si="74"/>
        <v>Q3</v>
      </c>
      <c r="J1206" t="str">
        <f t="shared" si="75"/>
        <v>Large</v>
      </c>
    </row>
    <row r="1207" spans="1:10" x14ac:dyDescent="0.25">
      <c r="A1207" t="s">
        <v>49</v>
      </c>
      <c r="B1207" t="s">
        <v>7</v>
      </c>
      <c r="C1207" t="s">
        <v>16</v>
      </c>
      <c r="D1207" s="1">
        <v>44945</v>
      </c>
      <c r="E1207" s="2">
        <v>6787.72</v>
      </c>
      <c r="F1207">
        <v>192</v>
      </c>
      <c r="G1207" s="2">
        <f t="shared" si="72"/>
        <v>35.352708333333332</v>
      </c>
      <c r="H1207" t="str">
        <f t="shared" si="73"/>
        <v>January</v>
      </c>
      <c r="I1207" t="str">
        <f t="shared" si="74"/>
        <v>Q1</v>
      </c>
      <c r="J1207" t="str">
        <f t="shared" si="75"/>
        <v>Large</v>
      </c>
    </row>
    <row r="1208" spans="1:10" x14ac:dyDescent="0.25">
      <c r="A1208" t="s">
        <v>53</v>
      </c>
      <c r="B1208" t="s">
        <v>15</v>
      </c>
      <c r="C1208" t="s">
        <v>42</v>
      </c>
      <c r="D1208" s="1">
        <v>44931</v>
      </c>
      <c r="E1208" s="2">
        <v>5715.07</v>
      </c>
      <c r="F1208">
        <v>90</v>
      </c>
      <c r="G1208" s="2">
        <f t="shared" si="72"/>
        <v>63.500777777777778</v>
      </c>
      <c r="H1208" t="str">
        <f t="shared" si="73"/>
        <v>January</v>
      </c>
      <c r="I1208" t="str">
        <f t="shared" si="74"/>
        <v>Q1</v>
      </c>
      <c r="J1208" t="str">
        <f t="shared" si="75"/>
        <v>Large</v>
      </c>
    </row>
    <row r="1209" spans="1:10" x14ac:dyDescent="0.25">
      <c r="A1209" t="s">
        <v>53</v>
      </c>
      <c r="B1209" t="s">
        <v>29</v>
      </c>
      <c r="C1209" t="s">
        <v>58</v>
      </c>
      <c r="D1209" s="1">
        <v>44950</v>
      </c>
      <c r="E1209" s="2">
        <v>12100.65</v>
      </c>
      <c r="F1209">
        <v>142</v>
      </c>
      <c r="G1209" s="2">
        <f t="shared" si="72"/>
        <v>85.215845070422532</v>
      </c>
      <c r="H1209" t="str">
        <f t="shared" si="73"/>
        <v>January</v>
      </c>
      <c r="I1209" t="str">
        <f t="shared" si="74"/>
        <v>Q1</v>
      </c>
      <c r="J1209" t="str">
        <f t="shared" si="75"/>
        <v>Large</v>
      </c>
    </row>
    <row r="1210" spans="1:10" x14ac:dyDescent="0.25">
      <c r="A1210" t="s">
        <v>46</v>
      </c>
      <c r="B1210" t="s">
        <v>15</v>
      </c>
      <c r="C1210" t="s">
        <v>32</v>
      </c>
      <c r="D1210" s="1">
        <v>45022</v>
      </c>
      <c r="E1210" s="2">
        <v>623.75</v>
      </c>
      <c r="F1210">
        <v>285</v>
      </c>
      <c r="G1210" s="2">
        <f t="shared" si="72"/>
        <v>2.1885964912280702</v>
      </c>
      <c r="H1210" t="str">
        <f t="shared" si="73"/>
        <v>April</v>
      </c>
      <c r="I1210" t="str">
        <f t="shared" si="74"/>
        <v>Q2</v>
      </c>
      <c r="J1210" t="str">
        <f t="shared" si="75"/>
        <v>Large</v>
      </c>
    </row>
    <row r="1211" spans="1:10" x14ac:dyDescent="0.25">
      <c r="A1211" t="s">
        <v>19</v>
      </c>
      <c r="B1211" t="s">
        <v>15</v>
      </c>
      <c r="C1211" t="s">
        <v>42</v>
      </c>
      <c r="D1211" s="1">
        <v>45092</v>
      </c>
      <c r="E1211" s="2">
        <v>6528.42</v>
      </c>
      <c r="F1211">
        <v>22</v>
      </c>
      <c r="G1211" s="2">
        <f t="shared" si="72"/>
        <v>296.74636363636364</v>
      </c>
      <c r="H1211" t="str">
        <f t="shared" si="73"/>
        <v>June</v>
      </c>
      <c r="I1211" t="str">
        <f t="shared" si="74"/>
        <v>Q2</v>
      </c>
      <c r="J1211" t="str">
        <f t="shared" si="75"/>
        <v>Large</v>
      </c>
    </row>
    <row r="1212" spans="1:10" x14ac:dyDescent="0.25">
      <c r="A1212" t="s">
        <v>12</v>
      </c>
      <c r="B1212" t="s">
        <v>29</v>
      </c>
      <c r="C1212" t="s">
        <v>56</v>
      </c>
      <c r="D1212" s="1">
        <v>44954</v>
      </c>
      <c r="E1212" s="2">
        <v>1540.55</v>
      </c>
      <c r="F1212">
        <v>47</v>
      </c>
      <c r="G1212" s="2">
        <f t="shared" si="72"/>
        <v>32.777659574468082</v>
      </c>
      <c r="H1212" t="str">
        <f t="shared" si="73"/>
        <v>January</v>
      </c>
      <c r="I1212" t="str">
        <f t="shared" si="74"/>
        <v>Q1</v>
      </c>
      <c r="J1212" t="str">
        <f t="shared" si="75"/>
        <v>Large</v>
      </c>
    </row>
    <row r="1213" spans="1:10" x14ac:dyDescent="0.25">
      <c r="A1213" t="s">
        <v>49</v>
      </c>
      <c r="B1213" t="s">
        <v>10</v>
      </c>
      <c r="C1213" t="s">
        <v>57</v>
      </c>
      <c r="D1213" s="1">
        <v>45001</v>
      </c>
      <c r="E1213" s="2">
        <v>487.06</v>
      </c>
      <c r="F1213">
        <v>123</v>
      </c>
      <c r="G1213" s="2">
        <f t="shared" si="72"/>
        <v>3.9598373983739839</v>
      </c>
      <c r="H1213" t="str">
        <f t="shared" si="73"/>
        <v>March</v>
      </c>
      <c r="I1213" t="str">
        <f t="shared" si="74"/>
        <v>Q1</v>
      </c>
      <c r="J1213" t="str">
        <f t="shared" si="75"/>
        <v>Small</v>
      </c>
    </row>
    <row r="1214" spans="1:10" x14ac:dyDescent="0.25">
      <c r="A1214" t="s">
        <v>24</v>
      </c>
      <c r="B1214" t="s">
        <v>15</v>
      </c>
      <c r="C1214" t="s">
        <v>32</v>
      </c>
      <c r="D1214" s="1">
        <v>44978</v>
      </c>
      <c r="E1214" s="2">
        <v>11630.38</v>
      </c>
      <c r="F1214">
        <v>431</v>
      </c>
      <c r="G1214" s="2">
        <f t="shared" si="72"/>
        <v>26.984640371229698</v>
      </c>
      <c r="H1214" t="str">
        <f t="shared" si="73"/>
        <v>February</v>
      </c>
      <c r="I1214" t="str">
        <f t="shared" si="74"/>
        <v>Q1</v>
      </c>
      <c r="J1214" t="str">
        <f t="shared" si="75"/>
        <v>Large</v>
      </c>
    </row>
    <row r="1215" spans="1:10" x14ac:dyDescent="0.25">
      <c r="A1215" t="s">
        <v>49</v>
      </c>
      <c r="B1215" t="s">
        <v>26</v>
      </c>
      <c r="C1215" t="s">
        <v>45</v>
      </c>
      <c r="D1215" s="1">
        <v>44973</v>
      </c>
      <c r="E1215" s="2">
        <v>17297.66</v>
      </c>
      <c r="F1215">
        <v>96</v>
      </c>
      <c r="G1215" s="2">
        <f t="shared" si="72"/>
        <v>180.18395833333332</v>
      </c>
      <c r="H1215" t="str">
        <f t="shared" si="73"/>
        <v>February</v>
      </c>
      <c r="I1215" t="str">
        <f t="shared" si="74"/>
        <v>Q1</v>
      </c>
      <c r="J1215" t="str">
        <f t="shared" si="75"/>
        <v>Large</v>
      </c>
    </row>
    <row r="1216" spans="1:10" x14ac:dyDescent="0.25">
      <c r="A1216" t="s">
        <v>6</v>
      </c>
      <c r="B1216" t="s">
        <v>29</v>
      </c>
      <c r="C1216" t="s">
        <v>39</v>
      </c>
      <c r="D1216" s="1">
        <v>44939</v>
      </c>
      <c r="E1216" s="2">
        <v>2043.55</v>
      </c>
      <c r="F1216">
        <v>28</v>
      </c>
      <c r="G1216" s="2">
        <f t="shared" si="72"/>
        <v>72.983928571428564</v>
      </c>
      <c r="H1216" t="str">
        <f t="shared" si="73"/>
        <v>January</v>
      </c>
      <c r="I1216" t="str">
        <f t="shared" si="74"/>
        <v>Q1</v>
      </c>
      <c r="J1216" t="str">
        <f t="shared" si="75"/>
        <v>Large</v>
      </c>
    </row>
    <row r="1217" spans="1:10" x14ac:dyDescent="0.25">
      <c r="A1217" t="s">
        <v>49</v>
      </c>
      <c r="B1217" t="s">
        <v>15</v>
      </c>
      <c r="C1217" t="s">
        <v>30</v>
      </c>
      <c r="D1217" s="1">
        <v>45008</v>
      </c>
      <c r="E1217" s="2">
        <v>8168.86</v>
      </c>
      <c r="F1217">
        <v>570</v>
      </c>
      <c r="G1217" s="2">
        <f t="shared" si="72"/>
        <v>14.331333333333333</v>
      </c>
      <c r="H1217" t="str">
        <f t="shared" si="73"/>
        <v>March</v>
      </c>
      <c r="I1217" t="str">
        <f t="shared" si="74"/>
        <v>Q1</v>
      </c>
      <c r="J1217" t="str">
        <f t="shared" si="75"/>
        <v>Large</v>
      </c>
    </row>
    <row r="1218" spans="1:10" x14ac:dyDescent="0.25">
      <c r="A1218" t="s">
        <v>38</v>
      </c>
      <c r="B1218" t="s">
        <v>29</v>
      </c>
      <c r="C1218" t="s">
        <v>39</v>
      </c>
      <c r="D1218" s="1">
        <v>45093</v>
      </c>
      <c r="E1218" s="2">
        <v>933.45</v>
      </c>
      <c r="F1218">
        <v>122</v>
      </c>
      <c r="G1218" s="2">
        <f t="shared" si="72"/>
        <v>7.6512295081967219</v>
      </c>
      <c r="H1218" t="str">
        <f t="shared" si="73"/>
        <v>June</v>
      </c>
      <c r="I1218" t="str">
        <f t="shared" si="74"/>
        <v>Q2</v>
      </c>
      <c r="J1218" t="str">
        <f t="shared" si="75"/>
        <v>Large</v>
      </c>
    </row>
    <row r="1219" spans="1:10" x14ac:dyDescent="0.25">
      <c r="A1219" t="s">
        <v>17</v>
      </c>
      <c r="B1219" t="s">
        <v>10</v>
      </c>
      <c r="C1219" t="s">
        <v>51</v>
      </c>
      <c r="D1219" s="1">
        <v>45030</v>
      </c>
      <c r="E1219" s="2">
        <v>6826.32</v>
      </c>
      <c r="F1219">
        <v>44</v>
      </c>
      <c r="G1219" s="2">
        <f t="shared" ref="G1219:G1282" si="76">E1219/F1219</f>
        <v>155.14363636363635</v>
      </c>
      <c r="H1219" t="str">
        <f t="shared" ref="H1219:H1282" si="77">TEXT(D1219, "mmmm")</f>
        <v>April</v>
      </c>
      <c r="I1219" t="str">
        <f t="shared" ref="I1219:I1282" si="78">"Q" &amp; ROUNDUP(MONTH(D1219)/3,0)</f>
        <v>Q2</v>
      </c>
      <c r="J1219" t="str">
        <f t="shared" ref="J1219:J1282" si="79">IF(E1219 &gt; 500, "Large", "Small")</f>
        <v>Large</v>
      </c>
    </row>
    <row r="1220" spans="1:10" x14ac:dyDescent="0.25">
      <c r="A1220" t="s">
        <v>49</v>
      </c>
      <c r="B1220" t="s">
        <v>7</v>
      </c>
      <c r="C1220" t="s">
        <v>30</v>
      </c>
      <c r="D1220" s="1">
        <v>44951</v>
      </c>
      <c r="E1220" s="2">
        <v>5029.3500000000004</v>
      </c>
      <c r="F1220">
        <v>61</v>
      </c>
      <c r="G1220" s="2">
        <f t="shared" si="76"/>
        <v>82.448360655737716</v>
      </c>
      <c r="H1220" t="str">
        <f t="shared" si="77"/>
        <v>January</v>
      </c>
      <c r="I1220" t="str">
        <f t="shared" si="78"/>
        <v>Q1</v>
      </c>
      <c r="J1220" t="str">
        <f t="shared" si="79"/>
        <v>Large</v>
      </c>
    </row>
    <row r="1221" spans="1:10" x14ac:dyDescent="0.25">
      <c r="A1221" t="s">
        <v>14</v>
      </c>
      <c r="B1221" t="s">
        <v>10</v>
      </c>
      <c r="C1221" t="s">
        <v>47</v>
      </c>
      <c r="D1221" s="1">
        <v>44996</v>
      </c>
      <c r="E1221" s="2">
        <v>5143.49</v>
      </c>
      <c r="F1221">
        <v>21</v>
      </c>
      <c r="G1221" s="2">
        <f t="shared" si="76"/>
        <v>244.92809523809524</v>
      </c>
      <c r="H1221" t="str">
        <f t="shared" si="77"/>
        <v>March</v>
      </c>
      <c r="I1221" t="str">
        <f t="shared" si="78"/>
        <v>Q1</v>
      </c>
      <c r="J1221" t="str">
        <f t="shared" si="79"/>
        <v>Large</v>
      </c>
    </row>
    <row r="1222" spans="1:10" x14ac:dyDescent="0.25">
      <c r="A1222" t="s">
        <v>54</v>
      </c>
      <c r="B1222" t="s">
        <v>7</v>
      </c>
      <c r="C1222" t="s">
        <v>47</v>
      </c>
      <c r="D1222" s="1">
        <v>45135</v>
      </c>
      <c r="E1222" s="2">
        <v>16707.88</v>
      </c>
      <c r="F1222">
        <v>102</v>
      </c>
      <c r="G1222" s="2">
        <f t="shared" si="76"/>
        <v>163.80274509803922</v>
      </c>
      <c r="H1222" t="str">
        <f t="shared" si="77"/>
        <v>July</v>
      </c>
      <c r="I1222" t="str">
        <f t="shared" si="78"/>
        <v>Q3</v>
      </c>
      <c r="J1222" t="str">
        <f t="shared" si="79"/>
        <v>Large</v>
      </c>
    </row>
    <row r="1223" spans="1:10" x14ac:dyDescent="0.25">
      <c r="A1223" t="s">
        <v>33</v>
      </c>
      <c r="B1223" t="s">
        <v>21</v>
      </c>
      <c r="C1223" t="s">
        <v>20</v>
      </c>
      <c r="D1223" s="1">
        <v>44994</v>
      </c>
      <c r="E1223" s="2">
        <v>1558.87</v>
      </c>
      <c r="F1223">
        <v>46</v>
      </c>
      <c r="G1223" s="2">
        <f t="shared" si="76"/>
        <v>33.888478260869562</v>
      </c>
      <c r="H1223" t="str">
        <f t="shared" si="77"/>
        <v>March</v>
      </c>
      <c r="I1223" t="str">
        <f t="shared" si="78"/>
        <v>Q1</v>
      </c>
      <c r="J1223" t="str">
        <f t="shared" si="79"/>
        <v>Large</v>
      </c>
    </row>
    <row r="1224" spans="1:10" x14ac:dyDescent="0.25">
      <c r="A1224" t="s">
        <v>40</v>
      </c>
      <c r="B1224" t="s">
        <v>15</v>
      </c>
      <c r="C1224" t="s">
        <v>27</v>
      </c>
      <c r="D1224" s="1">
        <v>45105</v>
      </c>
      <c r="E1224" s="2">
        <v>9332.76</v>
      </c>
      <c r="F1224">
        <v>196</v>
      </c>
      <c r="G1224" s="2">
        <f t="shared" si="76"/>
        <v>47.616122448979596</v>
      </c>
      <c r="H1224" t="str">
        <f t="shared" si="77"/>
        <v>June</v>
      </c>
      <c r="I1224" t="str">
        <f t="shared" si="78"/>
        <v>Q2</v>
      </c>
      <c r="J1224" t="str">
        <f t="shared" si="79"/>
        <v>Large</v>
      </c>
    </row>
    <row r="1225" spans="1:10" x14ac:dyDescent="0.25">
      <c r="A1225" t="s">
        <v>33</v>
      </c>
      <c r="B1225" t="s">
        <v>15</v>
      </c>
      <c r="C1225" t="s">
        <v>37</v>
      </c>
      <c r="D1225" s="1">
        <v>45135</v>
      </c>
      <c r="E1225" s="2">
        <v>2673.47</v>
      </c>
      <c r="F1225">
        <v>375</v>
      </c>
      <c r="G1225" s="2">
        <f t="shared" si="76"/>
        <v>7.1292533333333328</v>
      </c>
      <c r="H1225" t="str">
        <f t="shared" si="77"/>
        <v>July</v>
      </c>
      <c r="I1225" t="str">
        <f t="shared" si="78"/>
        <v>Q3</v>
      </c>
      <c r="J1225" t="str">
        <f t="shared" si="79"/>
        <v>Large</v>
      </c>
    </row>
    <row r="1226" spans="1:10" x14ac:dyDescent="0.25">
      <c r="A1226" t="s">
        <v>49</v>
      </c>
      <c r="B1226" t="s">
        <v>29</v>
      </c>
      <c r="C1226" t="s">
        <v>18</v>
      </c>
      <c r="D1226" s="1">
        <v>45153</v>
      </c>
      <c r="E1226" s="2">
        <v>4950.21</v>
      </c>
      <c r="F1226">
        <v>54</v>
      </c>
      <c r="G1226" s="2">
        <f t="shared" si="76"/>
        <v>91.670555555555552</v>
      </c>
      <c r="H1226" t="str">
        <f t="shared" si="77"/>
        <v>August</v>
      </c>
      <c r="I1226" t="str">
        <f t="shared" si="78"/>
        <v>Q3</v>
      </c>
      <c r="J1226" t="str">
        <f t="shared" si="79"/>
        <v>Large</v>
      </c>
    </row>
    <row r="1227" spans="1:10" x14ac:dyDescent="0.25">
      <c r="A1227" t="s">
        <v>41</v>
      </c>
      <c r="B1227" t="s">
        <v>15</v>
      </c>
      <c r="C1227" t="s">
        <v>45</v>
      </c>
      <c r="D1227" s="1">
        <v>44938</v>
      </c>
      <c r="E1227" s="2">
        <v>2919.11</v>
      </c>
      <c r="F1227">
        <v>271</v>
      </c>
      <c r="G1227" s="2">
        <f t="shared" si="76"/>
        <v>10.771623616236162</v>
      </c>
      <c r="H1227" t="str">
        <f t="shared" si="77"/>
        <v>January</v>
      </c>
      <c r="I1227" t="str">
        <f t="shared" si="78"/>
        <v>Q1</v>
      </c>
      <c r="J1227" t="str">
        <f t="shared" si="79"/>
        <v>Large</v>
      </c>
    </row>
    <row r="1228" spans="1:10" x14ac:dyDescent="0.25">
      <c r="A1228" t="s">
        <v>34</v>
      </c>
      <c r="B1228" t="s">
        <v>21</v>
      </c>
      <c r="C1228" t="s">
        <v>44</v>
      </c>
      <c r="D1228" s="1">
        <v>45009</v>
      </c>
      <c r="E1228" s="2">
        <v>8003.23</v>
      </c>
      <c r="F1228">
        <v>7</v>
      </c>
      <c r="G1228" s="2">
        <f t="shared" si="76"/>
        <v>1143.3185714285714</v>
      </c>
      <c r="H1228" t="str">
        <f t="shared" si="77"/>
        <v>March</v>
      </c>
      <c r="I1228" t="str">
        <f t="shared" si="78"/>
        <v>Q1</v>
      </c>
      <c r="J1228" t="str">
        <f t="shared" si="79"/>
        <v>Large</v>
      </c>
    </row>
    <row r="1229" spans="1:10" x14ac:dyDescent="0.25">
      <c r="A1229" t="s">
        <v>9</v>
      </c>
      <c r="B1229" t="s">
        <v>7</v>
      </c>
      <c r="C1229" t="s">
        <v>37</v>
      </c>
      <c r="D1229" s="1">
        <v>45132</v>
      </c>
      <c r="E1229" s="2">
        <v>4902.78</v>
      </c>
      <c r="F1229">
        <v>91</v>
      </c>
      <c r="G1229" s="2">
        <f t="shared" si="76"/>
        <v>53.87670329670329</v>
      </c>
      <c r="H1229" t="str">
        <f t="shared" si="77"/>
        <v>July</v>
      </c>
      <c r="I1229" t="str">
        <f t="shared" si="78"/>
        <v>Q3</v>
      </c>
      <c r="J1229" t="str">
        <f t="shared" si="79"/>
        <v>Large</v>
      </c>
    </row>
    <row r="1230" spans="1:10" x14ac:dyDescent="0.25">
      <c r="A1230" t="s">
        <v>17</v>
      </c>
      <c r="B1230" t="s">
        <v>29</v>
      </c>
      <c r="C1230" t="s">
        <v>18</v>
      </c>
      <c r="D1230" s="1">
        <v>45139</v>
      </c>
      <c r="E1230" s="2">
        <v>4033.53</v>
      </c>
      <c r="F1230">
        <v>430</v>
      </c>
      <c r="G1230" s="2">
        <f t="shared" si="76"/>
        <v>9.3803023255813951</v>
      </c>
      <c r="H1230" t="str">
        <f t="shared" si="77"/>
        <v>August</v>
      </c>
      <c r="I1230" t="str">
        <f t="shared" si="78"/>
        <v>Q3</v>
      </c>
      <c r="J1230" t="str">
        <f t="shared" si="79"/>
        <v>Large</v>
      </c>
    </row>
    <row r="1231" spans="1:10" x14ac:dyDescent="0.25">
      <c r="A1231" t="s">
        <v>9</v>
      </c>
      <c r="B1231" t="s">
        <v>10</v>
      </c>
      <c r="C1231" t="s">
        <v>35</v>
      </c>
      <c r="D1231" s="1">
        <v>45062</v>
      </c>
      <c r="E1231" s="2">
        <v>22751.18</v>
      </c>
      <c r="F1231">
        <v>182</v>
      </c>
      <c r="G1231" s="2">
        <f t="shared" si="76"/>
        <v>125.00648351648351</v>
      </c>
      <c r="H1231" t="str">
        <f t="shared" si="77"/>
        <v>May</v>
      </c>
      <c r="I1231" t="str">
        <f t="shared" si="78"/>
        <v>Q2</v>
      </c>
      <c r="J1231" t="str">
        <f t="shared" si="79"/>
        <v>Large</v>
      </c>
    </row>
    <row r="1232" spans="1:10" x14ac:dyDescent="0.25">
      <c r="A1232" t="s">
        <v>36</v>
      </c>
      <c r="B1232" t="s">
        <v>10</v>
      </c>
      <c r="C1232" t="s">
        <v>16</v>
      </c>
      <c r="D1232" s="1">
        <v>45148</v>
      </c>
      <c r="E1232" s="2">
        <v>5118.1099999999997</v>
      </c>
      <c r="F1232">
        <v>137</v>
      </c>
      <c r="G1232" s="2">
        <f t="shared" si="76"/>
        <v>37.358467153284671</v>
      </c>
      <c r="H1232" t="str">
        <f t="shared" si="77"/>
        <v>August</v>
      </c>
      <c r="I1232" t="str">
        <f t="shared" si="78"/>
        <v>Q3</v>
      </c>
      <c r="J1232" t="str">
        <f t="shared" si="79"/>
        <v>Large</v>
      </c>
    </row>
    <row r="1233" spans="1:10" x14ac:dyDescent="0.25">
      <c r="A1233" t="s">
        <v>14</v>
      </c>
      <c r="B1233" t="s">
        <v>10</v>
      </c>
      <c r="C1233" t="s">
        <v>30</v>
      </c>
      <c r="D1233" s="1">
        <v>44931</v>
      </c>
      <c r="E1233" s="2">
        <v>2835.9</v>
      </c>
      <c r="F1233">
        <v>26</v>
      </c>
      <c r="G1233" s="2">
        <f t="shared" si="76"/>
        <v>109.07307692307693</v>
      </c>
      <c r="H1233" t="str">
        <f t="shared" si="77"/>
        <v>January</v>
      </c>
      <c r="I1233" t="str">
        <f t="shared" si="78"/>
        <v>Q1</v>
      </c>
      <c r="J1233" t="str">
        <f t="shared" si="79"/>
        <v>Large</v>
      </c>
    </row>
    <row r="1234" spans="1:10" x14ac:dyDescent="0.25">
      <c r="A1234" t="s">
        <v>55</v>
      </c>
      <c r="B1234" t="s">
        <v>7</v>
      </c>
      <c r="C1234" t="s">
        <v>16</v>
      </c>
      <c r="D1234" s="1">
        <v>45118</v>
      </c>
      <c r="E1234" s="2">
        <v>5828.22</v>
      </c>
      <c r="F1234">
        <v>121</v>
      </c>
      <c r="G1234" s="2">
        <f t="shared" si="76"/>
        <v>48.167107438016529</v>
      </c>
      <c r="H1234" t="str">
        <f t="shared" si="77"/>
        <v>July</v>
      </c>
      <c r="I1234" t="str">
        <f t="shared" si="78"/>
        <v>Q3</v>
      </c>
      <c r="J1234" t="str">
        <f t="shared" si="79"/>
        <v>Large</v>
      </c>
    </row>
    <row r="1235" spans="1:10" x14ac:dyDescent="0.25">
      <c r="A1235" t="s">
        <v>46</v>
      </c>
      <c r="B1235" t="s">
        <v>26</v>
      </c>
      <c r="C1235" t="s">
        <v>20</v>
      </c>
      <c r="D1235" s="1">
        <v>45041</v>
      </c>
      <c r="E1235" s="2">
        <v>396.19</v>
      </c>
      <c r="F1235">
        <v>32</v>
      </c>
      <c r="G1235" s="2">
        <f t="shared" si="76"/>
        <v>12.3809375</v>
      </c>
      <c r="H1235" t="str">
        <f t="shared" si="77"/>
        <v>April</v>
      </c>
      <c r="I1235" t="str">
        <f t="shared" si="78"/>
        <v>Q2</v>
      </c>
      <c r="J1235" t="str">
        <f t="shared" si="79"/>
        <v>Small</v>
      </c>
    </row>
    <row r="1236" spans="1:10" x14ac:dyDescent="0.25">
      <c r="A1236" t="s">
        <v>12</v>
      </c>
      <c r="B1236" t="s">
        <v>21</v>
      </c>
      <c r="C1236" t="s">
        <v>42</v>
      </c>
      <c r="D1236" s="1">
        <v>45020</v>
      </c>
      <c r="E1236" s="2">
        <v>11226.5</v>
      </c>
      <c r="F1236">
        <v>118</v>
      </c>
      <c r="G1236" s="2">
        <f t="shared" si="76"/>
        <v>95.139830508474574</v>
      </c>
      <c r="H1236" t="str">
        <f t="shared" si="77"/>
        <v>April</v>
      </c>
      <c r="I1236" t="str">
        <f t="shared" si="78"/>
        <v>Q2</v>
      </c>
      <c r="J1236" t="str">
        <f t="shared" si="79"/>
        <v>Large</v>
      </c>
    </row>
    <row r="1237" spans="1:10" x14ac:dyDescent="0.25">
      <c r="A1237" t="s">
        <v>25</v>
      </c>
      <c r="B1237" t="s">
        <v>26</v>
      </c>
      <c r="C1237" t="s">
        <v>51</v>
      </c>
      <c r="D1237" s="1">
        <v>45028</v>
      </c>
      <c r="E1237" s="2">
        <v>10102.86</v>
      </c>
      <c r="F1237">
        <v>107</v>
      </c>
      <c r="G1237" s="2">
        <f t="shared" si="76"/>
        <v>94.419252336448608</v>
      </c>
      <c r="H1237" t="str">
        <f t="shared" si="77"/>
        <v>April</v>
      </c>
      <c r="I1237" t="str">
        <f t="shared" si="78"/>
        <v>Q2</v>
      </c>
      <c r="J1237" t="str">
        <f t="shared" si="79"/>
        <v>Large</v>
      </c>
    </row>
    <row r="1238" spans="1:10" x14ac:dyDescent="0.25">
      <c r="A1238" t="s">
        <v>46</v>
      </c>
      <c r="B1238" t="s">
        <v>21</v>
      </c>
      <c r="C1238" t="s">
        <v>11</v>
      </c>
      <c r="D1238" s="1">
        <v>45140</v>
      </c>
      <c r="E1238" s="2">
        <v>2084.86</v>
      </c>
      <c r="F1238">
        <v>119</v>
      </c>
      <c r="G1238" s="2">
        <f t="shared" si="76"/>
        <v>17.519831932773112</v>
      </c>
      <c r="H1238" t="str">
        <f t="shared" si="77"/>
        <v>August</v>
      </c>
      <c r="I1238" t="str">
        <f t="shared" si="78"/>
        <v>Q3</v>
      </c>
      <c r="J1238" t="str">
        <f t="shared" si="79"/>
        <v>Large</v>
      </c>
    </row>
    <row r="1239" spans="1:10" x14ac:dyDescent="0.25">
      <c r="A1239" t="s">
        <v>12</v>
      </c>
      <c r="B1239" t="s">
        <v>21</v>
      </c>
      <c r="C1239" t="s">
        <v>45</v>
      </c>
      <c r="D1239" s="1">
        <v>45105</v>
      </c>
      <c r="E1239" s="2">
        <v>8495.7900000000009</v>
      </c>
      <c r="F1239">
        <v>268</v>
      </c>
      <c r="G1239" s="2">
        <f t="shared" si="76"/>
        <v>31.700708955223885</v>
      </c>
      <c r="H1239" t="str">
        <f t="shared" si="77"/>
        <v>June</v>
      </c>
      <c r="I1239" t="str">
        <f t="shared" si="78"/>
        <v>Q2</v>
      </c>
      <c r="J1239" t="str">
        <f t="shared" si="79"/>
        <v>Large</v>
      </c>
    </row>
    <row r="1240" spans="1:10" x14ac:dyDescent="0.25">
      <c r="A1240" t="s">
        <v>55</v>
      </c>
      <c r="B1240" t="s">
        <v>15</v>
      </c>
      <c r="C1240" t="s">
        <v>30</v>
      </c>
      <c r="D1240" s="1">
        <v>45112</v>
      </c>
      <c r="E1240" s="2">
        <v>4248.34</v>
      </c>
      <c r="F1240">
        <v>130</v>
      </c>
      <c r="G1240" s="2">
        <f t="shared" si="76"/>
        <v>32.679538461538463</v>
      </c>
      <c r="H1240" t="str">
        <f t="shared" si="77"/>
        <v>July</v>
      </c>
      <c r="I1240" t="str">
        <f t="shared" si="78"/>
        <v>Q3</v>
      </c>
      <c r="J1240" t="str">
        <f t="shared" si="79"/>
        <v>Large</v>
      </c>
    </row>
    <row r="1241" spans="1:10" x14ac:dyDescent="0.25">
      <c r="A1241" t="s">
        <v>24</v>
      </c>
      <c r="B1241" t="s">
        <v>21</v>
      </c>
      <c r="C1241" t="s">
        <v>52</v>
      </c>
      <c r="D1241" s="1">
        <v>45084</v>
      </c>
      <c r="E1241" s="2">
        <v>2236.11</v>
      </c>
      <c r="F1241">
        <v>46</v>
      </c>
      <c r="G1241" s="2">
        <f t="shared" si="76"/>
        <v>48.611086956521739</v>
      </c>
      <c r="H1241" t="str">
        <f t="shared" si="77"/>
        <v>June</v>
      </c>
      <c r="I1241" t="str">
        <f t="shared" si="78"/>
        <v>Q2</v>
      </c>
      <c r="J1241" t="str">
        <f t="shared" si="79"/>
        <v>Large</v>
      </c>
    </row>
    <row r="1242" spans="1:10" x14ac:dyDescent="0.25">
      <c r="A1242" t="s">
        <v>23</v>
      </c>
      <c r="B1242" t="s">
        <v>21</v>
      </c>
      <c r="C1242" t="s">
        <v>16</v>
      </c>
      <c r="D1242" s="1">
        <v>44944</v>
      </c>
      <c r="E1242" s="2">
        <v>1124.27</v>
      </c>
      <c r="F1242">
        <v>26</v>
      </c>
      <c r="G1242" s="2">
        <f t="shared" si="76"/>
        <v>43.241153846153843</v>
      </c>
      <c r="H1242" t="str">
        <f t="shared" si="77"/>
        <v>January</v>
      </c>
      <c r="I1242" t="str">
        <f t="shared" si="78"/>
        <v>Q1</v>
      </c>
      <c r="J1242" t="str">
        <f t="shared" si="79"/>
        <v>Large</v>
      </c>
    </row>
    <row r="1243" spans="1:10" x14ac:dyDescent="0.25">
      <c r="A1243" t="s">
        <v>23</v>
      </c>
      <c r="B1243" t="s">
        <v>15</v>
      </c>
      <c r="C1243" t="s">
        <v>56</v>
      </c>
      <c r="D1243" s="1">
        <v>44930</v>
      </c>
      <c r="E1243" s="2">
        <v>12870.47</v>
      </c>
      <c r="F1243">
        <v>227</v>
      </c>
      <c r="G1243" s="2">
        <f t="shared" si="76"/>
        <v>56.698105726872242</v>
      </c>
      <c r="H1243" t="str">
        <f t="shared" si="77"/>
        <v>January</v>
      </c>
      <c r="I1243" t="str">
        <f t="shared" si="78"/>
        <v>Q1</v>
      </c>
      <c r="J1243" t="str">
        <f t="shared" si="79"/>
        <v>Large</v>
      </c>
    </row>
    <row r="1244" spans="1:10" x14ac:dyDescent="0.25">
      <c r="A1244" t="s">
        <v>43</v>
      </c>
      <c r="B1244" t="s">
        <v>15</v>
      </c>
      <c r="C1244" t="s">
        <v>18</v>
      </c>
      <c r="D1244" s="1">
        <v>44957</v>
      </c>
      <c r="E1244" s="2">
        <v>3017.66</v>
      </c>
      <c r="F1244">
        <v>19</v>
      </c>
      <c r="G1244" s="2">
        <f t="shared" si="76"/>
        <v>158.8242105263158</v>
      </c>
      <c r="H1244" t="str">
        <f t="shared" si="77"/>
        <v>January</v>
      </c>
      <c r="I1244" t="str">
        <f t="shared" si="78"/>
        <v>Q1</v>
      </c>
      <c r="J1244" t="str">
        <f t="shared" si="79"/>
        <v>Large</v>
      </c>
    </row>
    <row r="1245" spans="1:10" x14ac:dyDescent="0.25">
      <c r="A1245" t="s">
        <v>49</v>
      </c>
      <c r="B1245" t="s">
        <v>10</v>
      </c>
      <c r="C1245" t="s">
        <v>47</v>
      </c>
      <c r="D1245" s="1">
        <v>44999</v>
      </c>
      <c r="E1245" s="2">
        <v>3574.12</v>
      </c>
      <c r="F1245">
        <v>149</v>
      </c>
      <c r="G1245" s="2">
        <f t="shared" si="76"/>
        <v>23.987382550335571</v>
      </c>
      <c r="H1245" t="str">
        <f t="shared" si="77"/>
        <v>March</v>
      </c>
      <c r="I1245" t="str">
        <f t="shared" si="78"/>
        <v>Q1</v>
      </c>
      <c r="J1245" t="str">
        <f t="shared" si="79"/>
        <v>Large</v>
      </c>
    </row>
    <row r="1246" spans="1:10" x14ac:dyDescent="0.25">
      <c r="A1246" t="s">
        <v>50</v>
      </c>
      <c r="B1246" t="s">
        <v>15</v>
      </c>
      <c r="C1246" t="s">
        <v>58</v>
      </c>
      <c r="D1246" s="1">
        <v>45045</v>
      </c>
      <c r="E1246" s="2">
        <v>6249.31</v>
      </c>
      <c r="F1246">
        <v>509</v>
      </c>
      <c r="G1246" s="2">
        <f t="shared" si="76"/>
        <v>12.277622789783891</v>
      </c>
      <c r="H1246" t="str">
        <f t="shared" si="77"/>
        <v>April</v>
      </c>
      <c r="I1246" t="str">
        <f t="shared" si="78"/>
        <v>Q2</v>
      </c>
      <c r="J1246" t="str">
        <f t="shared" si="79"/>
        <v>Large</v>
      </c>
    </row>
    <row r="1247" spans="1:10" x14ac:dyDescent="0.25">
      <c r="A1247" t="s">
        <v>17</v>
      </c>
      <c r="B1247" t="s">
        <v>10</v>
      </c>
      <c r="C1247" t="s">
        <v>16</v>
      </c>
      <c r="D1247" s="1">
        <v>44964</v>
      </c>
      <c r="E1247" s="2">
        <v>10759.61</v>
      </c>
      <c r="F1247">
        <v>107</v>
      </c>
      <c r="G1247" s="2">
        <f t="shared" si="76"/>
        <v>100.55710280373832</v>
      </c>
      <c r="H1247" t="str">
        <f t="shared" si="77"/>
        <v>February</v>
      </c>
      <c r="I1247" t="str">
        <f t="shared" si="78"/>
        <v>Q1</v>
      </c>
      <c r="J1247" t="str">
        <f t="shared" si="79"/>
        <v>Large</v>
      </c>
    </row>
    <row r="1248" spans="1:10" x14ac:dyDescent="0.25">
      <c r="A1248" t="s">
        <v>41</v>
      </c>
      <c r="B1248" t="s">
        <v>7</v>
      </c>
      <c r="C1248" t="s">
        <v>35</v>
      </c>
      <c r="D1248" s="1">
        <v>45016</v>
      </c>
      <c r="E1248" s="2">
        <v>2508.0300000000002</v>
      </c>
      <c r="F1248">
        <v>175</v>
      </c>
      <c r="G1248" s="2">
        <f t="shared" si="76"/>
        <v>14.331600000000002</v>
      </c>
      <c r="H1248" t="str">
        <f t="shared" si="77"/>
        <v>March</v>
      </c>
      <c r="I1248" t="str">
        <f t="shared" si="78"/>
        <v>Q1</v>
      </c>
      <c r="J1248" t="str">
        <f t="shared" si="79"/>
        <v>Large</v>
      </c>
    </row>
    <row r="1249" spans="1:10" x14ac:dyDescent="0.25">
      <c r="A1249" t="s">
        <v>33</v>
      </c>
      <c r="B1249" t="s">
        <v>10</v>
      </c>
      <c r="C1249" t="s">
        <v>57</v>
      </c>
      <c r="D1249" s="1">
        <v>45001</v>
      </c>
      <c r="E1249" s="2">
        <v>4997.82</v>
      </c>
      <c r="F1249">
        <v>83</v>
      </c>
      <c r="G1249" s="2">
        <f t="shared" si="76"/>
        <v>60.214698795180716</v>
      </c>
      <c r="H1249" t="str">
        <f t="shared" si="77"/>
        <v>March</v>
      </c>
      <c r="I1249" t="str">
        <f t="shared" si="78"/>
        <v>Q1</v>
      </c>
      <c r="J1249" t="str">
        <f t="shared" si="79"/>
        <v>Large</v>
      </c>
    </row>
    <row r="1250" spans="1:10" x14ac:dyDescent="0.25">
      <c r="A1250" t="s">
        <v>31</v>
      </c>
      <c r="B1250" t="s">
        <v>7</v>
      </c>
      <c r="C1250" t="s">
        <v>30</v>
      </c>
      <c r="D1250" s="1">
        <v>44951</v>
      </c>
      <c r="E1250" s="2">
        <v>7901.09</v>
      </c>
      <c r="F1250">
        <v>200</v>
      </c>
      <c r="G1250" s="2">
        <f t="shared" si="76"/>
        <v>39.505450000000003</v>
      </c>
      <c r="H1250" t="str">
        <f t="shared" si="77"/>
        <v>January</v>
      </c>
      <c r="I1250" t="str">
        <f t="shared" si="78"/>
        <v>Q1</v>
      </c>
      <c r="J1250" t="str">
        <f t="shared" si="79"/>
        <v>Large</v>
      </c>
    </row>
    <row r="1251" spans="1:10" x14ac:dyDescent="0.25">
      <c r="A1251" t="s">
        <v>9</v>
      </c>
      <c r="B1251" t="s">
        <v>10</v>
      </c>
      <c r="C1251" t="s">
        <v>56</v>
      </c>
      <c r="D1251" s="1">
        <v>45097</v>
      </c>
      <c r="E1251" s="2">
        <v>3133.42</v>
      </c>
      <c r="F1251">
        <v>479</v>
      </c>
      <c r="G1251" s="2">
        <f t="shared" si="76"/>
        <v>6.5415866388308981</v>
      </c>
      <c r="H1251" t="str">
        <f t="shared" si="77"/>
        <v>June</v>
      </c>
      <c r="I1251" t="str">
        <f t="shared" si="78"/>
        <v>Q2</v>
      </c>
      <c r="J1251" t="str">
        <f t="shared" si="79"/>
        <v>Large</v>
      </c>
    </row>
    <row r="1252" spans="1:10" x14ac:dyDescent="0.25">
      <c r="A1252" t="s">
        <v>12</v>
      </c>
      <c r="B1252" t="s">
        <v>7</v>
      </c>
      <c r="C1252" t="s">
        <v>20</v>
      </c>
      <c r="D1252" s="1">
        <v>45014</v>
      </c>
      <c r="E1252" s="2">
        <v>8320.2900000000009</v>
      </c>
      <c r="F1252">
        <v>171</v>
      </c>
      <c r="G1252" s="2">
        <f t="shared" si="76"/>
        <v>48.656666666666673</v>
      </c>
      <c r="H1252" t="str">
        <f t="shared" si="77"/>
        <v>March</v>
      </c>
      <c r="I1252" t="str">
        <f t="shared" si="78"/>
        <v>Q1</v>
      </c>
      <c r="J1252" t="str">
        <f t="shared" si="79"/>
        <v>Large</v>
      </c>
    </row>
    <row r="1253" spans="1:10" x14ac:dyDescent="0.25">
      <c r="A1253" t="s">
        <v>38</v>
      </c>
      <c r="B1253" t="s">
        <v>15</v>
      </c>
      <c r="C1253" t="s">
        <v>27</v>
      </c>
      <c r="D1253" s="1">
        <v>45119</v>
      </c>
      <c r="E1253" s="2">
        <v>909.93</v>
      </c>
      <c r="F1253">
        <v>132</v>
      </c>
      <c r="G1253" s="2">
        <f t="shared" si="76"/>
        <v>6.8934090909090902</v>
      </c>
      <c r="H1253" t="str">
        <f t="shared" si="77"/>
        <v>July</v>
      </c>
      <c r="I1253" t="str">
        <f t="shared" si="78"/>
        <v>Q3</v>
      </c>
      <c r="J1253" t="str">
        <f t="shared" si="79"/>
        <v>Large</v>
      </c>
    </row>
    <row r="1254" spans="1:10" x14ac:dyDescent="0.25">
      <c r="A1254" t="s">
        <v>6</v>
      </c>
      <c r="B1254" t="s">
        <v>29</v>
      </c>
      <c r="C1254" t="s">
        <v>16</v>
      </c>
      <c r="D1254" s="1">
        <v>45118</v>
      </c>
      <c r="E1254" s="2">
        <v>5631.26</v>
      </c>
      <c r="F1254">
        <v>142</v>
      </c>
      <c r="G1254" s="2">
        <f t="shared" si="76"/>
        <v>39.656760563380281</v>
      </c>
      <c r="H1254" t="str">
        <f t="shared" si="77"/>
        <v>July</v>
      </c>
      <c r="I1254" t="str">
        <f t="shared" si="78"/>
        <v>Q3</v>
      </c>
      <c r="J1254" t="str">
        <f t="shared" si="79"/>
        <v>Large</v>
      </c>
    </row>
    <row r="1255" spans="1:10" x14ac:dyDescent="0.25">
      <c r="A1255" t="s">
        <v>31</v>
      </c>
      <c r="B1255" t="s">
        <v>29</v>
      </c>
      <c r="C1255" t="s">
        <v>16</v>
      </c>
      <c r="D1255" s="1">
        <v>44945</v>
      </c>
      <c r="E1255" s="2">
        <v>3283.44</v>
      </c>
      <c r="F1255">
        <v>186</v>
      </c>
      <c r="G1255" s="2">
        <f t="shared" si="76"/>
        <v>17.652903225806451</v>
      </c>
      <c r="H1255" t="str">
        <f t="shared" si="77"/>
        <v>January</v>
      </c>
      <c r="I1255" t="str">
        <f t="shared" si="78"/>
        <v>Q1</v>
      </c>
      <c r="J1255" t="str">
        <f t="shared" si="79"/>
        <v>Large</v>
      </c>
    </row>
    <row r="1256" spans="1:10" x14ac:dyDescent="0.25">
      <c r="A1256" t="s">
        <v>48</v>
      </c>
      <c r="B1256" t="s">
        <v>26</v>
      </c>
      <c r="C1256" t="s">
        <v>11</v>
      </c>
      <c r="D1256" s="1">
        <v>45021</v>
      </c>
      <c r="E1256" s="2">
        <v>9458.0300000000007</v>
      </c>
      <c r="F1256">
        <v>87</v>
      </c>
      <c r="G1256" s="2">
        <f t="shared" si="76"/>
        <v>108.71298850574713</v>
      </c>
      <c r="H1256" t="str">
        <f t="shared" si="77"/>
        <v>April</v>
      </c>
      <c r="I1256" t="str">
        <f t="shared" si="78"/>
        <v>Q2</v>
      </c>
      <c r="J1256" t="str">
        <f t="shared" si="79"/>
        <v>Large</v>
      </c>
    </row>
    <row r="1257" spans="1:10" x14ac:dyDescent="0.25">
      <c r="A1257" t="s">
        <v>6</v>
      </c>
      <c r="B1257" t="s">
        <v>29</v>
      </c>
      <c r="C1257" t="s">
        <v>37</v>
      </c>
      <c r="D1257" s="1">
        <v>44978</v>
      </c>
      <c r="E1257" s="2">
        <v>7726.25</v>
      </c>
      <c r="F1257">
        <v>12</v>
      </c>
      <c r="G1257" s="2">
        <f t="shared" si="76"/>
        <v>643.85416666666663</v>
      </c>
      <c r="H1257" t="str">
        <f t="shared" si="77"/>
        <v>February</v>
      </c>
      <c r="I1257" t="str">
        <f t="shared" si="78"/>
        <v>Q1</v>
      </c>
      <c r="J1257" t="str">
        <f t="shared" si="79"/>
        <v>Large</v>
      </c>
    </row>
    <row r="1258" spans="1:10" x14ac:dyDescent="0.25">
      <c r="A1258" t="s">
        <v>24</v>
      </c>
      <c r="B1258" t="s">
        <v>21</v>
      </c>
      <c r="C1258" t="s">
        <v>57</v>
      </c>
      <c r="D1258" s="1">
        <v>45066</v>
      </c>
      <c r="E1258" s="2">
        <v>14369.4</v>
      </c>
      <c r="F1258">
        <v>15</v>
      </c>
      <c r="G1258" s="2">
        <f t="shared" si="76"/>
        <v>957.95999999999992</v>
      </c>
      <c r="H1258" t="str">
        <f t="shared" si="77"/>
        <v>May</v>
      </c>
      <c r="I1258" t="str">
        <f t="shared" si="78"/>
        <v>Q2</v>
      </c>
      <c r="J1258" t="str">
        <f t="shared" si="79"/>
        <v>Large</v>
      </c>
    </row>
    <row r="1259" spans="1:10" x14ac:dyDescent="0.25">
      <c r="A1259" t="s">
        <v>28</v>
      </c>
      <c r="B1259" t="s">
        <v>15</v>
      </c>
      <c r="C1259" t="s">
        <v>37</v>
      </c>
      <c r="D1259" s="1">
        <v>45136</v>
      </c>
      <c r="E1259" s="2">
        <v>2829.57</v>
      </c>
      <c r="F1259">
        <v>106</v>
      </c>
      <c r="G1259" s="2">
        <f t="shared" si="76"/>
        <v>26.694056603773586</v>
      </c>
      <c r="H1259" t="str">
        <f t="shared" si="77"/>
        <v>July</v>
      </c>
      <c r="I1259" t="str">
        <f t="shared" si="78"/>
        <v>Q3</v>
      </c>
      <c r="J1259" t="str">
        <f t="shared" si="79"/>
        <v>Large</v>
      </c>
    </row>
    <row r="1260" spans="1:10" x14ac:dyDescent="0.25">
      <c r="A1260" t="s">
        <v>25</v>
      </c>
      <c r="B1260" t="s">
        <v>26</v>
      </c>
      <c r="C1260" t="s">
        <v>42</v>
      </c>
      <c r="D1260" s="1">
        <v>44954</v>
      </c>
      <c r="E1260" s="2">
        <v>9370.61</v>
      </c>
      <c r="F1260">
        <v>45</v>
      </c>
      <c r="G1260" s="2">
        <f t="shared" si="76"/>
        <v>208.2357777777778</v>
      </c>
      <c r="H1260" t="str">
        <f t="shared" si="77"/>
        <v>January</v>
      </c>
      <c r="I1260" t="str">
        <f t="shared" si="78"/>
        <v>Q1</v>
      </c>
      <c r="J1260" t="str">
        <f t="shared" si="79"/>
        <v>Large</v>
      </c>
    </row>
    <row r="1261" spans="1:10" x14ac:dyDescent="0.25">
      <c r="A1261" t="s">
        <v>33</v>
      </c>
      <c r="B1261" t="s">
        <v>7</v>
      </c>
      <c r="C1261" t="s">
        <v>57</v>
      </c>
      <c r="D1261" s="1">
        <v>45126</v>
      </c>
      <c r="E1261" s="2">
        <v>3651.49</v>
      </c>
      <c r="F1261">
        <v>112</v>
      </c>
      <c r="G1261" s="2">
        <f t="shared" si="76"/>
        <v>32.602589285714281</v>
      </c>
      <c r="H1261" t="str">
        <f t="shared" si="77"/>
        <v>July</v>
      </c>
      <c r="I1261" t="str">
        <f t="shared" si="78"/>
        <v>Q3</v>
      </c>
      <c r="J1261" t="str">
        <f t="shared" si="79"/>
        <v>Large</v>
      </c>
    </row>
    <row r="1262" spans="1:10" x14ac:dyDescent="0.25">
      <c r="A1262" t="s">
        <v>28</v>
      </c>
      <c r="B1262" t="s">
        <v>21</v>
      </c>
      <c r="C1262" t="s">
        <v>45</v>
      </c>
      <c r="D1262" s="1">
        <v>45029</v>
      </c>
      <c r="E1262" s="2">
        <v>10229.99</v>
      </c>
      <c r="F1262">
        <v>12</v>
      </c>
      <c r="G1262" s="2">
        <f t="shared" si="76"/>
        <v>852.49916666666661</v>
      </c>
      <c r="H1262" t="str">
        <f t="shared" si="77"/>
        <v>April</v>
      </c>
      <c r="I1262" t="str">
        <f t="shared" si="78"/>
        <v>Q2</v>
      </c>
      <c r="J1262" t="str">
        <f t="shared" si="79"/>
        <v>Large</v>
      </c>
    </row>
    <row r="1263" spans="1:10" x14ac:dyDescent="0.25">
      <c r="A1263" t="s">
        <v>36</v>
      </c>
      <c r="B1263" t="s">
        <v>10</v>
      </c>
      <c r="C1263" t="s">
        <v>13</v>
      </c>
      <c r="D1263" s="1">
        <v>44968</v>
      </c>
      <c r="E1263" s="2">
        <v>11596.89</v>
      </c>
      <c r="F1263">
        <v>22</v>
      </c>
      <c r="G1263" s="2">
        <f t="shared" si="76"/>
        <v>527.13136363636363</v>
      </c>
      <c r="H1263" t="str">
        <f t="shared" si="77"/>
        <v>February</v>
      </c>
      <c r="I1263" t="str">
        <f t="shared" si="78"/>
        <v>Q1</v>
      </c>
      <c r="J1263" t="str">
        <f t="shared" si="79"/>
        <v>Large</v>
      </c>
    </row>
    <row r="1264" spans="1:10" x14ac:dyDescent="0.25">
      <c r="A1264" t="s">
        <v>36</v>
      </c>
      <c r="B1264" t="s">
        <v>21</v>
      </c>
      <c r="C1264" t="s">
        <v>37</v>
      </c>
      <c r="D1264" s="1">
        <v>44987</v>
      </c>
      <c r="E1264" s="2">
        <v>5857.9</v>
      </c>
      <c r="F1264">
        <v>111</v>
      </c>
      <c r="G1264" s="2">
        <f t="shared" si="76"/>
        <v>52.773873873873868</v>
      </c>
      <c r="H1264" t="str">
        <f t="shared" si="77"/>
        <v>March</v>
      </c>
      <c r="I1264" t="str">
        <f t="shared" si="78"/>
        <v>Q1</v>
      </c>
      <c r="J1264" t="str">
        <f t="shared" si="79"/>
        <v>Large</v>
      </c>
    </row>
    <row r="1265" spans="1:10" x14ac:dyDescent="0.25">
      <c r="A1265" t="s">
        <v>55</v>
      </c>
      <c r="B1265" t="s">
        <v>15</v>
      </c>
      <c r="C1265" t="s">
        <v>44</v>
      </c>
      <c r="D1265" s="1">
        <v>44987</v>
      </c>
      <c r="E1265" s="2">
        <v>1177.6400000000001</v>
      </c>
      <c r="F1265">
        <v>206</v>
      </c>
      <c r="G1265" s="2">
        <f t="shared" si="76"/>
        <v>5.7166990291262136</v>
      </c>
      <c r="H1265" t="str">
        <f t="shared" si="77"/>
        <v>March</v>
      </c>
      <c r="I1265" t="str">
        <f t="shared" si="78"/>
        <v>Q1</v>
      </c>
      <c r="J1265" t="str">
        <f t="shared" si="79"/>
        <v>Large</v>
      </c>
    </row>
    <row r="1266" spans="1:10" x14ac:dyDescent="0.25">
      <c r="A1266" t="s">
        <v>9</v>
      </c>
      <c r="B1266" t="s">
        <v>26</v>
      </c>
      <c r="C1266" t="s">
        <v>18</v>
      </c>
      <c r="D1266" s="1">
        <v>45135</v>
      </c>
      <c r="E1266" s="2">
        <v>12930.11</v>
      </c>
      <c r="F1266">
        <v>6</v>
      </c>
      <c r="G1266" s="2">
        <f t="shared" si="76"/>
        <v>2155.0183333333334</v>
      </c>
      <c r="H1266" t="str">
        <f t="shared" si="77"/>
        <v>July</v>
      </c>
      <c r="I1266" t="str">
        <f t="shared" si="78"/>
        <v>Q3</v>
      </c>
      <c r="J1266" t="str">
        <f t="shared" si="79"/>
        <v>Large</v>
      </c>
    </row>
    <row r="1267" spans="1:10" x14ac:dyDescent="0.25">
      <c r="A1267" t="s">
        <v>49</v>
      </c>
      <c r="B1267" t="s">
        <v>10</v>
      </c>
      <c r="C1267" t="s">
        <v>20</v>
      </c>
      <c r="D1267" s="1">
        <v>44933</v>
      </c>
      <c r="E1267" s="2">
        <v>1732.04</v>
      </c>
      <c r="F1267">
        <v>531</v>
      </c>
      <c r="G1267" s="2">
        <f t="shared" si="76"/>
        <v>3.2618455743879471</v>
      </c>
      <c r="H1267" t="str">
        <f t="shared" si="77"/>
        <v>January</v>
      </c>
      <c r="I1267" t="str">
        <f t="shared" si="78"/>
        <v>Q1</v>
      </c>
      <c r="J1267" t="str">
        <f t="shared" si="79"/>
        <v>Large</v>
      </c>
    </row>
    <row r="1268" spans="1:10" x14ac:dyDescent="0.25">
      <c r="A1268" t="s">
        <v>23</v>
      </c>
      <c r="B1268" t="s">
        <v>7</v>
      </c>
      <c r="C1268" t="s">
        <v>44</v>
      </c>
      <c r="D1268" s="1">
        <v>45028</v>
      </c>
      <c r="E1268" s="2">
        <v>5837.17</v>
      </c>
      <c r="F1268">
        <v>173</v>
      </c>
      <c r="G1268" s="2">
        <f t="shared" si="76"/>
        <v>33.74086705202312</v>
      </c>
      <c r="H1268" t="str">
        <f t="shared" si="77"/>
        <v>April</v>
      </c>
      <c r="I1268" t="str">
        <f t="shared" si="78"/>
        <v>Q2</v>
      </c>
      <c r="J1268" t="str">
        <f t="shared" si="79"/>
        <v>Large</v>
      </c>
    </row>
    <row r="1269" spans="1:10" x14ac:dyDescent="0.25">
      <c r="A1269" t="s">
        <v>9</v>
      </c>
      <c r="B1269" t="s">
        <v>29</v>
      </c>
      <c r="C1269" t="s">
        <v>47</v>
      </c>
      <c r="D1269" s="1">
        <v>45104</v>
      </c>
      <c r="E1269" s="2">
        <v>3424.66</v>
      </c>
      <c r="F1269">
        <v>70</v>
      </c>
      <c r="G1269" s="2">
        <f t="shared" si="76"/>
        <v>48.923714285714283</v>
      </c>
      <c r="H1269" t="str">
        <f t="shared" si="77"/>
        <v>June</v>
      </c>
      <c r="I1269" t="str">
        <f t="shared" si="78"/>
        <v>Q2</v>
      </c>
      <c r="J1269" t="str">
        <f t="shared" si="79"/>
        <v>Large</v>
      </c>
    </row>
    <row r="1270" spans="1:10" x14ac:dyDescent="0.25">
      <c r="A1270" t="s">
        <v>6</v>
      </c>
      <c r="B1270" t="s">
        <v>15</v>
      </c>
      <c r="C1270" t="s">
        <v>22</v>
      </c>
      <c r="D1270" s="1">
        <v>44940</v>
      </c>
      <c r="E1270" s="2">
        <v>5700.28</v>
      </c>
      <c r="F1270">
        <v>422</v>
      </c>
      <c r="G1270" s="2">
        <f t="shared" si="76"/>
        <v>13.507772511848341</v>
      </c>
      <c r="H1270" t="str">
        <f t="shared" si="77"/>
        <v>January</v>
      </c>
      <c r="I1270" t="str">
        <f t="shared" si="78"/>
        <v>Q1</v>
      </c>
      <c r="J1270" t="str">
        <f t="shared" si="79"/>
        <v>Large</v>
      </c>
    </row>
    <row r="1271" spans="1:10" x14ac:dyDescent="0.25">
      <c r="A1271" t="s">
        <v>31</v>
      </c>
      <c r="B1271" t="s">
        <v>7</v>
      </c>
      <c r="C1271" t="s">
        <v>56</v>
      </c>
      <c r="D1271" s="1">
        <v>44964</v>
      </c>
      <c r="E1271" s="2">
        <v>5094.4799999999996</v>
      </c>
      <c r="F1271">
        <v>373</v>
      </c>
      <c r="G1271" s="2">
        <f t="shared" si="76"/>
        <v>13.658123324396781</v>
      </c>
      <c r="H1271" t="str">
        <f t="shared" si="77"/>
        <v>February</v>
      </c>
      <c r="I1271" t="str">
        <f t="shared" si="78"/>
        <v>Q1</v>
      </c>
      <c r="J1271" t="str">
        <f t="shared" si="79"/>
        <v>Large</v>
      </c>
    </row>
    <row r="1272" spans="1:10" x14ac:dyDescent="0.25">
      <c r="A1272" t="s">
        <v>6</v>
      </c>
      <c r="B1272" t="s">
        <v>15</v>
      </c>
      <c r="C1272" t="s">
        <v>27</v>
      </c>
      <c r="D1272" s="1">
        <v>45008</v>
      </c>
      <c r="E1272" s="2">
        <v>14529.2</v>
      </c>
      <c r="F1272">
        <v>26</v>
      </c>
      <c r="G1272" s="2">
        <f t="shared" si="76"/>
        <v>558.81538461538469</v>
      </c>
      <c r="H1272" t="str">
        <f t="shared" si="77"/>
        <v>March</v>
      </c>
      <c r="I1272" t="str">
        <f t="shared" si="78"/>
        <v>Q1</v>
      </c>
      <c r="J1272" t="str">
        <f t="shared" si="79"/>
        <v>Large</v>
      </c>
    </row>
    <row r="1273" spans="1:10" x14ac:dyDescent="0.25">
      <c r="A1273" t="s">
        <v>33</v>
      </c>
      <c r="B1273" t="s">
        <v>10</v>
      </c>
      <c r="C1273" t="s">
        <v>13</v>
      </c>
      <c r="D1273" s="1">
        <v>44936</v>
      </c>
      <c r="E1273" s="2">
        <v>6761.28</v>
      </c>
      <c r="F1273">
        <v>145</v>
      </c>
      <c r="G1273" s="2">
        <f t="shared" si="76"/>
        <v>46.629517241379311</v>
      </c>
      <c r="H1273" t="str">
        <f t="shared" si="77"/>
        <v>January</v>
      </c>
      <c r="I1273" t="str">
        <f t="shared" si="78"/>
        <v>Q1</v>
      </c>
      <c r="J1273" t="str">
        <f t="shared" si="79"/>
        <v>Large</v>
      </c>
    </row>
    <row r="1274" spans="1:10" x14ac:dyDescent="0.25">
      <c r="A1274" t="s">
        <v>17</v>
      </c>
      <c r="B1274" t="s">
        <v>7</v>
      </c>
      <c r="C1274" t="s">
        <v>52</v>
      </c>
      <c r="D1274" s="1">
        <v>45002</v>
      </c>
      <c r="E1274" s="2">
        <v>10370.44</v>
      </c>
      <c r="F1274">
        <v>44</v>
      </c>
      <c r="G1274" s="2">
        <f t="shared" si="76"/>
        <v>235.69181818181821</v>
      </c>
      <c r="H1274" t="str">
        <f t="shared" si="77"/>
        <v>March</v>
      </c>
      <c r="I1274" t="str">
        <f t="shared" si="78"/>
        <v>Q1</v>
      </c>
      <c r="J1274" t="str">
        <f t="shared" si="79"/>
        <v>Large</v>
      </c>
    </row>
    <row r="1275" spans="1:10" x14ac:dyDescent="0.25">
      <c r="A1275" t="s">
        <v>12</v>
      </c>
      <c r="B1275" t="s">
        <v>26</v>
      </c>
      <c r="C1275" t="s">
        <v>39</v>
      </c>
      <c r="D1275" s="1">
        <v>44947</v>
      </c>
      <c r="E1275" s="2">
        <v>12450.24</v>
      </c>
      <c r="F1275">
        <v>57</v>
      </c>
      <c r="G1275" s="2">
        <f t="shared" si="76"/>
        <v>218.42526315789473</v>
      </c>
      <c r="H1275" t="str">
        <f t="shared" si="77"/>
        <v>January</v>
      </c>
      <c r="I1275" t="str">
        <f t="shared" si="78"/>
        <v>Q1</v>
      </c>
      <c r="J1275" t="str">
        <f t="shared" si="79"/>
        <v>Large</v>
      </c>
    </row>
    <row r="1276" spans="1:10" x14ac:dyDescent="0.25">
      <c r="A1276" t="s">
        <v>25</v>
      </c>
      <c r="B1276" t="s">
        <v>15</v>
      </c>
      <c r="C1276" t="s">
        <v>44</v>
      </c>
      <c r="D1276" s="1">
        <v>45111</v>
      </c>
      <c r="E1276" s="2">
        <v>8927.6299999999992</v>
      </c>
      <c r="F1276">
        <v>386</v>
      </c>
      <c r="G1276" s="2">
        <f t="shared" si="76"/>
        <v>23.128575129533676</v>
      </c>
      <c r="H1276" t="str">
        <f t="shared" si="77"/>
        <v>July</v>
      </c>
      <c r="I1276" t="str">
        <f t="shared" si="78"/>
        <v>Q3</v>
      </c>
      <c r="J1276" t="str">
        <f t="shared" si="79"/>
        <v>Large</v>
      </c>
    </row>
    <row r="1277" spans="1:10" x14ac:dyDescent="0.25">
      <c r="A1277" t="s">
        <v>41</v>
      </c>
      <c r="B1277" t="s">
        <v>29</v>
      </c>
      <c r="C1277" t="s">
        <v>13</v>
      </c>
      <c r="D1277" s="1">
        <v>45111</v>
      </c>
      <c r="E1277" s="2">
        <v>3438.7</v>
      </c>
      <c r="F1277">
        <v>191</v>
      </c>
      <c r="G1277" s="2">
        <f t="shared" si="76"/>
        <v>18.003664921465969</v>
      </c>
      <c r="H1277" t="str">
        <f t="shared" si="77"/>
        <v>July</v>
      </c>
      <c r="I1277" t="str">
        <f t="shared" si="78"/>
        <v>Q3</v>
      </c>
      <c r="J1277" t="str">
        <f t="shared" si="79"/>
        <v>Large</v>
      </c>
    </row>
    <row r="1278" spans="1:10" x14ac:dyDescent="0.25">
      <c r="A1278" t="s">
        <v>54</v>
      </c>
      <c r="B1278" t="s">
        <v>26</v>
      </c>
      <c r="C1278" t="s">
        <v>45</v>
      </c>
      <c r="D1278" s="1">
        <v>45148</v>
      </c>
      <c r="E1278" s="2">
        <v>299.70999999999998</v>
      </c>
      <c r="F1278">
        <v>207</v>
      </c>
      <c r="G1278" s="2">
        <f t="shared" si="76"/>
        <v>1.4478743961352656</v>
      </c>
      <c r="H1278" t="str">
        <f t="shared" si="77"/>
        <v>August</v>
      </c>
      <c r="I1278" t="str">
        <f t="shared" si="78"/>
        <v>Q3</v>
      </c>
      <c r="J1278" t="str">
        <f t="shared" si="79"/>
        <v>Small</v>
      </c>
    </row>
    <row r="1279" spans="1:10" x14ac:dyDescent="0.25">
      <c r="A1279" t="s">
        <v>43</v>
      </c>
      <c r="B1279" t="s">
        <v>15</v>
      </c>
      <c r="C1279" t="s">
        <v>22</v>
      </c>
      <c r="D1279" s="1">
        <v>45017</v>
      </c>
      <c r="E1279" s="2">
        <v>7374.26</v>
      </c>
      <c r="F1279">
        <v>12</v>
      </c>
      <c r="G1279" s="2">
        <f t="shared" si="76"/>
        <v>614.52166666666665</v>
      </c>
      <c r="H1279" t="str">
        <f t="shared" si="77"/>
        <v>April</v>
      </c>
      <c r="I1279" t="str">
        <f t="shared" si="78"/>
        <v>Q2</v>
      </c>
      <c r="J1279" t="str">
        <f t="shared" si="79"/>
        <v>Large</v>
      </c>
    </row>
    <row r="1280" spans="1:10" x14ac:dyDescent="0.25">
      <c r="A1280" t="s">
        <v>12</v>
      </c>
      <c r="B1280" t="s">
        <v>10</v>
      </c>
      <c r="C1280" t="s">
        <v>51</v>
      </c>
      <c r="D1280" s="1">
        <v>44979</v>
      </c>
      <c r="E1280" s="2">
        <v>2775.87</v>
      </c>
      <c r="F1280">
        <v>174</v>
      </c>
      <c r="G1280" s="2">
        <f t="shared" si="76"/>
        <v>15.953275862068965</v>
      </c>
      <c r="H1280" t="str">
        <f t="shared" si="77"/>
        <v>February</v>
      </c>
      <c r="I1280" t="str">
        <f t="shared" si="78"/>
        <v>Q1</v>
      </c>
      <c r="J1280" t="str">
        <f t="shared" si="79"/>
        <v>Large</v>
      </c>
    </row>
    <row r="1281" spans="1:10" x14ac:dyDescent="0.25">
      <c r="A1281" t="s">
        <v>50</v>
      </c>
      <c r="B1281" t="s">
        <v>7</v>
      </c>
      <c r="C1281" t="s">
        <v>44</v>
      </c>
      <c r="D1281" s="1">
        <v>44929</v>
      </c>
      <c r="E1281" s="2">
        <v>9957.66</v>
      </c>
      <c r="F1281">
        <v>194</v>
      </c>
      <c r="G1281" s="2">
        <f t="shared" si="76"/>
        <v>51.328144329896908</v>
      </c>
      <c r="H1281" t="str">
        <f t="shared" si="77"/>
        <v>January</v>
      </c>
      <c r="I1281" t="str">
        <f t="shared" si="78"/>
        <v>Q1</v>
      </c>
      <c r="J1281" t="str">
        <f t="shared" si="79"/>
        <v>Large</v>
      </c>
    </row>
    <row r="1282" spans="1:10" x14ac:dyDescent="0.25">
      <c r="A1282" t="s">
        <v>31</v>
      </c>
      <c r="B1282" t="s">
        <v>10</v>
      </c>
      <c r="C1282" t="s">
        <v>32</v>
      </c>
      <c r="D1282" s="1">
        <v>45077</v>
      </c>
      <c r="E1282" s="2">
        <v>5064.88</v>
      </c>
      <c r="F1282">
        <v>251</v>
      </c>
      <c r="G1282" s="2">
        <f t="shared" si="76"/>
        <v>20.178804780876494</v>
      </c>
      <c r="H1282" t="str">
        <f t="shared" si="77"/>
        <v>May</v>
      </c>
      <c r="I1282" t="str">
        <f t="shared" si="78"/>
        <v>Q2</v>
      </c>
      <c r="J1282" t="str">
        <f t="shared" si="79"/>
        <v>Large</v>
      </c>
    </row>
    <row r="1283" spans="1:10" x14ac:dyDescent="0.25">
      <c r="A1283" t="s">
        <v>54</v>
      </c>
      <c r="B1283" t="s">
        <v>7</v>
      </c>
      <c r="C1283" t="s">
        <v>18</v>
      </c>
      <c r="D1283" s="1">
        <v>44929</v>
      </c>
      <c r="E1283" s="2">
        <v>9865.0499999999993</v>
      </c>
      <c r="F1283">
        <v>273</v>
      </c>
      <c r="G1283" s="2">
        <f t="shared" ref="G1283:G1346" si="80">E1283/F1283</f>
        <v>36.135714285714286</v>
      </c>
      <c r="H1283" t="str">
        <f t="shared" ref="H1283:H1346" si="81">TEXT(D1283, "mmmm")</f>
        <v>January</v>
      </c>
      <c r="I1283" t="str">
        <f t="shared" ref="I1283:I1346" si="82">"Q" &amp; ROUNDUP(MONTH(D1283)/3,0)</f>
        <v>Q1</v>
      </c>
      <c r="J1283" t="str">
        <f t="shared" ref="J1283:J1346" si="83">IF(E1283 &gt; 500, "Large", "Small")</f>
        <v>Large</v>
      </c>
    </row>
    <row r="1284" spans="1:10" x14ac:dyDescent="0.25">
      <c r="A1284" t="s">
        <v>40</v>
      </c>
      <c r="B1284" t="s">
        <v>21</v>
      </c>
      <c r="C1284" t="s">
        <v>57</v>
      </c>
      <c r="D1284" s="1">
        <v>44953</v>
      </c>
      <c r="E1284" s="2">
        <v>571.52</v>
      </c>
      <c r="F1284">
        <v>489</v>
      </c>
      <c r="G1284" s="2">
        <f t="shared" si="80"/>
        <v>1.1687525562372187</v>
      </c>
      <c r="H1284" t="str">
        <f t="shared" si="81"/>
        <v>January</v>
      </c>
      <c r="I1284" t="str">
        <f t="shared" si="82"/>
        <v>Q1</v>
      </c>
      <c r="J1284" t="str">
        <f t="shared" si="83"/>
        <v>Large</v>
      </c>
    </row>
    <row r="1285" spans="1:10" x14ac:dyDescent="0.25">
      <c r="A1285" t="s">
        <v>25</v>
      </c>
      <c r="B1285" t="s">
        <v>7</v>
      </c>
      <c r="C1285" t="s">
        <v>22</v>
      </c>
      <c r="D1285" s="1">
        <v>44954</v>
      </c>
      <c r="E1285" s="2">
        <v>656.44</v>
      </c>
      <c r="F1285">
        <v>67</v>
      </c>
      <c r="G1285" s="2">
        <f t="shared" si="80"/>
        <v>9.7976119402985091</v>
      </c>
      <c r="H1285" t="str">
        <f t="shared" si="81"/>
        <v>January</v>
      </c>
      <c r="I1285" t="str">
        <f t="shared" si="82"/>
        <v>Q1</v>
      </c>
      <c r="J1285" t="str">
        <f t="shared" si="83"/>
        <v>Large</v>
      </c>
    </row>
    <row r="1286" spans="1:10" x14ac:dyDescent="0.25">
      <c r="A1286" t="s">
        <v>38</v>
      </c>
      <c r="B1286" t="s">
        <v>15</v>
      </c>
      <c r="C1286" t="s">
        <v>35</v>
      </c>
      <c r="D1286" s="1">
        <v>45105</v>
      </c>
      <c r="E1286" s="2">
        <v>4008.93</v>
      </c>
      <c r="F1286">
        <v>301</v>
      </c>
      <c r="G1286" s="2">
        <f t="shared" si="80"/>
        <v>13.318704318936877</v>
      </c>
      <c r="H1286" t="str">
        <f t="shared" si="81"/>
        <v>June</v>
      </c>
      <c r="I1286" t="str">
        <f t="shared" si="82"/>
        <v>Q2</v>
      </c>
      <c r="J1286" t="str">
        <f t="shared" si="83"/>
        <v>Large</v>
      </c>
    </row>
    <row r="1287" spans="1:10" x14ac:dyDescent="0.25">
      <c r="A1287" t="s">
        <v>40</v>
      </c>
      <c r="B1287" t="s">
        <v>7</v>
      </c>
      <c r="C1287" t="s">
        <v>52</v>
      </c>
      <c r="D1287" s="1">
        <v>44987</v>
      </c>
      <c r="E1287" s="2">
        <v>4679.0600000000004</v>
      </c>
      <c r="F1287">
        <v>43</v>
      </c>
      <c r="G1287" s="2">
        <f t="shared" si="80"/>
        <v>108.81534883720931</v>
      </c>
      <c r="H1287" t="str">
        <f t="shared" si="81"/>
        <v>March</v>
      </c>
      <c r="I1287" t="str">
        <f t="shared" si="82"/>
        <v>Q1</v>
      </c>
      <c r="J1287" t="str">
        <f t="shared" si="83"/>
        <v>Large</v>
      </c>
    </row>
    <row r="1288" spans="1:10" x14ac:dyDescent="0.25">
      <c r="A1288" t="s">
        <v>46</v>
      </c>
      <c r="B1288" t="s">
        <v>15</v>
      </c>
      <c r="C1288" t="s">
        <v>20</v>
      </c>
      <c r="D1288" s="1">
        <v>45073</v>
      </c>
      <c r="E1288" s="2">
        <v>3446.84</v>
      </c>
      <c r="F1288">
        <v>28</v>
      </c>
      <c r="G1288" s="2">
        <f t="shared" si="80"/>
        <v>123.10142857142857</v>
      </c>
      <c r="H1288" t="str">
        <f t="shared" si="81"/>
        <v>May</v>
      </c>
      <c r="I1288" t="str">
        <f t="shared" si="82"/>
        <v>Q2</v>
      </c>
      <c r="J1288" t="str">
        <f t="shared" si="83"/>
        <v>Large</v>
      </c>
    </row>
    <row r="1289" spans="1:10" x14ac:dyDescent="0.25">
      <c r="A1289" t="s">
        <v>43</v>
      </c>
      <c r="B1289" t="s">
        <v>26</v>
      </c>
      <c r="C1289" t="s">
        <v>47</v>
      </c>
      <c r="D1289" s="1">
        <v>45107</v>
      </c>
      <c r="E1289" s="2">
        <v>11884.52</v>
      </c>
      <c r="F1289">
        <v>82</v>
      </c>
      <c r="G1289" s="2">
        <f t="shared" si="80"/>
        <v>144.93317073170732</v>
      </c>
      <c r="H1289" t="str">
        <f t="shared" si="81"/>
        <v>June</v>
      </c>
      <c r="I1289" t="str">
        <f t="shared" si="82"/>
        <v>Q2</v>
      </c>
      <c r="J1289" t="str">
        <f t="shared" si="83"/>
        <v>Large</v>
      </c>
    </row>
    <row r="1290" spans="1:10" x14ac:dyDescent="0.25">
      <c r="A1290" t="s">
        <v>25</v>
      </c>
      <c r="B1290" t="s">
        <v>29</v>
      </c>
      <c r="C1290" t="s">
        <v>13</v>
      </c>
      <c r="D1290" s="1">
        <v>45084</v>
      </c>
      <c r="E1290" s="2">
        <v>2167.19</v>
      </c>
      <c r="F1290">
        <v>85</v>
      </c>
      <c r="G1290" s="2">
        <f t="shared" si="80"/>
        <v>25.496352941176472</v>
      </c>
      <c r="H1290" t="str">
        <f t="shared" si="81"/>
        <v>June</v>
      </c>
      <c r="I1290" t="str">
        <f t="shared" si="82"/>
        <v>Q2</v>
      </c>
      <c r="J1290" t="str">
        <f t="shared" si="83"/>
        <v>Large</v>
      </c>
    </row>
    <row r="1291" spans="1:10" x14ac:dyDescent="0.25">
      <c r="A1291" t="s">
        <v>41</v>
      </c>
      <c r="B1291" t="s">
        <v>26</v>
      </c>
      <c r="C1291" t="s">
        <v>58</v>
      </c>
      <c r="D1291" s="1">
        <v>45058</v>
      </c>
      <c r="E1291" s="2">
        <v>4199.84</v>
      </c>
      <c r="F1291">
        <v>107</v>
      </c>
      <c r="G1291" s="2">
        <f t="shared" si="80"/>
        <v>39.250841121495327</v>
      </c>
      <c r="H1291" t="str">
        <f t="shared" si="81"/>
        <v>May</v>
      </c>
      <c r="I1291" t="str">
        <f t="shared" si="82"/>
        <v>Q2</v>
      </c>
      <c r="J1291" t="str">
        <f t="shared" si="83"/>
        <v>Large</v>
      </c>
    </row>
    <row r="1292" spans="1:10" x14ac:dyDescent="0.25">
      <c r="A1292" t="s">
        <v>25</v>
      </c>
      <c r="B1292" t="s">
        <v>21</v>
      </c>
      <c r="C1292" t="s">
        <v>51</v>
      </c>
      <c r="D1292" s="1">
        <v>45136</v>
      </c>
      <c r="E1292" s="2">
        <v>7358.7</v>
      </c>
      <c r="F1292">
        <v>68</v>
      </c>
      <c r="G1292" s="2">
        <f t="shared" si="80"/>
        <v>108.21617647058824</v>
      </c>
      <c r="H1292" t="str">
        <f t="shared" si="81"/>
        <v>July</v>
      </c>
      <c r="I1292" t="str">
        <f t="shared" si="82"/>
        <v>Q3</v>
      </c>
      <c r="J1292" t="str">
        <f t="shared" si="83"/>
        <v>Large</v>
      </c>
    </row>
    <row r="1293" spans="1:10" x14ac:dyDescent="0.25">
      <c r="A1293" t="s">
        <v>43</v>
      </c>
      <c r="B1293" t="s">
        <v>7</v>
      </c>
      <c r="C1293" t="s">
        <v>44</v>
      </c>
      <c r="D1293" s="1">
        <v>45141</v>
      </c>
      <c r="E1293" s="2">
        <v>7870.09</v>
      </c>
      <c r="F1293">
        <v>274</v>
      </c>
      <c r="G1293" s="2">
        <f t="shared" si="80"/>
        <v>28.722956204379564</v>
      </c>
      <c r="H1293" t="str">
        <f t="shared" si="81"/>
        <v>August</v>
      </c>
      <c r="I1293" t="str">
        <f t="shared" si="82"/>
        <v>Q3</v>
      </c>
      <c r="J1293" t="str">
        <f t="shared" si="83"/>
        <v>Large</v>
      </c>
    </row>
    <row r="1294" spans="1:10" x14ac:dyDescent="0.25">
      <c r="A1294" t="s">
        <v>25</v>
      </c>
      <c r="B1294" t="s">
        <v>10</v>
      </c>
      <c r="C1294" t="s">
        <v>56</v>
      </c>
      <c r="D1294" s="1">
        <v>45156</v>
      </c>
      <c r="E1294" s="2">
        <v>7454.25</v>
      </c>
      <c r="F1294">
        <v>148</v>
      </c>
      <c r="G1294" s="2">
        <f t="shared" si="80"/>
        <v>50.366554054054056</v>
      </c>
      <c r="H1294" t="str">
        <f t="shared" si="81"/>
        <v>August</v>
      </c>
      <c r="I1294" t="str">
        <f t="shared" si="82"/>
        <v>Q3</v>
      </c>
      <c r="J1294" t="str">
        <f t="shared" si="83"/>
        <v>Large</v>
      </c>
    </row>
    <row r="1295" spans="1:10" x14ac:dyDescent="0.25">
      <c r="A1295" t="s">
        <v>9</v>
      </c>
      <c r="B1295" t="s">
        <v>21</v>
      </c>
      <c r="C1295" t="s">
        <v>16</v>
      </c>
      <c r="D1295" s="1">
        <v>45091</v>
      </c>
      <c r="E1295" s="2">
        <v>3112.3</v>
      </c>
      <c r="F1295">
        <v>41</v>
      </c>
      <c r="G1295" s="2">
        <f t="shared" si="80"/>
        <v>75.909756097560987</v>
      </c>
      <c r="H1295" t="str">
        <f t="shared" si="81"/>
        <v>June</v>
      </c>
      <c r="I1295" t="str">
        <f t="shared" si="82"/>
        <v>Q2</v>
      </c>
      <c r="J1295" t="str">
        <f t="shared" si="83"/>
        <v>Large</v>
      </c>
    </row>
    <row r="1296" spans="1:10" x14ac:dyDescent="0.25">
      <c r="A1296" t="s">
        <v>34</v>
      </c>
      <c r="B1296" t="s">
        <v>7</v>
      </c>
      <c r="C1296" t="s">
        <v>44</v>
      </c>
      <c r="D1296" s="1">
        <v>45107</v>
      </c>
      <c r="E1296" s="2">
        <v>6901.22</v>
      </c>
      <c r="F1296">
        <v>80</v>
      </c>
      <c r="G1296" s="2">
        <f t="shared" si="80"/>
        <v>86.265250000000009</v>
      </c>
      <c r="H1296" t="str">
        <f t="shared" si="81"/>
        <v>June</v>
      </c>
      <c r="I1296" t="str">
        <f t="shared" si="82"/>
        <v>Q2</v>
      </c>
      <c r="J1296" t="str">
        <f t="shared" si="83"/>
        <v>Large</v>
      </c>
    </row>
    <row r="1297" spans="1:10" x14ac:dyDescent="0.25">
      <c r="A1297" t="s">
        <v>50</v>
      </c>
      <c r="B1297" t="s">
        <v>21</v>
      </c>
      <c r="C1297" t="s">
        <v>8</v>
      </c>
      <c r="D1297" s="1">
        <v>45090</v>
      </c>
      <c r="E1297" s="2">
        <v>1178</v>
      </c>
      <c r="F1297">
        <v>199</v>
      </c>
      <c r="G1297" s="2">
        <f t="shared" si="80"/>
        <v>5.9195979899497484</v>
      </c>
      <c r="H1297" t="str">
        <f t="shared" si="81"/>
        <v>June</v>
      </c>
      <c r="I1297" t="str">
        <f t="shared" si="82"/>
        <v>Q2</v>
      </c>
      <c r="J1297" t="str">
        <f t="shared" si="83"/>
        <v>Large</v>
      </c>
    </row>
    <row r="1298" spans="1:10" x14ac:dyDescent="0.25">
      <c r="A1298" t="s">
        <v>55</v>
      </c>
      <c r="B1298" t="s">
        <v>7</v>
      </c>
      <c r="C1298" t="s">
        <v>27</v>
      </c>
      <c r="D1298" s="1">
        <v>45043</v>
      </c>
      <c r="E1298" s="2">
        <v>14953.83</v>
      </c>
      <c r="F1298">
        <v>53</v>
      </c>
      <c r="G1298" s="2">
        <f t="shared" si="80"/>
        <v>282.14773584905663</v>
      </c>
      <c r="H1298" t="str">
        <f t="shared" si="81"/>
        <v>April</v>
      </c>
      <c r="I1298" t="str">
        <f t="shared" si="82"/>
        <v>Q2</v>
      </c>
      <c r="J1298" t="str">
        <f t="shared" si="83"/>
        <v>Large</v>
      </c>
    </row>
    <row r="1299" spans="1:10" x14ac:dyDescent="0.25">
      <c r="A1299" t="s">
        <v>14</v>
      </c>
      <c r="B1299" t="s">
        <v>15</v>
      </c>
      <c r="C1299" t="s">
        <v>44</v>
      </c>
      <c r="D1299" s="1">
        <v>45134</v>
      </c>
      <c r="E1299" s="2">
        <v>3958.57</v>
      </c>
      <c r="F1299">
        <v>33</v>
      </c>
      <c r="G1299" s="2">
        <f t="shared" si="80"/>
        <v>119.95666666666668</v>
      </c>
      <c r="H1299" t="str">
        <f t="shared" si="81"/>
        <v>July</v>
      </c>
      <c r="I1299" t="str">
        <f t="shared" si="82"/>
        <v>Q3</v>
      </c>
      <c r="J1299" t="str">
        <f t="shared" si="83"/>
        <v>Large</v>
      </c>
    </row>
    <row r="1300" spans="1:10" x14ac:dyDescent="0.25">
      <c r="A1300" t="s">
        <v>28</v>
      </c>
      <c r="B1300" t="s">
        <v>29</v>
      </c>
      <c r="C1300" t="s">
        <v>11</v>
      </c>
      <c r="D1300" s="1">
        <v>45036</v>
      </c>
      <c r="E1300" s="2">
        <v>1639.01</v>
      </c>
      <c r="F1300">
        <v>430</v>
      </c>
      <c r="G1300" s="2">
        <f t="shared" si="80"/>
        <v>3.8116511627906977</v>
      </c>
      <c r="H1300" t="str">
        <f t="shared" si="81"/>
        <v>April</v>
      </c>
      <c r="I1300" t="str">
        <f t="shared" si="82"/>
        <v>Q2</v>
      </c>
      <c r="J1300" t="str">
        <f t="shared" si="83"/>
        <v>Large</v>
      </c>
    </row>
    <row r="1301" spans="1:10" x14ac:dyDescent="0.25">
      <c r="A1301" t="s">
        <v>24</v>
      </c>
      <c r="B1301" t="s">
        <v>10</v>
      </c>
      <c r="C1301" t="s">
        <v>39</v>
      </c>
      <c r="D1301" s="1">
        <v>44930</v>
      </c>
      <c r="E1301" s="2">
        <v>8586.0400000000009</v>
      </c>
      <c r="F1301">
        <v>144</v>
      </c>
      <c r="G1301" s="2">
        <f t="shared" si="80"/>
        <v>59.625277777777782</v>
      </c>
      <c r="H1301" t="str">
        <f t="shared" si="81"/>
        <v>January</v>
      </c>
      <c r="I1301" t="str">
        <f t="shared" si="82"/>
        <v>Q1</v>
      </c>
      <c r="J1301" t="str">
        <f t="shared" si="83"/>
        <v>Large</v>
      </c>
    </row>
    <row r="1302" spans="1:10" x14ac:dyDescent="0.25">
      <c r="A1302" t="s">
        <v>55</v>
      </c>
      <c r="B1302" t="s">
        <v>15</v>
      </c>
      <c r="C1302" t="s">
        <v>8</v>
      </c>
      <c r="D1302" s="1">
        <v>44978</v>
      </c>
      <c r="E1302" s="2">
        <v>10000.219999999999</v>
      </c>
      <c r="F1302">
        <v>98</v>
      </c>
      <c r="G1302" s="2">
        <f t="shared" si="80"/>
        <v>102.04306122448979</v>
      </c>
      <c r="H1302" t="str">
        <f t="shared" si="81"/>
        <v>February</v>
      </c>
      <c r="I1302" t="str">
        <f t="shared" si="82"/>
        <v>Q1</v>
      </c>
      <c r="J1302" t="str">
        <f t="shared" si="83"/>
        <v>Large</v>
      </c>
    </row>
    <row r="1303" spans="1:10" x14ac:dyDescent="0.25">
      <c r="A1303" t="s">
        <v>31</v>
      </c>
      <c r="B1303" t="s">
        <v>15</v>
      </c>
      <c r="C1303" t="s">
        <v>44</v>
      </c>
      <c r="D1303" s="1">
        <v>44931</v>
      </c>
      <c r="E1303" s="2">
        <v>8448.39</v>
      </c>
      <c r="F1303">
        <v>52</v>
      </c>
      <c r="G1303" s="2">
        <f t="shared" si="80"/>
        <v>162.46903846153845</v>
      </c>
      <c r="H1303" t="str">
        <f t="shared" si="81"/>
        <v>January</v>
      </c>
      <c r="I1303" t="str">
        <f t="shared" si="82"/>
        <v>Q1</v>
      </c>
      <c r="J1303" t="str">
        <f t="shared" si="83"/>
        <v>Large</v>
      </c>
    </row>
    <row r="1304" spans="1:10" x14ac:dyDescent="0.25">
      <c r="A1304" t="s">
        <v>34</v>
      </c>
      <c r="B1304" t="s">
        <v>10</v>
      </c>
      <c r="C1304" t="s">
        <v>32</v>
      </c>
      <c r="D1304" s="1">
        <v>45122</v>
      </c>
      <c r="E1304" s="2">
        <v>6984.74</v>
      </c>
      <c r="F1304">
        <v>51</v>
      </c>
      <c r="G1304" s="2">
        <f t="shared" si="80"/>
        <v>136.95568627450979</v>
      </c>
      <c r="H1304" t="str">
        <f t="shared" si="81"/>
        <v>July</v>
      </c>
      <c r="I1304" t="str">
        <f t="shared" si="82"/>
        <v>Q3</v>
      </c>
      <c r="J1304" t="str">
        <f t="shared" si="83"/>
        <v>Large</v>
      </c>
    </row>
    <row r="1305" spans="1:10" x14ac:dyDescent="0.25">
      <c r="A1305" t="s">
        <v>23</v>
      </c>
      <c r="B1305" t="s">
        <v>15</v>
      </c>
      <c r="C1305" t="s">
        <v>52</v>
      </c>
      <c r="D1305" s="1">
        <v>45071</v>
      </c>
      <c r="E1305" s="2">
        <v>5641.54</v>
      </c>
      <c r="F1305">
        <v>61</v>
      </c>
      <c r="G1305" s="2">
        <f t="shared" si="80"/>
        <v>92.484262295081962</v>
      </c>
      <c r="H1305" t="str">
        <f t="shared" si="81"/>
        <v>May</v>
      </c>
      <c r="I1305" t="str">
        <f t="shared" si="82"/>
        <v>Q2</v>
      </c>
      <c r="J1305" t="str">
        <f t="shared" si="83"/>
        <v>Large</v>
      </c>
    </row>
    <row r="1306" spans="1:10" x14ac:dyDescent="0.25">
      <c r="A1306" t="s">
        <v>31</v>
      </c>
      <c r="B1306" t="s">
        <v>29</v>
      </c>
      <c r="C1306" t="s">
        <v>30</v>
      </c>
      <c r="D1306" s="1">
        <v>45036</v>
      </c>
      <c r="E1306" s="2">
        <v>3850.87</v>
      </c>
      <c r="F1306">
        <v>372</v>
      </c>
      <c r="G1306" s="2">
        <f t="shared" si="80"/>
        <v>10.351801075268817</v>
      </c>
      <c r="H1306" t="str">
        <f t="shared" si="81"/>
        <v>April</v>
      </c>
      <c r="I1306" t="str">
        <f t="shared" si="82"/>
        <v>Q2</v>
      </c>
      <c r="J1306" t="str">
        <f t="shared" si="83"/>
        <v>Large</v>
      </c>
    </row>
    <row r="1307" spans="1:10" x14ac:dyDescent="0.25">
      <c r="A1307" t="s">
        <v>12</v>
      </c>
      <c r="B1307" t="s">
        <v>26</v>
      </c>
      <c r="C1307" t="s">
        <v>18</v>
      </c>
      <c r="D1307" s="1">
        <v>45079</v>
      </c>
      <c r="E1307" s="2">
        <v>885.68</v>
      </c>
      <c r="F1307">
        <v>240</v>
      </c>
      <c r="G1307" s="2">
        <f t="shared" si="80"/>
        <v>3.6903333333333332</v>
      </c>
      <c r="H1307" t="str">
        <f t="shared" si="81"/>
        <v>June</v>
      </c>
      <c r="I1307" t="str">
        <f t="shared" si="82"/>
        <v>Q2</v>
      </c>
      <c r="J1307" t="str">
        <f t="shared" si="83"/>
        <v>Large</v>
      </c>
    </row>
    <row r="1308" spans="1:10" x14ac:dyDescent="0.25">
      <c r="A1308" t="s">
        <v>33</v>
      </c>
      <c r="B1308" t="s">
        <v>7</v>
      </c>
      <c r="C1308" t="s">
        <v>16</v>
      </c>
      <c r="D1308" s="1">
        <v>45059</v>
      </c>
      <c r="E1308" s="2">
        <v>21251.67</v>
      </c>
      <c r="F1308">
        <v>91</v>
      </c>
      <c r="G1308" s="2">
        <f t="shared" si="80"/>
        <v>233.53483516483516</v>
      </c>
      <c r="H1308" t="str">
        <f t="shared" si="81"/>
        <v>May</v>
      </c>
      <c r="I1308" t="str">
        <f t="shared" si="82"/>
        <v>Q2</v>
      </c>
      <c r="J1308" t="str">
        <f t="shared" si="83"/>
        <v>Large</v>
      </c>
    </row>
    <row r="1309" spans="1:10" x14ac:dyDescent="0.25">
      <c r="A1309" t="s">
        <v>34</v>
      </c>
      <c r="B1309" t="s">
        <v>21</v>
      </c>
      <c r="C1309" t="s">
        <v>56</v>
      </c>
      <c r="D1309" s="1">
        <v>45141</v>
      </c>
      <c r="E1309" s="2">
        <v>1452.61</v>
      </c>
      <c r="F1309">
        <v>142</v>
      </c>
      <c r="G1309" s="2">
        <f t="shared" si="80"/>
        <v>10.229647887323942</v>
      </c>
      <c r="H1309" t="str">
        <f t="shared" si="81"/>
        <v>August</v>
      </c>
      <c r="I1309" t="str">
        <f t="shared" si="82"/>
        <v>Q3</v>
      </c>
      <c r="J1309" t="str">
        <f t="shared" si="83"/>
        <v>Large</v>
      </c>
    </row>
    <row r="1310" spans="1:10" x14ac:dyDescent="0.25">
      <c r="A1310" t="s">
        <v>34</v>
      </c>
      <c r="B1310" t="s">
        <v>15</v>
      </c>
      <c r="C1310" t="s">
        <v>37</v>
      </c>
      <c r="D1310" s="1">
        <v>45071</v>
      </c>
      <c r="E1310" s="2">
        <v>793.17</v>
      </c>
      <c r="F1310">
        <v>400</v>
      </c>
      <c r="G1310" s="2">
        <f t="shared" si="80"/>
        <v>1.9829249999999998</v>
      </c>
      <c r="H1310" t="str">
        <f t="shared" si="81"/>
        <v>May</v>
      </c>
      <c r="I1310" t="str">
        <f t="shared" si="82"/>
        <v>Q2</v>
      </c>
      <c r="J1310" t="str">
        <f t="shared" si="83"/>
        <v>Large</v>
      </c>
    </row>
    <row r="1311" spans="1:10" x14ac:dyDescent="0.25">
      <c r="A1311" t="s">
        <v>9</v>
      </c>
      <c r="B1311" t="s">
        <v>7</v>
      </c>
      <c r="C1311" t="s">
        <v>51</v>
      </c>
      <c r="D1311" s="1">
        <v>45001</v>
      </c>
      <c r="E1311" s="2">
        <v>7152.22</v>
      </c>
      <c r="F1311">
        <v>83</v>
      </c>
      <c r="G1311" s="2">
        <f t="shared" si="80"/>
        <v>86.171325301204817</v>
      </c>
      <c r="H1311" t="str">
        <f t="shared" si="81"/>
        <v>March</v>
      </c>
      <c r="I1311" t="str">
        <f t="shared" si="82"/>
        <v>Q1</v>
      </c>
      <c r="J1311" t="str">
        <f t="shared" si="83"/>
        <v>Large</v>
      </c>
    </row>
    <row r="1312" spans="1:10" x14ac:dyDescent="0.25">
      <c r="A1312" t="s">
        <v>14</v>
      </c>
      <c r="B1312" t="s">
        <v>15</v>
      </c>
      <c r="C1312" t="s">
        <v>27</v>
      </c>
      <c r="D1312" s="1">
        <v>45111</v>
      </c>
      <c r="E1312" s="2">
        <v>3364.44</v>
      </c>
      <c r="F1312">
        <v>126</v>
      </c>
      <c r="G1312" s="2">
        <f t="shared" si="80"/>
        <v>26.701904761904764</v>
      </c>
      <c r="H1312" t="str">
        <f t="shared" si="81"/>
        <v>July</v>
      </c>
      <c r="I1312" t="str">
        <f t="shared" si="82"/>
        <v>Q3</v>
      </c>
      <c r="J1312" t="str">
        <f t="shared" si="83"/>
        <v>Large</v>
      </c>
    </row>
    <row r="1313" spans="1:10" x14ac:dyDescent="0.25">
      <c r="A1313" t="s">
        <v>6</v>
      </c>
      <c r="B1313" t="s">
        <v>10</v>
      </c>
      <c r="C1313" t="s">
        <v>22</v>
      </c>
      <c r="D1313" s="1">
        <v>45112</v>
      </c>
      <c r="E1313" s="2">
        <v>3470.6</v>
      </c>
      <c r="F1313">
        <v>129</v>
      </c>
      <c r="G1313" s="2">
        <f t="shared" si="80"/>
        <v>26.903875968992246</v>
      </c>
      <c r="H1313" t="str">
        <f t="shared" si="81"/>
        <v>July</v>
      </c>
      <c r="I1313" t="str">
        <f t="shared" si="82"/>
        <v>Q3</v>
      </c>
      <c r="J1313" t="str">
        <f t="shared" si="83"/>
        <v>Large</v>
      </c>
    </row>
    <row r="1314" spans="1:10" x14ac:dyDescent="0.25">
      <c r="A1314" t="s">
        <v>53</v>
      </c>
      <c r="B1314" t="s">
        <v>26</v>
      </c>
      <c r="C1314" t="s">
        <v>20</v>
      </c>
      <c r="D1314" s="1">
        <v>45000</v>
      </c>
      <c r="E1314" s="2">
        <v>4676.32</v>
      </c>
      <c r="F1314">
        <v>440</v>
      </c>
      <c r="G1314" s="2">
        <f t="shared" si="80"/>
        <v>10.628</v>
      </c>
      <c r="H1314" t="str">
        <f t="shared" si="81"/>
        <v>March</v>
      </c>
      <c r="I1314" t="str">
        <f t="shared" si="82"/>
        <v>Q1</v>
      </c>
      <c r="J1314" t="str">
        <f t="shared" si="83"/>
        <v>Large</v>
      </c>
    </row>
    <row r="1315" spans="1:10" x14ac:dyDescent="0.25">
      <c r="A1315" t="s">
        <v>25</v>
      </c>
      <c r="B1315" t="s">
        <v>7</v>
      </c>
      <c r="C1315" t="s">
        <v>51</v>
      </c>
      <c r="D1315" s="1">
        <v>45160</v>
      </c>
      <c r="E1315" s="2">
        <v>6323.45</v>
      </c>
      <c r="F1315">
        <v>70</v>
      </c>
      <c r="G1315" s="2">
        <f t="shared" si="80"/>
        <v>90.334999999999994</v>
      </c>
      <c r="H1315" t="str">
        <f t="shared" si="81"/>
        <v>August</v>
      </c>
      <c r="I1315" t="str">
        <f t="shared" si="82"/>
        <v>Q3</v>
      </c>
      <c r="J1315" t="str">
        <f t="shared" si="83"/>
        <v>Large</v>
      </c>
    </row>
    <row r="1316" spans="1:10" x14ac:dyDescent="0.25">
      <c r="A1316" t="s">
        <v>55</v>
      </c>
      <c r="B1316" t="s">
        <v>15</v>
      </c>
      <c r="C1316" t="s">
        <v>58</v>
      </c>
      <c r="D1316" s="1">
        <v>44938</v>
      </c>
      <c r="E1316" s="2">
        <v>3252.7</v>
      </c>
      <c r="F1316">
        <v>119</v>
      </c>
      <c r="G1316" s="2">
        <f t="shared" si="80"/>
        <v>27.333613445378148</v>
      </c>
      <c r="H1316" t="str">
        <f t="shared" si="81"/>
        <v>January</v>
      </c>
      <c r="I1316" t="str">
        <f t="shared" si="82"/>
        <v>Q1</v>
      </c>
      <c r="J1316" t="str">
        <f t="shared" si="83"/>
        <v>Large</v>
      </c>
    </row>
    <row r="1317" spans="1:10" x14ac:dyDescent="0.25">
      <c r="A1317" t="s">
        <v>33</v>
      </c>
      <c r="B1317" t="s">
        <v>7</v>
      </c>
      <c r="C1317" t="s">
        <v>56</v>
      </c>
      <c r="D1317" s="1">
        <v>45087</v>
      </c>
      <c r="E1317" s="2">
        <v>254.16</v>
      </c>
      <c r="F1317">
        <v>161</v>
      </c>
      <c r="G1317" s="2">
        <f t="shared" si="80"/>
        <v>1.5786335403726708</v>
      </c>
      <c r="H1317" t="str">
        <f t="shared" si="81"/>
        <v>June</v>
      </c>
      <c r="I1317" t="str">
        <f t="shared" si="82"/>
        <v>Q2</v>
      </c>
      <c r="J1317" t="str">
        <f t="shared" si="83"/>
        <v>Small</v>
      </c>
    </row>
    <row r="1318" spans="1:10" x14ac:dyDescent="0.25">
      <c r="A1318" t="s">
        <v>41</v>
      </c>
      <c r="B1318" t="s">
        <v>15</v>
      </c>
      <c r="C1318" t="s">
        <v>13</v>
      </c>
      <c r="D1318" s="1">
        <v>45010</v>
      </c>
      <c r="E1318" s="2">
        <v>6127.37</v>
      </c>
      <c r="F1318">
        <v>299</v>
      </c>
      <c r="G1318" s="2">
        <f t="shared" si="80"/>
        <v>20.492876254180601</v>
      </c>
      <c r="H1318" t="str">
        <f t="shared" si="81"/>
        <v>March</v>
      </c>
      <c r="I1318" t="str">
        <f t="shared" si="82"/>
        <v>Q1</v>
      </c>
      <c r="J1318" t="str">
        <f t="shared" si="83"/>
        <v>Large</v>
      </c>
    </row>
    <row r="1319" spans="1:10" x14ac:dyDescent="0.25">
      <c r="A1319" t="s">
        <v>24</v>
      </c>
      <c r="B1319" t="s">
        <v>10</v>
      </c>
      <c r="C1319" t="s">
        <v>47</v>
      </c>
      <c r="D1319" s="1">
        <v>45134</v>
      </c>
      <c r="E1319" s="2">
        <v>3791.66</v>
      </c>
      <c r="F1319">
        <v>100</v>
      </c>
      <c r="G1319" s="2">
        <f t="shared" si="80"/>
        <v>37.916599999999995</v>
      </c>
      <c r="H1319" t="str">
        <f t="shared" si="81"/>
        <v>July</v>
      </c>
      <c r="I1319" t="str">
        <f t="shared" si="82"/>
        <v>Q3</v>
      </c>
      <c r="J1319" t="str">
        <f t="shared" si="83"/>
        <v>Large</v>
      </c>
    </row>
    <row r="1320" spans="1:10" x14ac:dyDescent="0.25">
      <c r="A1320" t="s">
        <v>40</v>
      </c>
      <c r="B1320" t="s">
        <v>7</v>
      </c>
      <c r="C1320" t="s">
        <v>57</v>
      </c>
      <c r="D1320" s="1">
        <v>45031</v>
      </c>
      <c r="E1320" s="2">
        <v>17059.689999999999</v>
      </c>
      <c r="F1320">
        <v>456</v>
      </c>
      <c r="G1320" s="2">
        <f t="shared" si="80"/>
        <v>37.411600877192981</v>
      </c>
      <c r="H1320" t="str">
        <f t="shared" si="81"/>
        <v>April</v>
      </c>
      <c r="I1320" t="str">
        <f t="shared" si="82"/>
        <v>Q2</v>
      </c>
      <c r="J1320" t="str">
        <f t="shared" si="83"/>
        <v>Large</v>
      </c>
    </row>
    <row r="1321" spans="1:10" x14ac:dyDescent="0.25">
      <c r="A1321" t="s">
        <v>36</v>
      </c>
      <c r="B1321" t="s">
        <v>10</v>
      </c>
      <c r="C1321" t="s">
        <v>27</v>
      </c>
      <c r="D1321" s="1">
        <v>45104</v>
      </c>
      <c r="E1321" s="2">
        <v>4154.4399999999996</v>
      </c>
      <c r="F1321">
        <v>18</v>
      </c>
      <c r="G1321" s="2">
        <f t="shared" si="80"/>
        <v>230.80222222222221</v>
      </c>
      <c r="H1321" t="str">
        <f t="shared" si="81"/>
        <v>June</v>
      </c>
      <c r="I1321" t="str">
        <f t="shared" si="82"/>
        <v>Q2</v>
      </c>
      <c r="J1321" t="str">
        <f t="shared" si="83"/>
        <v>Large</v>
      </c>
    </row>
    <row r="1322" spans="1:10" x14ac:dyDescent="0.25">
      <c r="A1322" t="s">
        <v>6</v>
      </c>
      <c r="B1322" t="s">
        <v>7</v>
      </c>
      <c r="C1322" t="s">
        <v>58</v>
      </c>
      <c r="D1322" s="1">
        <v>45030</v>
      </c>
      <c r="E1322" s="2">
        <v>6168.51</v>
      </c>
      <c r="F1322">
        <v>280</v>
      </c>
      <c r="G1322" s="2">
        <f t="shared" si="80"/>
        <v>22.030392857142857</v>
      </c>
      <c r="H1322" t="str">
        <f t="shared" si="81"/>
        <v>April</v>
      </c>
      <c r="I1322" t="str">
        <f t="shared" si="82"/>
        <v>Q2</v>
      </c>
      <c r="J1322" t="str">
        <f t="shared" si="83"/>
        <v>Large</v>
      </c>
    </row>
    <row r="1323" spans="1:10" x14ac:dyDescent="0.25">
      <c r="A1323" t="s">
        <v>40</v>
      </c>
      <c r="B1323" t="s">
        <v>15</v>
      </c>
      <c r="C1323" t="s">
        <v>45</v>
      </c>
      <c r="D1323" s="1">
        <v>45000</v>
      </c>
      <c r="E1323" s="2">
        <v>7984.45</v>
      </c>
      <c r="F1323">
        <v>95</v>
      </c>
      <c r="G1323" s="2">
        <f t="shared" si="80"/>
        <v>84.046842105263153</v>
      </c>
      <c r="H1323" t="str">
        <f t="shared" si="81"/>
        <v>March</v>
      </c>
      <c r="I1323" t="str">
        <f t="shared" si="82"/>
        <v>Q1</v>
      </c>
      <c r="J1323" t="str">
        <f t="shared" si="83"/>
        <v>Large</v>
      </c>
    </row>
    <row r="1324" spans="1:10" x14ac:dyDescent="0.25">
      <c r="A1324" t="s">
        <v>53</v>
      </c>
      <c r="B1324" t="s">
        <v>26</v>
      </c>
      <c r="C1324" t="s">
        <v>30</v>
      </c>
      <c r="D1324" s="1">
        <v>45003</v>
      </c>
      <c r="E1324" s="2">
        <v>9108.33</v>
      </c>
      <c r="F1324">
        <v>213</v>
      </c>
      <c r="G1324" s="2">
        <f t="shared" si="80"/>
        <v>42.76211267605634</v>
      </c>
      <c r="H1324" t="str">
        <f t="shared" si="81"/>
        <v>March</v>
      </c>
      <c r="I1324" t="str">
        <f t="shared" si="82"/>
        <v>Q1</v>
      </c>
      <c r="J1324" t="str">
        <f t="shared" si="83"/>
        <v>Large</v>
      </c>
    </row>
    <row r="1325" spans="1:10" x14ac:dyDescent="0.25">
      <c r="A1325" t="s">
        <v>23</v>
      </c>
      <c r="B1325" t="s">
        <v>10</v>
      </c>
      <c r="C1325" t="s">
        <v>30</v>
      </c>
      <c r="D1325" s="1">
        <v>45045</v>
      </c>
      <c r="E1325" s="2">
        <v>1511.51</v>
      </c>
      <c r="F1325">
        <v>58</v>
      </c>
      <c r="G1325" s="2">
        <f t="shared" si="80"/>
        <v>26.060517241379308</v>
      </c>
      <c r="H1325" t="str">
        <f t="shared" si="81"/>
        <v>April</v>
      </c>
      <c r="I1325" t="str">
        <f t="shared" si="82"/>
        <v>Q2</v>
      </c>
      <c r="J1325" t="str">
        <f t="shared" si="83"/>
        <v>Large</v>
      </c>
    </row>
    <row r="1326" spans="1:10" x14ac:dyDescent="0.25">
      <c r="A1326" t="s">
        <v>28</v>
      </c>
      <c r="B1326" t="s">
        <v>21</v>
      </c>
      <c r="C1326" t="s">
        <v>44</v>
      </c>
      <c r="D1326" s="1">
        <v>44982</v>
      </c>
      <c r="E1326" s="2">
        <v>3364.28</v>
      </c>
      <c r="F1326">
        <v>265</v>
      </c>
      <c r="G1326" s="2">
        <f t="shared" si="80"/>
        <v>12.695396226415095</v>
      </c>
      <c r="H1326" t="str">
        <f t="shared" si="81"/>
        <v>February</v>
      </c>
      <c r="I1326" t="str">
        <f t="shared" si="82"/>
        <v>Q1</v>
      </c>
      <c r="J1326" t="str">
        <f t="shared" si="83"/>
        <v>Large</v>
      </c>
    </row>
    <row r="1327" spans="1:10" x14ac:dyDescent="0.25">
      <c r="A1327" t="s">
        <v>40</v>
      </c>
      <c r="B1327" t="s">
        <v>26</v>
      </c>
      <c r="C1327" t="s">
        <v>37</v>
      </c>
      <c r="D1327" s="1">
        <v>44987</v>
      </c>
      <c r="E1327" s="2">
        <v>934.49</v>
      </c>
      <c r="F1327">
        <v>54</v>
      </c>
      <c r="G1327" s="2">
        <f t="shared" si="80"/>
        <v>17.305370370370369</v>
      </c>
      <c r="H1327" t="str">
        <f t="shared" si="81"/>
        <v>March</v>
      </c>
      <c r="I1327" t="str">
        <f t="shared" si="82"/>
        <v>Q1</v>
      </c>
      <c r="J1327" t="str">
        <f t="shared" si="83"/>
        <v>Large</v>
      </c>
    </row>
    <row r="1328" spans="1:10" x14ac:dyDescent="0.25">
      <c r="A1328" t="s">
        <v>9</v>
      </c>
      <c r="B1328" t="s">
        <v>15</v>
      </c>
      <c r="C1328" t="s">
        <v>37</v>
      </c>
      <c r="D1328" s="1">
        <v>45097</v>
      </c>
      <c r="E1328" s="2">
        <v>8895.7000000000007</v>
      </c>
      <c r="F1328">
        <v>91</v>
      </c>
      <c r="G1328" s="2">
        <f t="shared" si="80"/>
        <v>97.754945054945068</v>
      </c>
      <c r="H1328" t="str">
        <f t="shared" si="81"/>
        <v>June</v>
      </c>
      <c r="I1328" t="str">
        <f t="shared" si="82"/>
        <v>Q2</v>
      </c>
      <c r="J1328" t="str">
        <f t="shared" si="83"/>
        <v>Large</v>
      </c>
    </row>
    <row r="1329" spans="1:10" x14ac:dyDescent="0.25">
      <c r="A1329" t="s">
        <v>34</v>
      </c>
      <c r="B1329" t="s">
        <v>29</v>
      </c>
      <c r="C1329" t="s">
        <v>44</v>
      </c>
      <c r="D1329" s="1">
        <v>45122</v>
      </c>
      <c r="E1329" s="2">
        <v>9957.2000000000007</v>
      </c>
      <c r="F1329">
        <v>185</v>
      </c>
      <c r="G1329" s="2">
        <f t="shared" si="80"/>
        <v>53.822702702702706</v>
      </c>
      <c r="H1329" t="str">
        <f t="shared" si="81"/>
        <v>July</v>
      </c>
      <c r="I1329" t="str">
        <f t="shared" si="82"/>
        <v>Q3</v>
      </c>
      <c r="J1329" t="str">
        <f t="shared" si="83"/>
        <v>Large</v>
      </c>
    </row>
    <row r="1330" spans="1:10" x14ac:dyDescent="0.25">
      <c r="A1330" t="s">
        <v>54</v>
      </c>
      <c r="B1330" t="s">
        <v>15</v>
      </c>
      <c r="C1330" t="s">
        <v>22</v>
      </c>
      <c r="D1330" s="1">
        <v>45058</v>
      </c>
      <c r="E1330" s="2">
        <v>3359.18</v>
      </c>
      <c r="F1330">
        <v>256</v>
      </c>
      <c r="G1330" s="2">
        <f t="shared" si="80"/>
        <v>13.121796874999999</v>
      </c>
      <c r="H1330" t="str">
        <f t="shared" si="81"/>
        <v>May</v>
      </c>
      <c r="I1330" t="str">
        <f t="shared" si="82"/>
        <v>Q2</v>
      </c>
      <c r="J1330" t="str">
        <f t="shared" si="83"/>
        <v>Large</v>
      </c>
    </row>
    <row r="1331" spans="1:10" x14ac:dyDescent="0.25">
      <c r="A1331" t="s">
        <v>28</v>
      </c>
      <c r="B1331" t="s">
        <v>21</v>
      </c>
      <c r="C1331" t="s">
        <v>35</v>
      </c>
      <c r="D1331" s="1">
        <v>45108</v>
      </c>
      <c r="E1331" s="2">
        <v>5098.29</v>
      </c>
      <c r="F1331">
        <v>276</v>
      </c>
      <c r="G1331" s="2">
        <f t="shared" si="80"/>
        <v>18.472065217391304</v>
      </c>
      <c r="H1331" t="str">
        <f t="shared" si="81"/>
        <v>July</v>
      </c>
      <c r="I1331" t="str">
        <f t="shared" si="82"/>
        <v>Q3</v>
      </c>
      <c r="J1331" t="str">
        <f t="shared" si="83"/>
        <v>Large</v>
      </c>
    </row>
    <row r="1332" spans="1:10" x14ac:dyDescent="0.25">
      <c r="A1332" t="s">
        <v>40</v>
      </c>
      <c r="B1332" t="s">
        <v>26</v>
      </c>
      <c r="C1332" t="s">
        <v>11</v>
      </c>
      <c r="D1332" s="1">
        <v>45146</v>
      </c>
      <c r="E1332" s="2">
        <v>398.28</v>
      </c>
      <c r="F1332">
        <v>52</v>
      </c>
      <c r="G1332" s="2">
        <f t="shared" si="80"/>
        <v>7.6592307692307688</v>
      </c>
      <c r="H1332" t="str">
        <f t="shared" si="81"/>
        <v>August</v>
      </c>
      <c r="I1332" t="str">
        <f t="shared" si="82"/>
        <v>Q3</v>
      </c>
      <c r="J1332" t="str">
        <f t="shared" si="83"/>
        <v>Small</v>
      </c>
    </row>
    <row r="1333" spans="1:10" x14ac:dyDescent="0.25">
      <c r="A1333" t="s">
        <v>53</v>
      </c>
      <c r="B1333" t="s">
        <v>15</v>
      </c>
      <c r="C1333" t="s">
        <v>22</v>
      </c>
      <c r="D1333" s="1">
        <v>45132</v>
      </c>
      <c r="E1333" s="2">
        <v>7473.14</v>
      </c>
      <c r="F1333">
        <v>6</v>
      </c>
      <c r="G1333" s="2">
        <f t="shared" si="80"/>
        <v>1245.5233333333333</v>
      </c>
      <c r="H1333" t="str">
        <f t="shared" si="81"/>
        <v>July</v>
      </c>
      <c r="I1333" t="str">
        <f t="shared" si="82"/>
        <v>Q3</v>
      </c>
      <c r="J1333" t="str">
        <f t="shared" si="83"/>
        <v>Large</v>
      </c>
    </row>
    <row r="1334" spans="1:10" x14ac:dyDescent="0.25">
      <c r="A1334" t="s">
        <v>46</v>
      </c>
      <c r="B1334" t="s">
        <v>7</v>
      </c>
      <c r="C1334" t="s">
        <v>32</v>
      </c>
      <c r="D1334" s="1">
        <v>45064</v>
      </c>
      <c r="E1334" s="2">
        <v>3638.66</v>
      </c>
      <c r="F1334">
        <v>59</v>
      </c>
      <c r="G1334" s="2">
        <f t="shared" si="80"/>
        <v>61.672203389830507</v>
      </c>
      <c r="H1334" t="str">
        <f t="shared" si="81"/>
        <v>May</v>
      </c>
      <c r="I1334" t="str">
        <f t="shared" si="82"/>
        <v>Q2</v>
      </c>
      <c r="J1334" t="str">
        <f t="shared" si="83"/>
        <v>Large</v>
      </c>
    </row>
    <row r="1335" spans="1:10" x14ac:dyDescent="0.25">
      <c r="A1335" t="s">
        <v>50</v>
      </c>
      <c r="B1335" t="s">
        <v>10</v>
      </c>
      <c r="C1335" t="s">
        <v>13</v>
      </c>
      <c r="D1335" s="1">
        <v>45122</v>
      </c>
      <c r="E1335" s="2">
        <v>12507.08</v>
      </c>
      <c r="F1335">
        <v>284</v>
      </c>
      <c r="G1335" s="2">
        <f t="shared" si="80"/>
        <v>44.039014084507045</v>
      </c>
      <c r="H1335" t="str">
        <f t="shared" si="81"/>
        <v>July</v>
      </c>
      <c r="I1335" t="str">
        <f t="shared" si="82"/>
        <v>Q3</v>
      </c>
      <c r="J1335" t="str">
        <f t="shared" si="83"/>
        <v>Large</v>
      </c>
    </row>
    <row r="1336" spans="1:10" x14ac:dyDescent="0.25">
      <c r="A1336" t="s">
        <v>38</v>
      </c>
      <c r="B1336" t="s">
        <v>10</v>
      </c>
      <c r="C1336" t="s">
        <v>58</v>
      </c>
      <c r="D1336" s="1">
        <v>45112</v>
      </c>
      <c r="E1336" s="2">
        <v>2393.79</v>
      </c>
      <c r="F1336">
        <v>48</v>
      </c>
      <c r="G1336" s="2">
        <f t="shared" si="80"/>
        <v>49.870624999999997</v>
      </c>
      <c r="H1336" t="str">
        <f t="shared" si="81"/>
        <v>July</v>
      </c>
      <c r="I1336" t="str">
        <f t="shared" si="82"/>
        <v>Q3</v>
      </c>
      <c r="J1336" t="str">
        <f t="shared" si="83"/>
        <v>Large</v>
      </c>
    </row>
    <row r="1337" spans="1:10" x14ac:dyDescent="0.25">
      <c r="A1337" t="s">
        <v>28</v>
      </c>
      <c r="B1337" t="s">
        <v>26</v>
      </c>
      <c r="C1337" t="s">
        <v>45</v>
      </c>
      <c r="D1337" s="1">
        <v>45111</v>
      </c>
      <c r="E1337" s="2">
        <v>6136.99</v>
      </c>
      <c r="F1337">
        <v>94</v>
      </c>
      <c r="G1337" s="2">
        <f t="shared" si="80"/>
        <v>65.287127659574466</v>
      </c>
      <c r="H1337" t="str">
        <f t="shared" si="81"/>
        <v>July</v>
      </c>
      <c r="I1337" t="str">
        <f t="shared" si="82"/>
        <v>Q3</v>
      </c>
      <c r="J1337" t="str">
        <f t="shared" si="83"/>
        <v>Large</v>
      </c>
    </row>
    <row r="1338" spans="1:10" x14ac:dyDescent="0.25">
      <c r="A1338" t="s">
        <v>54</v>
      </c>
      <c r="B1338" t="s">
        <v>7</v>
      </c>
      <c r="C1338" t="s">
        <v>58</v>
      </c>
      <c r="D1338" s="1">
        <v>45097</v>
      </c>
      <c r="E1338" s="2">
        <v>1264.43</v>
      </c>
      <c r="F1338">
        <v>232</v>
      </c>
      <c r="G1338" s="2">
        <f t="shared" si="80"/>
        <v>5.4501293103448276</v>
      </c>
      <c r="H1338" t="str">
        <f t="shared" si="81"/>
        <v>June</v>
      </c>
      <c r="I1338" t="str">
        <f t="shared" si="82"/>
        <v>Q2</v>
      </c>
      <c r="J1338" t="str">
        <f t="shared" si="83"/>
        <v>Large</v>
      </c>
    </row>
    <row r="1339" spans="1:10" x14ac:dyDescent="0.25">
      <c r="A1339" t="s">
        <v>19</v>
      </c>
      <c r="B1339" t="s">
        <v>15</v>
      </c>
      <c r="C1339" t="s">
        <v>47</v>
      </c>
      <c r="D1339" s="1">
        <v>44951</v>
      </c>
      <c r="E1339" s="2">
        <v>4101.26</v>
      </c>
      <c r="F1339">
        <v>425</v>
      </c>
      <c r="G1339" s="2">
        <f t="shared" si="80"/>
        <v>9.6500235294117651</v>
      </c>
      <c r="H1339" t="str">
        <f t="shared" si="81"/>
        <v>January</v>
      </c>
      <c r="I1339" t="str">
        <f t="shared" si="82"/>
        <v>Q1</v>
      </c>
      <c r="J1339" t="str">
        <f t="shared" si="83"/>
        <v>Large</v>
      </c>
    </row>
    <row r="1340" spans="1:10" x14ac:dyDescent="0.25">
      <c r="A1340" t="s">
        <v>41</v>
      </c>
      <c r="B1340" t="s">
        <v>21</v>
      </c>
      <c r="C1340" t="s">
        <v>39</v>
      </c>
      <c r="D1340" s="1">
        <v>45108</v>
      </c>
      <c r="E1340" s="2">
        <v>8106.88</v>
      </c>
      <c r="F1340">
        <v>40</v>
      </c>
      <c r="G1340" s="2">
        <f t="shared" si="80"/>
        <v>202.672</v>
      </c>
      <c r="H1340" t="str">
        <f t="shared" si="81"/>
        <v>July</v>
      </c>
      <c r="I1340" t="str">
        <f t="shared" si="82"/>
        <v>Q3</v>
      </c>
      <c r="J1340" t="str">
        <f t="shared" si="83"/>
        <v>Large</v>
      </c>
    </row>
    <row r="1341" spans="1:10" x14ac:dyDescent="0.25">
      <c r="A1341" t="s">
        <v>12</v>
      </c>
      <c r="B1341" t="s">
        <v>26</v>
      </c>
      <c r="C1341" t="s">
        <v>22</v>
      </c>
      <c r="D1341" s="1">
        <v>45029</v>
      </c>
      <c r="E1341" s="2">
        <v>2456.1</v>
      </c>
      <c r="F1341">
        <v>58</v>
      </c>
      <c r="G1341" s="2">
        <f t="shared" si="80"/>
        <v>42.346551724137932</v>
      </c>
      <c r="H1341" t="str">
        <f t="shared" si="81"/>
        <v>April</v>
      </c>
      <c r="I1341" t="str">
        <f t="shared" si="82"/>
        <v>Q2</v>
      </c>
      <c r="J1341" t="str">
        <f t="shared" si="83"/>
        <v>Large</v>
      </c>
    </row>
    <row r="1342" spans="1:10" x14ac:dyDescent="0.25">
      <c r="A1342" t="s">
        <v>34</v>
      </c>
      <c r="B1342" t="s">
        <v>7</v>
      </c>
      <c r="C1342" t="s">
        <v>16</v>
      </c>
      <c r="D1342" s="1">
        <v>45050</v>
      </c>
      <c r="E1342" s="2">
        <v>4726.6000000000004</v>
      </c>
      <c r="F1342">
        <v>75</v>
      </c>
      <c r="G1342" s="2">
        <f t="shared" si="80"/>
        <v>63.021333333333338</v>
      </c>
      <c r="H1342" t="str">
        <f t="shared" si="81"/>
        <v>May</v>
      </c>
      <c r="I1342" t="str">
        <f t="shared" si="82"/>
        <v>Q2</v>
      </c>
      <c r="J1342" t="str">
        <f t="shared" si="83"/>
        <v>Large</v>
      </c>
    </row>
    <row r="1343" spans="1:10" x14ac:dyDescent="0.25">
      <c r="A1343" t="s">
        <v>34</v>
      </c>
      <c r="B1343" t="s">
        <v>15</v>
      </c>
      <c r="C1343" t="s">
        <v>56</v>
      </c>
      <c r="D1343" s="1">
        <v>45142</v>
      </c>
      <c r="E1343" s="2">
        <v>3482.73</v>
      </c>
      <c r="F1343">
        <v>108</v>
      </c>
      <c r="G1343" s="2">
        <f t="shared" si="80"/>
        <v>32.247500000000002</v>
      </c>
      <c r="H1343" t="str">
        <f t="shared" si="81"/>
        <v>August</v>
      </c>
      <c r="I1343" t="str">
        <f t="shared" si="82"/>
        <v>Q3</v>
      </c>
      <c r="J1343" t="str">
        <f t="shared" si="83"/>
        <v>Large</v>
      </c>
    </row>
    <row r="1344" spans="1:10" x14ac:dyDescent="0.25">
      <c r="A1344" t="s">
        <v>34</v>
      </c>
      <c r="B1344" t="s">
        <v>10</v>
      </c>
      <c r="C1344" t="s">
        <v>58</v>
      </c>
      <c r="D1344" s="1">
        <v>45078</v>
      </c>
      <c r="E1344" s="2">
        <v>467.19</v>
      </c>
      <c r="F1344">
        <v>159</v>
      </c>
      <c r="G1344" s="2">
        <f t="shared" si="80"/>
        <v>2.9383018867924529</v>
      </c>
      <c r="H1344" t="str">
        <f t="shared" si="81"/>
        <v>June</v>
      </c>
      <c r="I1344" t="str">
        <f t="shared" si="82"/>
        <v>Q2</v>
      </c>
      <c r="J1344" t="str">
        <f t="shared" si="83"/>
        <v>Small</v>
      </c>
    </row>
    <row r="1345" spans="1:10" x14ac:dyDescent="0.25">
      <c r="A1345" t="s">
        <v>6</v>
      </c>
      <c r="B1345" t="s">
        <v>7</v>
      </c>
      <c r="C1345" t="s">
        <v>52</v>
      </c>
      <c r="D1345" s="1">
        <v>45038</v>
      </c>
      <c r="E1345" s="2">
        <v>4875.38</v>
      </c>
      <c r="F1345">
        <v>185</v>
      </c>
      <c r="G1345" s="2">
        <f t="shared" si="80"/>
        <v>26.353405405405407</v>
      </c>
      <c r="H1345" t="str">
        <f t="shared" si="81"/>
        <v>April</v>
      </c>
      <c r="I1345" t="str">
        <f t="shared" si="82"/>
        <v>Q2</v>
      </c>
      <c r="J1345" t="str">
        <f t="shared" si="83"/>
        <v>Large</v>
      </c>
    </row>
    <row r="1346" spans="1:10" x14ac:dyDescent="0.25">
      <c r="A1346" t="s">
        <v>41</v>
      </c>
      <c r="B1346" t="s">
        <v>26</v>
      </c>
      <c r="C1346" t="s">
        <v>22</v>
      </c>
      <c r="D1346" s="1">
        <v>45141</v>
      </c>
      <c r="E1346" s="2">
        <v>70.599999999999994</v>
      </c>
      <c r="F1346">
        <v>27</v>
      </c>
      <c r="G1346" s="2">
        <f t="shared" si="80"/>
        <v>2.6148148148148147</v>
      </c>
      <c r="H1346" t="str">
        <f t="shared" si="81"/>
        <v>August</v>
      </c>
      <c r="I1346" t="str">
        <f t="shared" si="82"/>
        <v>Q3</v>
      </c>
      <c r="J1346" t="str">
        <f t="shared" si="83"/>
        <v>Small</v>
      </c>
    </row>
    <row r="1347" spans="1:10" x14ac:dyDescent="0.25">
      <c r="A1347" t="s">
        <v>55</v>
      </c>
      <c r="B1347" t="s">
        <v>26</v>
      </c>
      <c r="C1347" t="s">
        <v>27</v>
      </c>
      <c r="D1347" s="1">
        <v>45087</v>
      </c>
      <c r="E1347" s="2">
        <v>1835.22</v>
      </c>
      <c r="F1347">
        <v>73</v>
      </c>
      <c r="G1347" s="2">
        <f t="shared" ref="G1347:G1410" si="84">E1347/F1347</f>
        <v>25.14</v>
      </c>
      <c r="H1347" t="str">
        <f t="shared" ref="H1347:H1410" si="85">TEXT(D1347, "mmmm")</f>
        <v>June</v>
      </c>
      <c r="I1347" t="str">
        <f t="shared" ref="I1347:I1410" si="86">"Q" &amp; ROUNDUP(MONTH(D1347)/3,0)</f>
        <v>Q2</v>
      </c>
      <c r="J1347" t="str">
        <f t="shared" ref="J1347:J1410" si="87">IF(E1347 &gt; 500, "Large", "Small")</f>
        <v>Large</v>
      </c>
    </row>
    <row r="1348" spans="1:10" x14ac:dyDescent="0.25">
      <c r="A1348" t="s">
        <v>19</v>
      </c>
      <c r="B1348" t="s">
        <v>7</v>
      </c>
      <c r="C1348" t="s">
        <v>45</v>
      </c>
      <c r="D1348" s="1">
        <v>45104</v>
      </c>
      <c r="E1348" s="2">
        <v>7304.74</v>
      </c>
      <c r="F1348">
        <v>49</v>
      </c>
      <c r="G1348" s="2">
        <f t="shared" si="84"/>
        <v>149.07632653061225</v>
      </c>
      <c r="H1348" t="str">
        <f t="shared" si="85"/>
        <v>June</v>
      </c>
      <c r="I1348" t="str">
        <f t="shared" si="86"/>
        <v>Q2</v>
      </c>
      <c r="J1348" t="str">
        <f t="shared" si="87"/>
        <v>Large</v>
      </c>
    </row>
    <row r="1349" spans="1:10" x14ac:dyDescent="0.25">
      <c r="A1349" t="s">
        <v>33</v>
      </c>
      <c r="B1349" t="s">
        <v>15</v>
      </c>
      <c r="C1349" t="s">
        <v>16</v>
      </c>
      <c r="D1349" s="1">
        <v>44929</v>
      </c>
      <c r="E1349" s="2">
        <v>3967.85</v>
      </c>
      <c r="F1349">
        <v>163</v>
      </c>
      <c r="G1349" s="2">
        <f t="shared" si="84"/>
        <v>24.342638036809817</v>
      </c>
      <c r="H1349" t="str">
        <f t="shared" si="85"/>
        <v>January</v>
      </c>
      <c r="I1349" t="str">
        <f t="shared" si="86"/>
        <v>Q1</v>
      </c>
      <c r="J1349" t="str">
        <f t="shared" si="87"/>
        <v>Large</v>
      </c>
    </row>
    <row r="1350" spans="1:10" x14ac:dyDescent="0.25">
      <c r="A1350" t="s">
        <v>33</v>
      </c>
      <c r="B1350" t="s">
        <v>10</v>
      </c>
      <c r="C1350" t="s">
        <v>20</v>
      </c>
      <c r="D1350" s="1">
        <v>45118</v>
      </c>
      <c r="E1350" s="2">
        <v>2800.67</v>
      </c>
      <c r="F1350">
        <v>190</v>
      </c>
      <c r="G1350" s="2">
        <f t="shared" si="84"/>
        <v>14.740368421052631</v>
      </c>
      <c r="H1350" t="str">
        <f t="shared" si="85"/>
        <v>July</v>
      </c>
      <c r="I1350" t="str">
        <f t="shared" si="86"/>
        <v>Q3</v>
      </c>
      <c r="J1350" t="str">
        <f t="shared" si="87"/>
        <v>Large</v>
      </c>
    </row>
    <row r="1351" spans="1:10" x14ac:dyDescent="0.25">
      <c r="A1351" t="s">
        <v>55</v>
      </c>
      <c r="B1351" t="s">
        <v>21</v>
      </c>
      <c r="C1351" t="s">
        <v>37</v>
      </c>
      <c r="D1351" s="1">
        <v>45155</v>
      </c>
      <c r="E1351" s="2">
        <v>4474.5200000000004</v>
      </c>
      <c r="F1351">
        <v>120</v>
      </c>
      <c r="G1351" s="2">
        <f t="shared" si="84"/>
        <v>37.287666666666674</v>
      </c>
      <c r="H1351" t="str">
        <f t="shared" si="85"/>
        <v>August</v>
      </c>
      <c r="I1351" t="str">
        <f t="shared" si="86"/>
        <v>Q3</v>
      </c>
      <c r="J1351" t="str">
        <f t="shared" si="87"/>
        <v>Large</v>
      </c>
    </row>
    <row r="1352" spans="1:10" x14ac:dyDescent="0.25">
      <c r="A1352" t="s">
        <v>24</v>
      </c>
      <c r="B1352" t="s">
        <v>26</v>
      </c>
      <c r="C1352" t="s">
        <v>42</v>
      </c>
      <c r="D1352" s="1">
        <v>44944</v>
      </c>
      <c r="E1352" s="2">
        <v>2737.03</v>
      </c>
      <c r="F1352">
        <v>63</v>
      </c>
      <c r="G1352" s="2">
        <f t="shared" si="84"/>
        <v>43.444920634920635</v>
      </c>
      <c r="H1352" t="str">
        <f t="shared" si="85"/>
        <v>January</v>
      </c>
      <c r="I1352" t="str">
        <f t="shared" si="86"/>
        <v>Q1</v>
      </c>
      <c r="J1352" t="str">
        <f t="shared" si="87"/>
        <v>Large</v>
      </c>
    </row>
    <row r="1353" spans="1:10" x14ac:dyDescent="0.25">
      <c r="A1353" t="s">
        <v>55</v>
      </c>
      <c r="B1353" t="s">
        <v>10</v>
      </c>
      <c r="C1353" t="s">
        <v>35</v>
      </c>
      <c r="D1353" s="1">
        <v>44993</v>
      </c>
      <c r="E1353" s="2">
        <v>16717.259999999998</v>
      </c>
      <c r="F1353">
        <v>102</v>
      </c>
      <c r="G1353" s="2">
        <f t="shared" si="84"/>
        <v>163.89470588235292</v>
      </c>
      <c r="H1353" t="str">
        <f t="shared" si="85"/>
        <v>March</v>
      </c>
      <c r="I1353" t="str">
        <f t="shared" si="86"/>
        <v>Q1</v>
      </c>
      <c r="J1353" t="str">
        <f t="shared" si="87"/>
        <v>Large</v>
      </c>
    </row>
    <row r="1354" spans="1:10" x14ac:dyDescent="0.25">
      <c r="A1354" t="s">
        <v>28</v>
      </c>
      <c r="B1354" t="s">
        <v>15</v>
      </c>
      <c r="C1354" t="s">
        <v>27</v>
      </c>
      <c r="D1354" s="1">
        <v>44992</v>
      </c>
      <c r="E1354" s="2">
        <v>16112.73</v>
      </c>
      <c r="F1354">
        <v>282</v>
      </c>
      <c r="G1354" s="2">
        <f t="shared" si="84"/>
        <v>57.13734042553191</v>
      </c>
      <c r="H1354" t="str">
        <f t="shared" si="85"/>
        <v>March</v>
      </c>
      <c r="I1354" t="str">
        <f t="shared" si="86"/>
        <v>Q1</v>
      </c>
      <c r="J1354" t="str">
        <f t="shared" si="87"/>
        <v>Large</v>
      </c>
    </row>
    <row r="1355" spans="1:10" x14ac:dyDescent="0.25">
      <c r="A1355" t="s">
        <v>40</v>
      </c>
      <c r="B1355" t="s">
        <v>10</v>
      </c>
      <c r="C1355" t="s">
        <v>58</v>
      </c>
      <c r="D1355" s="1">
        <v>45055</v>
      </c>
      <c r="E1355" s="2">
        <v>6898</v>
      </c>
      <c r="F1355">
        <v>163</v>
      </c>
      <c r="G1355" s="2">
        <f t="shared" si="84"/>
        <v>42.319018404907979</v>
      </c>
      <c r="H1355" t="str">
        <f t="shared" si="85"/>
        <v>May</v>
      </c>
      <c r="I1355" t="str">
        <f t="shared" si="86"/>
        <v>Q2</v>
      </c>
      <c r="J1355" t="str">
        <f t="shared" si="87"/>
        <v>Large</v>
      </c>
    </row>
    <row r="1356" spans="1:10" x14ac:dyDescent="0.25">
      <c r="A1356" t="s">
        <v>25</v>
      </c>
      <c r="B1356" t="s">
        <v>21</v>
      </c>
      <c r="C1356" t="s">
        <v>11</v>
      </c>
      <c r="D1356" s="1">
        <v>45069</v>
      </c>
      <c r="E1356" s="2">
        <v>2151.04</v>
      </c>
      <c r="F1356">
        <v>170</v>
      </c>
      <c r="G1356" s="2">
        <f t="shared" si="84"/>
        <v>12.653176470588235</v>
      </c>
      <c r="H1356" t="str">
        <f t="shared" si="85"/>
        <v>May</v>
      </c>
      <c r="I1356" t="str">
        <f t="shared" si="86"/>
        <v>Q2</v>
      </c>
      <c r="J1356" t="str">
        <f t="shared" si="87"/>
        <v>Large</v>
      </c>
    </row>
    <row r="1357" spans="1:10" x14ac:dyDescent="0.25">
      <c r="A1357" t="s">
        <v>53</v>
      </c>
      <c r="B1357" t="s">
        <v>7</v>
      </c>
      <c r="C1357" t="s">
        <v>57</v>
      </c>
      <c r="D1357" s="1">
        <v>45031</v>
      </c>
      <c r="E1357" s="2">
        <v>172.51</v>
      </c>
      <c r="F1357">
        <v>152</v>
      </c>
      <c r="G1357" s="2">
        <f t="shared" si="84"/>
        <v>1.1349342105263158</v>
      </c>
      <c r="H1357" t="str">
        <f t="shared" si="85"/>
        <v>April</v>
      </c>
      <c r="I1357" t="str">
        <f t="shared" si="86"/>
        <v>Q2</v>
      </c>
      <c r="J1357" t="str">
        <f t="shared" si="87"/>
        <v>Small</v>
      </c>
    </row>
    <row r="1358" spans="1:10" x14ac:dyDescent="0.25">
      <c r="A1358" t="s">
        <v>12</v>
      </c>
      <c r="B1358" t="s">
        <v>15</v>
      </c>
      <c r="C1358" t="s">
        <v>32</v>
      </c>
      <c r="D1358" s="1">
        <v>45134</v>
      </c>
      <c r="E1358" s="2">
        <v>2949.02</v>
      </c>
      <c r="F1358">
        <v>153</v>
      </c>
      <c r="G1358" s="2">
        <f t="shared" si="84"/>
        <v>19.274640522875817</v>
      </c>
      <c r="H1358" t="str">
        <f t="shared" si="85"/>
        <v>July</v>
      </c>
      <c r="I1358" t="str">
        <f t="shared" si="86"/>
        <v>Q3</v>
      </c>
      <c r="J1358" t="str">
        <f t="shared" si="87"/>
        <v>Large</v>
      </c>
    </row>
    <row r="1359" spans="1:10" x14ac:dyDescent="0.25">
      <c r="A1359" t="s">
        <v>33</v>
      </c>
      <c r="B1359" t="s">
        <v>29</v>
      </c>
      <c r="C1359" t="s">
        <v>52</v>
      </c>
      <c r="D1359" s="1">
        <v>45160</v>
      </c>
      <c r="E1359" s="2">
        <v>2790.72</v>
      </c>
      <c r="F1359">
        <v>435</v>
      </c>
      <c r="G1359" s="2">
        <f t="shared" si="84"/>
        <v>6.4154482758620688</v>
      </c>
      <c r="H1359" t="str">
        <f t="shared" si="85"/>
        <v>August</v>
      </c>
      <c r="I1359" t="str">
        <f t="shared" si="86"/>
        <v>Q3</v>
      </c>
      <c r="J1359" t="str">
        <f t="shared" si="87"/>
        <v>Large</v>
      </c>
    </row>
    <row r="1360" spans="1:10" x14ac:dyDescent="0.25">
      <c r="A1360" t="s">
        <v>55</v>
      </c>
      <c r="B1360" t="s">
        <v>26</v>
      </c>
      <c r="C1360" t="s">
        <v>58</v>
      </c>
      <c r="D1360" s="1">
        <v>45057</v>
      </c>
      <c r="E1360" s="2">
        <v>5054.42</v>
      </c>
      <c r="F1360">
        <v>127</v>
      </c>
      <c r="G1360" s="2">
        <f t="shared" si="84"/>
        <v>39.798582677165356</v>
      </c>
      <c r="H1360" t="str">
        <f t="shared" si="85"/>
        <v>May</v>
      </c>
      <c r="I1360" t="str">
        <f t="shared" si="86"/>
        <v>Q2</v>
      </c>
      <c r="J1360" t="str">
        <f t="shared" si="87"/>
        <v>Large</v>
      </c>
    </row>
    <row r="1361" spans="1:10" x14ac:dyDescent="0.25">
      <c r="A1361" t="s">
        <v>53</v>
      </c>
      <c r="B1361" t="s">
        <v>10</v>
      </c>
      <c r="C1361" t="s">
        <v>35</v>
      </c>
      <c r="D1361" s="1">
        <v>44952</v>
      </c>
      <c r="E1361" s="2">
        <v>5418.75</v>
      </c>
      <c r="F1361">
        <v>37</v>
      </c>
      <c r="G1361" s="2">
        <f t="shared" si="84"/>
        <v>146.45270270270271</v>
      </c>
      <c r="H1361" t="str">
        <f t="shared" si="85"/>
        <v>January</v>
      </c>
      <c r="I1361" t="str">
        <f t="shared" si="86"/>
        <v>Q1</v>
      </c>
      <c r="J1361" t="str">
        <f t="shared" si="87"/>
        <v>Large</v>
      </c>
    </row>
    <row r="1362" spans="1:10" x14ac:dyDescent="0.25">
      <c r="A1362" t="s">
        <v>25</v>
      </c>
      <c r="B1362" t="s">
        <v>26</v>
      </c>
      <c r="C1362" t="s">
        <v>22</v>
      </c>
      <c r="D1362" s="1">
        <v>45030</v>
      </c>
      <c r="E1362" s="2">
        <v>14604.67</v>
      </c>
      <c r="F1362">
        <v>128</v>
      </c>
      <c r="G1362" s="2">
        <f t="shared" si="84"/>
        <v>114.098984375</v>
      </c>
      <c r="H1362" t="str">
        <f t="shared" si="85"/>
        <v>April</v>
      </c>
      <c r="I1362" t="str">
        <f t="shared" si="86"/>
        <v>Q2</v>
      </c>
      <c r="J1362" t="str">
        <f t="shared" si="87"/>
        <v>Large</v>
      </c>
    </row>
    <row r="1363" spans="1:10" x14ac:dyDescent="0.25">
      <c r="A1363" t="s">
        <v>43</v>
      </c>
      <c r="B1363" t="s">
        <v>21</v>
      </c>
      <c r="C1363" t="s">
        <v>8</v>
      </c>
      <c r="D1363" s="1">
        <v>45021</v>
      </c>
      <c r="E1363" s="2">
        <v>6668.93</v>
      </c>
      <c r="F1363">
        <v>419</v>
      </c>
      <c r="G1363" s="2">
        <f t="shared" si="84"/>
        <v>15.916300715990454</v>
      </c>
      <c r="H1363" t="str">
        <f t="shared" si="85"/>
        <v>April</v>
      </c>
      <c r="I1363" t="str">
        <f t="shared" si="86"/>
        <v>Q2</v>
      </c>
      <c r="J1363" t="str">
        <f t="shared" si="87"/>
        <v>Large</v>
      </c>
    </row>
    <row r="1364" spans="1:10" x14ac:dyDescent="0.25">
      <c r="A1364" t="s">
        <v>33</v>
      </c>
      <c r="B1364" t="s">
        <v>21</v>
      </c>
      <c r="C1364" t="s">
        <v>16</v>
      </c>
      <c r="D1364" s="1">
        <v>45091</v>
      </c>
      <c r="E1364" s="2">
        <v>9689.7000000000007</v>
      </c>
      <c r="F1364">
        <v>58</v>
      </c>
      <c r="G1364" s="2">
        <f t="shared" si="84"/>
        <v>167.06379310344829</v>
      </c>
      <c r="H1364" t="str">
        <f t="shared" si="85"/>
        <v>June</v>
      </c>
      <c r="I1364" t="str">
        <f t="shared" si="86"/>
        <v>Q2</v>
      </c>
      <c r="J1364" t="str">
        <f t="shared" si="87"/>
        <v>Large</v>
      </c>
    </row>
    <row r="1365" spans="1:10" x14ac:dyDescent="0.25">
      <c r="A1365" t="s">
        <v>23</v>
      </c>
      <c r="B1365" t="s">
        <v>29</v>
      </c>
      <c r="C1365" t="s">
        <v>47</v>
      </c>
      <c r="D1365" s="1">
        <v>45029</v>
      </c>
      <c r="E1365" s="2">
        <v>5026.8100000000004</v>
      </c>
      <c r="F1365">
        <v>123</v>
      </c>
      <c r="G1365" s="2">
        <f t="shared" si="84"/>
        <v>40.868373983739843</v>
      </c>
      <c r="H1365" t="str">
        <f t="shared" si="85"/>
        <v>April</v>
      </c>
      <c r="I1365" t="str">
        <f t="shared" si="86"/>
        <v>Q2</v>
      </c>
      <c r="J1365" t="str">
        <f t="shared" si="87"/>
        <v>Large</v>
      </c>
    </row>
    <row r="1366" spans="1:10" x14ac:dyDescent="0.25">
      <c r="A1366" t="s">
        <v>34</v>
      </c>
      <c r="B1366" t="s">
        <v>15</v>
      </c>
      <c r="C1366" t="s">
        <v>44</v>
      </c>
      <c r="D1366" s="1">
        <v>45104</v>
      </c>
      <c r="E1366" s="2">
        <v>2379.0100000000002</v>
      </c>
      <c r="F1366">
        <v>178</v>
      </c>
      <c r="G1366" s="2">
        <f t="shared" si="84"/>
        <v>13.365224719101125</v>
      </c>
      <c r="H1366" t="str">
        <f t="shared" si="85"/>
        <v>June</v>
      </c>
      <c r="I1366" t="str">
        <f t="shared" si="86"/>
        <v>Q2</v>
      </c>
      <c r="J1366" t="str">
        <f t="shared" si="87"/>
        <v>Large</v>
      </c>
    </row>
    <row r="1367" spans="1:10" x14ac:dyDescent="0.25">
      <c r="A1367" t="s">
        <v>54</v>
      </c>
      <c r="B1367" t="s">
        <v>15</v>
      </c>
      <c r="C1367" t="s">
        <v>30</v>
      </c>
      <c r="D1367" s="1">
        <v>44952</v>
      </c>
      <c r="E1367" s="2">
        <v>7770.55</v>
      </c>
      <c r="F1367">
        <v>3</v>
      </c>
      <c r="G1367" s="2">
        <f t="shared" si="84"/>
        <v>2590.1833333333334</v>
      </c>
      <c r="H1367" t="str">
        <f t="shared" si="85"/>
        <v>January</v>
      </c>
      <c r="I1367" t="str">
        <f t="shared" si="86"/>
        <v>Q1</v>
      </c>
      <c r="J1367" t="str">
        <f t="shared" si="87"/>
        <v>Large</v>
      </c>
    </row>
    <row r="1368" spans="1:10" x14ac:dyDescent="0.25">
      <c r="A1368" t="s">
        <v>25</v>
      </c>
      <c r="B1368" t="s">
        <v>7</v>
      </c>
      <c r="C1368" t="s">
        <v>44</v>
      </c>
      <c r="D1368" s="1">
        <v>45112</v>
      </c>
      <c r="E1368" s="2">
        <v>1837.47</v>
      </c>
      <c r="F1368">
        <v>77</v>
      </c>
      <c r="G1368" s="2">
        <f t="shared" si="84"/>
        <v>23.863246753246752</v>
      </c>
      <c r="H1368" t="str">
        <f t="shared" si="85"/>
        <v>July</v>
      </c>
      <c r="I1368" t="str">
        <f t="shared" si="86"/>
        <v>Q3</v>
      </c>
      <c r="J1368" t="str">
        <f t="shared" si="87"/>
        <v>Large</v>
      </c>
    </row>
    <row r="1369" spans="1:10" x14ac:dyDescent="0.25">
      <c r="A1369" t="s">
        <v>34</v>
      </c>
      <c r="B1369" t="s">
        <v>29</v>
      </c>
      <c r="C1369" t="s">
        <v>56</v>
      </c>
      <c r="D1369" s="1">
        <v>44937</v>
      </c>
      <c r="E1369" s="2">
        <v>14625.75</v>
      </c>
      <c r="F1369">
        <v>90</v>
      </c>
      <c r="G1369" s="2">
        <f t="shared" si="84"/>
        <v>162.50833333333333</v>
      </c>
      <c r="H1369" t="str">
        <f t="shared" si="85"/>
        <v>January</v>
      </c>
      <c r="I1369" t="str">
        <f t="shared" si="86"/>
        <v>Q1</v>
      </c>
      <c r="J1369" t="str">
        <f t="shared" si="87"/>
        <v>Large</v>
      </c>
    </row>
    <row r="1370" spans="1:10" x14ac:dyDescent="0.25">
      <c r="A1370" t="s">
        <v>49</v>
      </c>
      <c r="B1370" t="s">
        <v>26</v>
      </c>
      <c r="C1370" t="s">
        <v>44</v>
      </c>
      <c r="D1370" s="1">
        <v>44992</v>
      </c>
      <c r="E1370" s="2">
        <v>10305.4</v>
      </c>
      <c r="F1370">
        <v>22</v>
      </c>
      <c r="G1370" s="2">
        <f t="shared" si="84"/>
        <v>468.42727272727274</v>
      </c>
      <c r="H1370" t="str">
        <f t="shared" si="85"/>
        <v>March</v>
      </c>
      <c r="I1370" t="str">
        <f t="shared" si="86"/>
        <v>Q1</v>
      </c>
      <c r="J1370" t="str">
        <f t="shared" si="87"/>
        <v>Large</v>
      </c>
    </row>
    <row r="1371" spans="1:10" x14ac:dyDescent="0.25">
      <c r="A1371" t="s">
        <v>41</v>
      </c>
      <c r="B1371" t="s">
        <v>29</v>
      </c>
      <c r="C1371" t="s">
        <v>22</v>
      </c>
      <c r="D1371" s="1">
        <v>44989</v>
      </c>
      <c r="E1371" s="2">
        <v>8798.99</v>
      </c>
      <c r="F1371">
        <v>99</v>
      </c>
      <c r="G1371" s="2">
        <f t="shared" si="84"/>
        <v>88.87868686868687</v>
      </c>
      <c r="H1371" t="str">
        <f t="shared" si="85"/>
        <v>March</v>
      </c>
      <c r="I1371" t="str">
        <f t="shared" si="86"/>
        <v>Q1</v>
      </c>
      <c r="J1371" t="str">
        <f t="shared" si="87"/>
        <v>Large</v>
      </c>
    </row>
    <row r="1372" spans="1:10" x14ac:dyDescent="0.25">
      <c r="A1372" t="s">
        <v>31</v>
      </c>
      <c r="B1372" t="s">
        <v>29</v>
      </c>
      <c r="C1372" t="s">
        <v>35</v>
      </c>
      <c r="D1372" s="1">
        <v>45122</v>
      </c>
      <c r="E1372" s="2">
        <v>2466.59</v>
      </c>
      <c r="F1372">
        <v>309</v>
      </c>
      <c r="G1372" s="2">
        <f t="shared" si="84"/>
        <v>7.9824919093851134</v>
      </c>
      <c r="H1372" t="str">
        <f t="shared" si="85"/>
        <v>July</v>
      </c>
      <c r="I1372" t="str">
        <f t="shared" si="86"/>
        <v>Q3</v>
      </c>
      <c r="J1372" t="str">
        <f t="shared" si="87"/>
        <v>Large</v>
      </c>
    </row>
    <row r="1373" spans="1:10" x14ac:dyDescent="0.25">
      <c r="A1373" t="s">
        <v>41</v>
      </c>
      <c r="B1373" t="s">
        <v>7</v>
      </c>
      <c r="C1373" t="s">
        <v>13</v>
      </c>
      <c r="D1373" s="1">
        <v>45057</v>
      </c>
      <c r="E1373" s="2">
        <v>6564.2</v>
      </c>
      <c r="F1373">
        <v>92</v>
      </c>
      <c r="G1373" s="2">
        <f t="shared" si="84"/>
        <v>71.349999999999994</v>
      </c>
      <c r="H1373" t="str">
        <f t="shared" si="85"/>
        <v>May</v>
      </c>
      <c r="I1373" t="str">
        <f t="shared" si="86"/>
        <v>Q2</v>
      </c>
      <c r="J1373" t="str">
        <f t="shared" si="87"/>
        <v>Large</v>
      </c>
    </row>
    <row r="1374" spans="1:10" x14ac:dyDescent="0.25">
      <c r="A1374" t="s">
        <v>31</v>
      </c>
      <c r="B1374" t="s">
        <v>26</v>
      </c>
      <c r="C1374" t="s">
        <v>37</v>
      </c>
      <c r="D1374" s="1">
        <v>44953</v>
      </c>
      <c r="E1374" s="2">
        <v>4764.5600000000004</v>
      </c>
      <c r="F1374">
        <v>7</v>
      </c>
      <c r="G1374" s="2">
        <f t="shared" si="84"/>
        <v>680.6514285714286</v>
      </c>
      <c r="H1374" t="str">
        <f t="shared" si="85"/>
        <v>January</v>
      </c>
      <c r="I1374" t="str">
        <f t="shared" si="86"/>
        <v>Q1</v>
      </c>
      <c r="J1374" t="str">
        <f t="shared" si="87"/>
        <v>Large</v>
      </c>
    </row>
    <row r="1375" spans="1:10" x14ac:dyDescent="0.25">
      <c r="A1375" t="s">
        <v>31</v>
      </c>
      <c r="B1375" t="s">
        <v>10</v>
      </c>
      <c r="C1375" t="s">
        <v>27</v>
      </c>
      <c r="D1375" s="1">
        <v>45104</v>
      </c>
      <c r="E1375" s="2">
        <v>3172.08</v>
      </c>
      <c r="F1375">
        <v>153</v>
      </c>
      <c r="G1375" s="2">
        <f t="shared" si="84"/>
        <v>20.732549019607841</v>
      </c>
      <c r="H1375" t="str">
        <f t="shared" si="85"/>
        <v>June</v>
      </c>
      <c r="I1375" t="str">
        <f t="shared" si="86"/>
        <v>Q2</v>
      </c>
      <c r="J1375" t="str">
        <f t="shared" si="87"/>
        <v>Large</v>
      </c>
    </row>
    <row r="1376" spans="1:10" x14ac:dyDescent="0.25">
      <c r="A1376" t="s">
        <v>55</v>
      </c>
      <c r="B1376" t="s">
        <v>10</v>
      </c>
      <c r="C1376" t="s">
        <v>16</v>
      </c>
      <c r="D1376" s="1">
        <v>45141</v>
      </c>
      <c r="E1376" s="2">
        <v>8062</v>
      </c>
      <c r="F1376">
        <v>20</v>
      </c>
      <c r="G1376" s="2">
        <f t="shared" si="84"/>
        <v>403.1</v>
      </c>
      <c r="H1376" t="str">
        <f t="shared" si="85"/>
        <v>August</v>
      </c>
      <c r="I1376" t="str">
        <f t="shared" si="86"/>
        <v>Q3</v>
      </c>
      <c r="J1376" t="str">
        <f t="shared" si="87"/>
        <v>Large</v>
      </c>
    </row>
    <row r="1377" spans="1:10" x14ac:dyDescent="0.25">
      <c r="A1377" t="s">
        <v>46</v>
      </c>
      <c r="B1377" t="s">
        <v>21</v>
      </c>
      <c r="C1377" t="s">
        <v>8</v>
      </c>
      <c r="D1377" s="1">
        <v>45157</v>
      </c>
      <c r="E1377" s="2">
        <v>12382.41</v>
      </c>
      <c r="F1377">
        <v>245</v>
      </c>
      <c r="G1377" s="2">
        <f t="shared" si="84"/>
        <v>50.540448979591837</v>
      </c>
      <c r="H1377" t="str">
        <f t="shared" si="85"/>
        <v>August</v>
      </c>
      <c r="I1377" t="str">
        <f t="shared" si="86"/>
        <v>Q3</v>
      </c>
      <c r="J1377" t="str">
        <f t="shared" si="87"/>
        <v>Large</v>
      </c>
    </row>
    <row r="1378" spans="1:10" x14ac:dyDescent="0.25">
      <c r="A1378" t="s">
        <v>46</v>
      </c>
      <c r="B1378" t="s">
        <v>15</v>
      </c>
      <c r="C1378" t="s">
        <v>42</v>
      </c>
      <c r="D1378" s="1">
        <v>45092</v>
      </c>
      <c r="E1378" s="2">
        <v>413.6</v>
      </c>
      <c r="F1378">
        <v>111</v>
      </c>
      <c r="G1378" s="2">
        <f t="shared" si="84"/>
        <v>3.7261261261261263</v>
      </c>
      <c r="H1378" t="str">
        <f t="shared" si="85"/>
        <v>June</v>
      </c>
      <c r="I1378" t="str">
        <f t="shared" si="86"/>
        <v>Q2</v>
      </c>
      <c r="J1378" t="str">
        <f t="shared" si="87"/>
        <v>Small</v>
      </c>
    </row>
    <row r="1379" spans="1:10" x14ac:dyDescent="0.25">
      <c r="A1379" t="s">
        <v>43</v>
      </c>
      <c r="B1379" t="s">
        <v>7</v>
      </c>
      <c r="C1379" t="s">
        <v>13</v>
      </c>
      <c r="D1379" s="1">
        <v>44964</v>
      </c>
      <c r="E1379" s="2">
        <v>10186.18</v>
      </c>
      <c r="F1379">
        <v>154</v>
      </c>
      <c r="G1379" s="2">
        <f t="shared" si="84"/>
        <v>66.144025974025979</v>
      </c>
      <c r="H1379" t="str">
        <f t="shared" si="85"/>
        <v>February</v>
      </c>
      <c r="I1379" t="str">
        <f t="shared" si="86"/>
        <v>Q1</v>
      </c>
      <c r="J1379" t="str">
        <f t="shared" si="87"/>
        <v>Large</v>
      </c>
    </row>
    <row r="1380" spans="1:10" x14ac:dyDescent="0.25">
      <c r="A1380" t="s">
        <v>31</v>
      </c>
      <c r="B1380" t="s">
        <v>15</v>
      </c>
      <c r="C1380" t="s">
        <v>47</v>
      </c>
      <c r="D1380" s="1">
        <v>45115</v>
      </c>
      <c r="E1380" s="2">
        <v>7936.84</v>
      </c>
      <c r="F1380">
        <v>138</v>
      </c>
      <c r="G1380" s="2">
        <f t="shared" si="84"/>
        <v>57.513333333333335</v>
      </c>
      <c r="H1380" t="str">
        <f t="shared" si="85"/>
        <v>July</v>
      </c>
      <c r="I1380" t="str">
        <f t="shared" si="86"/>
        <v>Q3</v>
      </c>
      <c r="J1380" t="str">
        <f t="shared" si="87"/>
        <v>Large</v>
      </c>
    </row>
    <row r="1381" spans="1:10" x14ac:dyDescent="0.25">
      <c r="A1381" t="s">
        <v>43</v>
      </c>
      <c r="B1381" t="s">
        <v>10</v>
      </c>
      <c r="C1381" t="s">
        <v>37</v>
      </c>
      <c r="D1381" s="1">
        <v>45037</v>
      </c>
      <c r="E1381" s="2">
        <v>1712.72</v>
      </c>
      <c r="F1381">
        <v>93</v>
      </c>
      <c r="G1381" s="2">
        <f t="shared" si="84"/>
        <v>18.416344086021507</v>
      </c>
      <c r="H1381" t="str">
        <f t="shared" si="85"/>
        <v>April</v>
      </c>
      <c r="I1381" t="str">
        <f t="shared" si="86"/>
        <v>Q2</v>
      </c>
      <c r="J1381" t="str">
        <f t="shared" si="87"/>
        <v>Large</v>
      </c>
    </row>
    <row r="1382" spans="1:10" x14ac:dyDescent="0.25">
      <c r="A1382" t="s">
        <v>55</v>
      </c>
      <c r="B1382" t="s">
        <v>7</v>
      </c>
      <c r="C1382" t="s">
        <v>8</v>
      </c>
      <c r="D1382" s="1">
        <v>45024</v>
      </c>
      <c r="E1382" s="2">
        <v>3088.98</v>
      </c>
      <c r="F1382">
        <v>226</v>
      </c>
      <c r="G1382" s="2">
        <f t="shared" si="84"/>
        <v>13.668053097345133</v>
      </c>
      <c r="H1382" t="str">
        <f t="shared" si="85"/>
        <v>April</v>
      </c>
      <c r="I1382" t="str">
        <f t="shared" si="86"/>
        <v>Q2</v>
      </c>
      <c r="J1382" t="str">
        <f t="shared" si="87"/>
        <v>Large</v>
      </c>
    </row>
    <row r="1383" spans="1:10" x14ac:dyDescent="0.25">
      <c r="A1383" t="s">
        <v>40</v>
      </c>
      <c r="B1383" t="s">
        <v>15</v>
      </c>
      <c r="C1383" t="s">
        <v>22</v>
      </c>
      <c r="D1383" s="1">
        <v>45157</v>
      </c>
      <c r="E1383" s="2">
        <v>14953.43</v>
      </c>
      <c r="F1383">
        <v>51</v>
      </c>
      <c r="G1383" s="2">
        <f t="shared" si="84"/>
        <v>293.20450980392155</v>
      </c>
      <c r="H1383" t="str">
        <f t="shared" si="85"/>
        <v>August</v>
      </c>
      <c r="I1383" t="str">
        <f t="shared" si="86"/>
        <v>Q3</v>
      </c>
      <c r="J1383" t="str">
        <f t="shared" si="87"/>
        <v>Large</v>
      </c>
    </row>
    <row r="1384" spans="1:10" x14ac:dyDescent="0.25">
      <c r="A1384" t="s">
        <v>14</v>
      </c>
      <c r="B1384" t="s">
        <v>10</v>
      </c>
      <c r="C1384" t="s">
        <v>42</v>
      </c>
      <c r="D1384" s="1">
        <v>45050</v>
      </c>
      <c r="E1384" s="2">
        <v>3219.13</v>
      </c>
      <c r="F1384">
        <v>54</v>
      </c>
      <c r="G1384" s="2">
        <f t="shared" si="84"/>
        <v>59.613518518518518</v>
      </c>
      <c r="H1384" t="str">
        <f t="shared" si="85"/>
        <v>May</v>
      </c>
      <c r="I1384" t="str">
        <f t="shared" si="86"/>
        <v>Q2</v>
      </c>
      <c r="J1384" t="str">
        <f t="shared" si="87"/>
        <v>Large</v>
      </c>
    </row>
    <row r="1385" spans="1:10" x14ac:dyDescent="0.25">
      <c r="A1385" t="s">
        <v>28</v>
      </c>
      <c r="B1385" t="s">
        <v>26</v>
      </c>
      <c r="C1385" t="s">
        <v>11</v>
      </c>
      <c r="D1385" s="1">
        <v>45057</v>
      </c>
      <c r="E1385" s="2">
        <v>2700.61</v>
      </c>
      <c r="F1385">
        <v>112</v>
      </c>
      <c r="G1385" s="2">
        <f t="shared" si="84"/>
        <v>24.112589285714286</v>
      </c>
      <c r="H1385" t="str">
        <f t="shared" si="85"/>
        <v>May</v>
      </c>
      <c r="I1385" t="str">
        <f t="shared" si="86"/>
        <v>Q2</v>
      </c>
      <c r="J1385" t="str">
        <f t="shared" si="87"/>
        <v>Large</v>
      </c>
    </row>
    <row r="1386" spans="1:10" x14ac:dyDescent="0.25">
      <c r="A1386" t="s">
        <v>28</v>
      </c>
      <c r="B1386" t="s">
        <v>26</v>
      </c>
      <c r="C1386" t="s">
        <v>30</v>
      </c>
      <c r="D1386" s="1">
        <v>45007</v>
      </c>
      <c r="E1386" s="2">
        <v>7219.96</v>
      </c>
      <c r="F1386">
        <v>53</v>
      </c>
      <c r="G1386" s="2">
        <f t="shared" si="84"/>
        <v>136.22566037735848</v>
      </c>
      <c r="H1386" t="str">
        <f t="shared" si="85"/>
        <v>March</v>
      </c>
      <c r="I1386" t="str">
        <f t="shared" si="86"/>
        <v>Q1</v>
      </c>
      <c r="J1386" t="str">
        <f t="shared" si="87"/>
        <v>Large</v>
      </c>
    </row>
    <row r="1387" spans="1:10" x14ac:dyDescent="0.25">
      <c r="A1387" t="s">
        <v>43</v>
      </c>
      <c r="B1387" t="s">
        <v>29</v>
      </c>
      <c r="C1387" t="s">
        <v>39</v>
      </c>
      <c r="D1387" s="1">
        <v>45148</v>
      </c>
      <c r="E1387" s="2">
        <v>2634.13</v>
      </c>
      <c r="F1387">
        <v>234</v>
      </c>
      <c r="G1387" s="2">
        <f t="shared" si="84"/>
        <v>11.256965811965813</v>
      </c>
      <c r="H1387" t="str">
        <f t="shared" si="85"/>
        <v>August</v>
      </c>
      <c r="I1387" t="str">
        <f t="shared" si="86"/>
        <v>Q3</v>
      </c>
      <c r="J1387" t="str">
        <f t="shared" si="87"/>
        <v>Large</v>
      </c>
    </row>
    <row r="1388" spans="1:10" x14ac:dyDescent="0.25">
      <c r="A1388" t="s">
        <v>43</v>
      </c>
      <c r="B1388" t="s">
        <v>26</v>
      </c>
      <c r="C1388" t="s">
        <v>42</v>
      </c>
      <c r="D1388" s="1">
        <v>45050</v>
      </c>
      <c r="E1388" s="2">
        <v>1630.95</v>
      </c>
      <c r="F1388">
        <v>321</v>
      </c>
      <c r="G1388" s="2">
        <f t="shared" si="84"/>
        <v>5.0808411214953271</v>
      </c>
      <c r="H1388" t="str">
        <f t="shared" si="85"/>
        <v>May</v>
      </c>
      <c r="I1388" t="str">
        <f t="shared" si="86"/>
        <v>Q2</v>
      </c>
      <c r="J1388" t="str">
        <f t="shared" si="87"/>
        <v>Large</v>
      </c>
    </row>
    <row r="1389" spans="1:10" x14ac:dyDescent="0.25">
      <c r="A1389" t="s">
        <v>49</v>
      </c>
      <c r="B1389" t="s">
        <v>26</v>
      </c>
      <c r="C1389" t="s">
        <v>18</v>
      </c>
      <c r="D1389" s="1">
        <v>45156</v>
      </c>
      <c r="E1389" s="2">
        <v>8250.66</v>
      </c>
      <c r="F1389">
        <v>258</v>
      </c>
      <c r="G1389" s="2">
        <f t="shared" si="84"/>
        <v>31.979302325581394</v>
      </c>
      <c r="H1389" t="str">
        <f t="shared" si="85"/>
        <v>August</v>
      </c>
      <c r="I1389" t="str">
        <f t="shared" si="86"/>
        <v>Q3</v>
      </c>
      <c r="J1389" t="str">
        <f t="shared" si="87"/>
        <v>Large</v>
      </c>
    </row>
    <row r="1390" spans="1:10" x14ac:dyDescent="0.25">
      <c r="A1390" t="s">
        <v>54</v>
      </c>
      <c r="B1390" t="s">
        <v>29</v>
      </c>
      <c r="C1390" t="s">
        <v>51</v>
      </c>
      <c r="D1390" s="1">
        <v>45141</v>
      </c>
      <c r="E1390" s="2">
        <v>4849.3</v>
      </c>
      <c r="F1390">
        <v>248</v>
      </c>
      <c r="G1390" s="2">
        <f t="shared" si="84"/>
        <v>19.553629032258065</v>
      </c>
      <c r="H1390" t="str">
        <f t="shared" si="85"/>
        <v>August</v>
      </c>
      <c r="I1390" t="str">
        <f t="shared" si="86"/>
        <v>Q3</v>
      </c>
      <c r="J1390" t="str">
        <f t="shared" si="87"/>
        <v>Large</v>
      </c>
    </row>
    <row r="1391" spans="1:10" x14ac:dyDescent="0.25">
      <c r="A1391" t="s">
        <v>33</v>
      </c>
      <c r="B1391" t="s">
        <v>21</v>
      </c>
      <c r="C1391" t="s">
        <v>37</v>
      </c>
      <c r="D1391" s="1">
        <v>44940</v>
      </c>
      <c r="E1391" s="2">
        <v>7940.49</v>
      </c>
      <c r="F1391">
        <v>328</v>
      </c>
      <c r="G1391" s="2">
        <f t="shared" si="84"/>
        <v>24.208810975609754</v>
      </c>
      <c r="H1391" t="str">
        <f t="shared" si="85"/>
        <v>January</v>
      </c>
      <c r="I1391" t="str">
        <f t="shared" si="86"/>
        <v>Q1</v>
      </c>
      <c r="J1391" t="str">
        <f t="shared" si="87"/>
        <v>Large</v>
      </c>
    </row>
    <row r="1392" spans="1:10" x14ac:dyDescent="0.25">
      <c r="A1392" t="s">
        <v>53</v>
      </c>
      <c r="B1392" t="s">
        <v>15</v>
      </c>
      <c r="C1392" t="s">
        <v>52</v>
      </c>
      <c r="D1392" s="1">
        <v>45024</v>
      </c>
      <c r="E1392" s="2">
        <v>2106.9299999999998</v>
      </c>
      <c r="F1392">
        <v>69</v>
      </c>
      <c r="G1392" s="2">
        <f t="shared" si="84"/>
        <v>30.535217391304347</v>
      </c>
      <c r="H1392" t="str">
        <f t="shared" si="85"/>
        <v>April</v>
      </c>
      <c r="I1392" t="str">
        <f t="shared" si="86"/>
        <v>Q2</v>
      </c>
      <c r="J1392" t="str">
        <f t="shared" si="87"/>
        <v>Large</v>
      </c>
    </row>
    <row r="1393" spans="1:10" x14ac:dyDescent="0.25">
      <c r="A1393" t="s">
        <v>49</v>
      </c>
      <c r="B1393" t="s">
        <v>7</v>
      </c>
      <c r="C1393" t="s">
        <v>27</v>
      </c>
      <c r="D1393" s="1">
        <v>45139</v>
      </c>
      <c r="E1393" s="2">
        <v>3911.85</v>
      </c>
      <c r="F1393">
        <v>3</v>
      </c>
      <c r="G1393" s="2">
        <f t="shared" si="84"/>
        <v>1303.95</v>
      </c>
      <c r="H1393" t="str">
        <f t="shared" si="85"/>
        <v>August</v>
      </c>
      <c r="I1393" t="str">
        <f t="shared" si="86"/>
        <v>Q3</v>
      </c>
      <c r="J1393" t="str">
        <f t="shared" si="87"/>
        <v>Large</v>
      </c>
    </row>
    <row r="1394" spans="1:10" x14ac:dyDescent="0.25">
      <c r="A1394" t="s">
        <v>43</v>
      </c>
      <c r="B1394" t="s">
        <v>29</v>
      </c>
      <c r="C1394" t="s">
        <v>30</v>
      </c>
      <c r="D1394" s="1">
        <v>45000</v>
      </c>
      <c r="E1394" s="2">
        <v>483.04</v>
      </c>
      <c r="F1394">
        <v>45</v>
      </c>
      <c r="G1394" s="2">
        <f t="shared" si="84"/>
        <v>10.734222222222222</v>
      </c>
      <c r="H1394" t="str">
        <f t="shared" si="85"/>
        <v>March</v>
      </c>
      <c r="I1394" t="str">
        <f t="shared" si="86"/>
        <v>Q1</v>
      </c>
      <c r="J1394" t="str">
        <f t="shared" si="87"/>
        <v>Small</v>
      </c>
    </row>
    <row r="1395" spans="1:10" x14ac:dyDescent="0.25">
      <c r="A1395" t="s">
        <v>31</v>
      </c>
      <c r="B1395" t="s">
        <v>10</v>
      </c>
      <c r="C1395" t="s">
        <v>8</v>
      </c>
      <c r="D1395" s="1">
        <v>45122</v>
      </c>
      <c r="E1395" s="2">
        <v>11380.7</v>
      </c>
      <c r="F1395">
        <v>192</v>
      </c>
      <c r="G1395" s="2">
        <f t="shared" si="84"/>
        <v>59.274479166666673</v>
      </c>
      <c r="H1395" t="str">
        <f t="shared" si="85"/>
        <v>July</v>
      </c>
      <c r="I1395" t="str">
        <f t="shared" si="86"/>
        <v>Q3</v>
      </c>
      <c r="J1395" t="str">
        <f t="shared" si="87"/>
        <v>Large</v>
      </c>
    </row>
    <row r="1396" spans="1:10" x14ac:dyDescent="0.25">
      <c r="A1396" t="s">
        <v>25</v>
      </c>
      <c r="B1396" t="s">
        <v>21</v>
      </c>
      <c r="C1396" t="s">
        <v>47</v>
      </c>
      <c r="D1396" s="1">
        <v>44939</v>
      </c>
      <c r="E1396" s="2">
        <v>6372.68</v>
      </c>
      <c r="F1396">
        <v>131</v>
      </c>
      <c r="G1396" s="2">
        <f t="shared" si="84"/>
        <v>48.646412213740462</v>
      </c>
      <c r="H1396" t="str">
        <f t="shared" si="85"/>
        <v>January</v>
      </c>
      <c r="I1396" t="str">
        <f t="shared" si="86"/>
        <v>Q1</v>
      </c>
      <c r="J1396" t="str">
        <f t="shared" si="87"/>
        <v>Large</v>
      </c>
    </row>
    <row r="1397" spans="1:10" x14ac:dyDescent="0.25">
      <c r="A1397" t="s">
        <v>28</v>
      </c>
      <c r="B1397" t="s">
        <v>15</v>
      </c>
      <c r="C1397" t="s">
        <v>11</v>
      </c>
      <c r="D1397" s="1">
        <v>45164</v>
      </c>
      <c r="E1397" s="2">
        <v>2714.76</v>
      </c>
      <c r="F1397">
        <v>52</v>
      </c>
      <c r="G1397" s="2">
        <f t="shared" si="84"/>
        <v>52.206923076923083</v>
      </c>
      <c r="H1397" t="str">
        <f t="shared" si="85"/>
        <v>August</v>
      </c>
      <c r="I1397" t="str">
        <f t="shared" si="86"/>
        <v>Q3</v>
      </c>
      <c r="J1397" t="str">
        <f t="shared" si="87"/>
        <v>Large</v>
      </c>
    </row>
    <row r="1398" spans="1:10" x14ac:dyDescent="0.25">
      <c r="A1398" t="s">
        <v>55</v>
      </c>
      <c r="B1398" t="s">
        <v>29</v>
      </c>
      <c r="C1398" t="s">
        <v>30</v>
      </c>
      <c r="D1398" s="1">
        <v>44936</v>
      </c>
      <c r="E1398" s="2">
        <v>2106.17</v>
      </c>
      <c r="F1398">
        <v>172</v>
      </c>
      <c r="G1398" s="2">
        <f t="shared" si="84"/>
        <v>12.245174418604652</v>
      </c>
      <c r="H1398" t="str">
        <f t="shared" si="85"/>
        <v>January</v>
      </c>
      <c r="I1398" t="str">
        <f t="shared" si="86"/>
        <v>Q1</v>
      </c>
      <c r="J1398" t="str">
        <f t="shared" si="87"/>
        <v>Large</v>
      </c>
    </row>
    <row r="1399" spans="1:10" x14ac:dyDescent="0.25">
      <c r="A1399" t="s">
        <v>12</v>
      </c>
      <c r="B1399" t="s">
        <v>15</v>
      </c>
      <c r="C1399" t="s">
        <v>44</v>
      </c>
      <c r="D1399" s="1">
        <v>45057</v>
      </c>
      <c r="E1399" s="2">
        <v>5805.24</v>
      </c>
      <c r="F1399">
        <v>83</v>
      </c>
      <c r="G1399" s="2">
        <f t="shared" si="84"/>
        <v>69.942650602409643</v>
      </c>
      <c r="H1399" t="str">
        <f t="shared" si="85"/>
        <v>May</v>
      </c>
      <c r="I1399" t="str">
        <f t="shared" si="86"/>
        <v>Q2</v>
      </c>
      <c r="J1399" t="str">
        <f t="shared" si="87"/>
        <v>Large</v>
      </c>
    </row>
    <row r="1400" spans="1:10" x14ac:dyDescent="0.25">
      <c r="A1400" t="s">
        <v>34</v>
      </c>
      <c r="B1400" t="s">
        <v>21</v>
      </c>
      <c r="C1400" t="s">
        <v>11</v>
      </c>
      <c r="D1400" s="1">
        <v>45168</v>
      </c>
      <c r="E1400" s="2">
        <v>12205.52</v>
      </c>
      <c r="F1400">
        <v>23</v>
      </c>
      <c r="G1400" s="2">
        <f t="shared" si="84"/>
        <v>530.67478260869564</v>
      </c>
      <c r="H1400" t="str">
        <f t="shared" si="85"/>
        <v>August</v>
      </c>
      <c r="I1400" t="str">
        <f t="shared" si="86"/>
        <v>Q3</v>
      </c>
      <c r="J1400" t="str">
        <f t="shared" si="87"/>
        <v>Large</v>
      </c>
    </row>
    <row r="1401" spans="1:10" x14ac:dyDescent="0.25">
      <c r="A1401" t="s">
        <v>41</v>
      </c>
      <c r="B1401" t="s">
        <v>26</v>
      </c>
      <c r="C1401" t="s">
        <v>57</v>
      </c>
      <c r="D1401" s="1">
        <v>45128</v>
      </c>
      <c r="E1401" s="2">
        <v>6318.7</v>
      </c>
      <c r="F1401">
        <v>124</v>
      </c>
      <c r="G1401" s="2">
        <f t="shared" si="84"/>
        <v>50.957258064516125</v>
      </c>
      <c r="H1401" t="str">
        <f t="shared" si="85"/>
        <v>July</v>
      </c>
      <c r="I1401" t="str">
        <f t="shared" si="86"/>
        <v>Q3</v>
      </c>
      <c r="J1401" t="str">
        <f t="shared" si="87"/>
        <v>Large</v>
      </c>
    </row>
    <row r="1402" spans="1:10" x14ac:dyDescent="0.25">
      <c r="A1402" t="s">
        <v>28</v>
      </c>
      <c r="B1402" t="s">
        <v>15</v>
      </c>
      <c r="C1402" t="s">
        <v>47</v>
      </c>
      <c r="D1402" s="1">
        <v>45139</v>
      </c>
      <c r="E1402" s="2">
        <v>8522.7999999999993</v>
      </c>
      <c r="F1402">
        <v>137</v>
      </c>
      <c r="G1402" s="2">
        <f t="shared" si="84"/>
        <v>62.210218978102183</v>
      </c>
      <c r="H1402" t="str">
        <f t="shared" si="85"/>
        <v>August</v>
      </c>
      <c r="I1402" t="str">
        <f t="shared" si="86"/>
        <v>Q3</v>
      </c>
      <c r="J1402" t="str">
        <f t="shared" si="87"/>
        <v>Large</v>
      </c>
    </row>
    <row r="1403" spans="1:10" x14ac:dyDescent="0.25">
      <c r="A1403" t="s">
        <v>23</v>
      </c>
      <c r="B1403" t="s">
        <v>29</v>
      </c>
      <c r="C1403" t="s">
        <v>11</v>
      </c>
      <c r="D1403" s="1">
        <v>44974</v>
      </c>
      <c r="E1403" s="2">
        <v>10315.879999999999</v>
      </c>
      <c r="F1403">
        <v>268</v>
      </c>
      <c r="G1403" s="2">
        <f t="shared" si="84"/>
        <v>38.492089552238802</v>
      </c>
      <c r="H1403" t="str">
        <f t="shared" si="85"/>
        <v>February</v>
      </c>
      <c r="I1403" t="str">
        <f t="shared" si="86"/>
        <v>Q1</v>
      </c>
      <c r="J1403" t="str">
        <f t="shared" si="87"/>
        <v>Large</v>
      </c>
    </row>
    <row r="1404" spans="1:10" x14ac:dyDescent="0.25">
      <c r="A1404" t="s">
        <v>23</v>
      </c>
      <c r="B1404" t="s">
        <v>15</v>
      </c>
      <c r="C1404" t="s">
        <v>32</v>
      </c>
      <c r="D1404" s="1">
        <v>45134</v>
      </c>
      <c r="E1404" s="2">
        <v>7262.12</v>
      </c>
      <c r="F1404">
        <v>158</v>
      </c>
      <c r="G1404" s="2">
        <f t="shared" si="84"/>
        <v>45.962784810126578</v>
      </c>
      <c r="H1404" t="str">
        <f t="shared" si="85"/>
        <v>July</v>
      </c>
      <c r="I1404" t="str">
        <f t="shared" si="86"/>
        <v>Q3</v>
      </c>
      <c r="J1404" t="str">
        <f t="shared" si="87"/>
        <v>Large</v>
      </c>
    </row>
    <row r="1405" spans="1:10" x14ac:dyDescent="0.25">
      <c r="A1405" t="s">
        <v>54</v>
      </c>
      <c r="B1405" t="s">
        <v>26</v>
      </c>
      <c r="C1405" t="s">
        <v>27</v>
      </c>
      <c r="D1405" s="1">
        <v>44980</v>
      </c>
      <c r="E1405" s="2">
        <v>1414.84</v>
      </c>
      <c r="F1405">
        <v>112</v>
      </c>
      <c r="G1405" s="2">
        <f t="shared" si="84"/>
        <v>12.632499999999999</v>
      </c>
      <c r="H1405" t="str">
        <f t="shared" si="85"/>
        <v>February</v>
      </c>
      <c r="I1405" t="str">
        <f t="shared" si="86"/>
        <v>Q1</v>
      </c>
      <c r="J1405" t="str">
        <f t="shared" si="87"/>
        <v>Large</v>
      </c>
    </row>
    <row r="1406" spans="1:10" x14ac:dyDescent="0.25">
      <c r="A1406" t="s">
        <v>24</v>
      </c>
      <c r="B1406" t="s">
        <v>15</v>
      </c>
      <c r="C1406" t="s">
        <v>22</v>
      </c>
      <c r="D1406" s="1">
        <v>45007</v>
      </c>
      <c r="E1406" s="2">
        <v>3067.9</v>
      </c>
      <c r="F1406">
        <v>42</v>
      </c>
      <c r="G1406" s="2">
        <f t="shared" si="84"/>
        <v>73.045238095238091</v>
      </c>
      <c r="H1406" t="str">
        <f t="shared" si="85"/>
        <v>March</v>
      </c>
      <c r="I1406" t="str">
        <f t="shared" si="86"/>
        <v>Q1</v>
      </c>
      <c r="J1406" t="str">
        <f t="shared" si="87"/>
        <v>Large</v>
      </c>
    </row>
    <row r="1407" spans="1:10" x14ac:dyDescent="0.25">
      <c r="A1407" t="s">
        <v>43</v>
      </c>
      <c r="B1407" t="s">
        <v>10</v>
      </c>
      <c r="C1407" t="s">
        <v>18</v>
      </c>
      <c r="D1407" s="1">
        <v>45100</v>
      </c>
      <c r="E1407" s="2">
        <v>7369.69</v>
      </c>
      <c r="F1407">
        <v>325</v>
      </c>
      <c r="G1407" s="2">
        <f t="shared" si="84"/>
        <v>22.67596923076923</v>
      </c>
      <c r="H1407" t="str">
        <f t="shared" si="85"/>
        <v>June</v>
      </c>
      <c r="I1407" t="str">
        <f t="shared" si="86"/>
        <v>Q2</v>
      </c>
      <c r="J1407" t="str">
        <f t="shared" si="87"/>
        <v>Large</v>
      </c>
    </row>
    <row r="1408" spans="1:10" x14ac:dyDescent="0.25">
      <c r="A1408" t="s">
        <v>38</v>
      </c>
      <c r="B1408" t="s">
        <v>7</v>
      </c>
      <c r="C1408" t="s">
        <v>44</v>
      </c>
      <c r="D1408" s="1">
        <v>44958</v>
      </c>
      <c r="E1408" s="2">
        <v>1775.18</v>
      </c>
      <c r="F1408">
        <v>73</v>
      </c>
      <c r="G1408" s="2">
        <f t="shared" si="84"/>
        <v>24.317534246575342</v>
      </c>
      <c r="H1408" t="str">
        <f t="shared" si="85"/>
        <v>February</v>
      </c>
      <c r="I1408" t="str">
        <f t="shared" si="86"/>
        <v>Q1</v>
      </c>
      <c r="J1408" t="str">
        <f t="shared" si="87"/>
        <v>Large</v>
      </c>
    </row>
    <row r="1409" spans="1:10" x14ac:dyDescent="0.25">
      <c r="A1409" t="s">
        <v>49</v>
      </c>
      <c r="B1409" t="s">
        <v>15</v>
      </c>
      <c r="C1409" t="s">
        <v>20</v>
      </c>
      <c r="D1409" s="1">
        <v>44987</v>
      </c>
      <c r="E1409" s="2">
        <v>7683.78</v>
      </c>
      <c r="F1409">
        <v>279</v>
      </c>
      <c r="G1409" s="2">
        <f t="shared" si="84"/>
        <v>27.54043010752688</v>
      </c>
      <c r="H1409" t="str">
        <f t="shared" si="85"/>
        <v>March</v>
      </c>
      <c r="I1409" t="str">
        <f t="shared" si="86"/>
        <v>Q1</v>
      </c>
      <c r="J1409" t="str">
        <f t="shared" si="87"/>
        <v>Large</v>
      </c>
    </row>
    <row r="1410" spans="1:10" x14ac:dyDescent="0.25">
      <c r="A1410" t="s">
        <v>12</v>
      </c>
      <c r="B1410" t="s">
        <v>7</v>
      </c>
      <c r="C1410" t="s">
        <v>42</v>
      </c>
      <c r="D1410" s="1">
        <v>45022</v>
      </c>
      <c r="E1410" s="2">
        <v>1412.22</v>
      </c>
      <c r="F1410">
        <v>90</v>
      </c>
      <c r="G1410" s="2">
        <f t="shared" si="84"/>
        <v>15.691333333333334</v>
      </c>
      <c r="H1410" t="str">
        <f t="shared" si="85"/>
        <v>April</v>
      </c>
      <c r="I1410" t="str">
        <f t="shared" si="86"/>
        <v>Q2</v>
      </c>
      <c r="J1410" t="str">
        <f t="shared" si="87"/>
        <v>Large</v>
      </c>
    </row>
    <row r="1411" spans="1:10" x14ac:dyDescent="0.25">
      <c r="A1411" t="s">
        <v>19</v>
      </c>
      <c r="B1411" t="s">
        <v>15</v>
      </c>
      <c r="C1411" t="s">
        <v>51</v>
      </c>
      <c r="D1411" s="1">
        <v>45002</v>
      </c>
      <c r="E1411" s="2">
        <v>607.08000000000004</v>
      </c>
      <c r="F1411">
        <v>76</v>
      </c>
      <c r="G1411" s="2">
        <f t="shared" ref="G1411:G1474" si="88">E1411/F1411</f>
        <v>7.9878947368421054</v>
      </c>
      <c r="H1411" t="str">
        <f t="shared" ref="H1411:H1474" si="89">TEXT(D1411, "mmmm")</f>
        <v>March</v>
      </c>
      <c r="I1411" t="str">
        <f t="shared" ref="I1411:I1474" si="90">"Q" &amp; ROUNDUP(MONTH(D1411)/3,0)</f>
        <v>Q1</v>
      </c>
      <c r="J1411" t="str">
        <f t="shared" ref="J1411:J1474" si="91">IF(E1411 &gt; 500, "Large", "Small")</f>
        <v>Large</v>
      </c>
    </row>
    <row r="1412" spans="1:10" x14ac:dyDescent="0.25">
      <c r="A1412" t="s">
        <v>38</v>
      </c>
      <c r="B1412" t="s">
        <v>7</v>
      </c>
      <c r="C1412" t="s">
        <v>42</v>
      </c>
      <c r="D1412" s="1">
        <v>45101</v>
      </c>
      <c r="E1412" s="2">
        <v>11688.75</v>
      </c>
      <c r="F1412">
        <v>136</v>
      </c>
      <c r="G1412" s="2">
        <f t="shared" si="88"/>
        <v>85.946691176470594</v>
      </c>
      <c r="H1412" t="str">
        <f t="shared" si="89"/>
        <v>June</v>
      </c>
      <c r="I1412" t="str">
        <f t="shared" si="90"/>
        <v>Q2</v>
      </c>
      <c r="J1412" t="str">
        <f t="shared" si="91"/>
        <v>Large</v>
      </c>
    </row>
    <row r="1413" spans="1:10" x14ac:dyDescent="0.25">
      <c r="A1413" t="s">
        <v>25</v>
      </c>
      <c r="B1413" t="s">
        <v>29</v>
      </c>
      <c r="C1413" t="s">
        <v>22</v>
      </c>
      <c r="D1413" s="1">
        <v>45126</v>
      </c>
      <c r="E1413" s="2">
        <v>10275.549999999999</v>
      </c>
      <c r="F1413">
        <v>301</v>
      </c>
      <c r="G1413" s="2">
        <f t="shared" si="88"/>
        <v>34.138039867109633</v>
      </c>
      <c r="H1413" t="str">
        <f t="shared" si="89"/>
        <v>July</v>
      </c>
      <c r="I1413" t="str">
        <f t="shared" si="90"/>
        <v>Q3</v>
      </c>
      <c r="J1413" t="str">
        <f t="shared" si="91"/>
        <v>Large</v>
      </c>
    </row>
    <row r="1414" spans="1:10" x14ac:dyDescent="0.25">
      <c r="A1414" t="s">
        <v>38</v>
      </c>
      <c r="B1414" t="s">
        <v>26</v>
      </c>
      <c r="C1414" t="s">
        <v>39</v>
      </c>
      <c r="D1414" s="1">
        <v>45118</v>
      </c>
      <c r="E1414" s="2">
        <v>1788.1</v>
      </c>
      <c r="F1414">
        <v>271</v>
      </c>
      <c r="G1414" s="2">
        <f t="shared" si="88"/>
        <v>6.5981549815498148</v>
      </c>
      <c r="H1414" t="str">
        <f t="shared" si="89"/>
        <v>July</v>
      </c>
      <c r="I1414" t="str">
        <f t="shared" si="90"/>
        <v>Q3</v>
      </c>
      <c r="J1414" t="str">
        <f t="shared" si="91"/>
        <v>Large</v>
      </c>
    </row>
    <row r="1415" spans="1:10" x14ac:dyDescent="0.25">
      <c r="A1415" t="s">
        <v>23</v>
      </c>
      <c r="B1415" t="s">
        <v>10</v>
      </c>
      <c r="C1415" t="s">
        <v>47</v>
      </c>
      <c r="D1415" s="1">
        <v>44939</v>
      </c>
      <c r="E1415" s="2">
        <v>2378.08</v>
      </c>
      <c r="F1415">
        <v>222</v>
      </c>
      <c r="G1415" s="2">
        <f t="shared" si="88"/>
        <v>10.712072072072072</v>
      </c>
      <c r="H1415" t="str">
        <f t="shared" si="89"/>
        <v>January</v>
      </c>
      <c r="I1415" t="str">
        <f t="shared" si="90"/>
        <v>Q1</v>
      </c>
      <c r="J1415" t="str">
        <f t="shared" si="91"/>
        <v>Large</v>
      </c>
    </row>
    <row r="1416" spans="1:10" x14ac:dyDescent="0.25">
      <c r="A1416" t="s">
        <v>17</v>
      </c>
      <c r="B1416" t="s">
        <v>21</v>
      </c>
      <c r="C1416" t="s">
        <v>16</v>
      </c>
      <c r="D1416" s="1">
        <v>45114</v>
      </c>
      <c r="E1416" s="2">
        <v>9545.0300000000007</v>
      </c>
      <c r="F1416">
        <v>64</v>
      </c>
      <c r="G1416" s="2">
        <f t="shared" si="88"/>
        <v>149.14109375000001</v>
      </c>
      <c r="H1416" t="str">
        <f t="shared" si="89"/>
        <v>July</v>
      </c>
      <c r="I1416" t="str">
        <f t="shared" si="90"/>
        <v>Q3</v>
      </c>
      <c r="J1416" t="str">
        <f t="shared" si="91"/>
        <v>Large</v>
      </c>
    </row>
    <row r="1417" spans="1:10" x14ac:dyDescent="0.25">
      <c r="A1417" t="s">
        <v>14</v>
      </c>
      <c r="B1417" t="s">
        <v>10</v>
      </c>
      <c r="C1417" t="s">
        <v>11</v>
      </c>
      <c r="D1417" s="1">
        <v>45071</v>
      </c>
      <c r="E1417" s="2">
        <v>4999.5200000000004</v>
      </c>
      <c r="F1417">
        <v>446</v>
      </c>
      <c r="G1417" s="2">
        <f t="shared" si="88"/>
        <v>11.209686098654709</v>
      </c>
      <c r="H1417" t="str">
        <f t="shared" si="89"/>
        <v>May</v>
      </c>
      <c r="I1417" t="str">
        <f t="shared" si="90"/>
        <v>Q2</v>
      </c>
      <c r="J1417" t="str">
        <f t="shared" si="91"/>
        <v>Large</v>
      </c>
    </row>
    <row r="1418" spans="1:10" x14ac:dyDescent="0.25">
      <c r="A1418" t="s">
        <v>33</v>
      </c>
      <c r="B1418" t="s">
        <v>10</v>
      </c>
      <c r="C1418" t="s">
        <v>42</v>
      </c>
      <c r="D1418" s="1">
        <v>45029</v>
      </c>
      <c r="E1418" s="2">
        <v>5312.5</v>
      </c>
      <c r="F1418">
        <v>160</v>
      </c>
      <c r="G1418" s="2">
        <f t="shared" si="88"/>
        <v>33.203125</v>
      </c>
      <c r="H1418" t="str">
        <f t="shared" si="89"/>
        <v>April</v>
      </c>
      <c r="I1418" t="str">
        <f t="shared" si="90"/>
        <v>Q2</v>
      </c>
      <c r="J1418" t="str">
        <f t="shared" si="91"/>
        <v>Large</v>
      </c>
    </row>
    <row r="1419" spans="1:10" x14ac:dyDescent="0.25">
      <c r="A1419" t="s">
        <v>48</v>
      </c>
      <c r="B1419" t="s">
        <v>21</v>
      </c>
      <c r="C1419" t="s">
        <v>22</v>
      </c>
      <c r="D1419" s="1">
        <v>44987</v>
      </c>
      <c r="E1419" s="2">
        <v>3750.88</v>
      </c>
      <c r="F1419">
        <v>208</v>
      </c>
      <c r="G1419" s="2">
        <f t="shared" si="88"/>
        <v>18.033076923076923</v>
      </c>
      <c r="H1419" t="str">
        <f t="shared" si="89"/>
        <v>March</v>
      </c>
      <c r="I1419" t="str">
        <f t="shared" si="90"/>
        <v>Q1</v>
      </c>
      <c r="J1419" t="str">
        <f t="shared" si="91"/>
        <v>Large</v>
      </c>
    </row>
    <row r="1420" spans="1:10" x14ac:dyDescent="0.25">
      <c r="A1420" t="s">
        <v>19</v>
      </c>
      <c r="B1420" t="s">
        <v>29</v>
      </c>
      <c r="C1420" t="s">
        <v>51</v>
      </c>
      <c r="D1420" s="1">
        <v>45100</v>
      </c>
      <c r="E1420" s="2">
        <v>2375.7399999999998</v>
      </c>
      <c r="F1420">
        <v>129</v>
      </c>
      <c r="G1420" s="2">
        <f t="shared" si="88"/>
        <v>18.416589147286821</v>
      </c>
      <c r="H1420" t="str">
        <f t="shared" si="89"/>
        <v>June</v>
      </c>
      <c r="I1420" t="str">
        <f t="shared" si="90"/>
        <v>Q2</v>
      </c>
      <c r="J1420" t="str">
        <f t="shared" si="91"/>
        <v>Large</v>
      </c>
    </row>
    <row r="1421" spans="1:10" x14ac:dyDescent="0.25">
      <c r="A1421" t="s">
        <v>49</v>
      </c>
      <c r="B1421" t="s">
        <v>26</v>
      </c>
      <c r="C1421" t="s">
        <v>32</v>
      </c>
      <c r="D1421" s="1">
        <v>45133</v>
      </c>
      <c r="E1421" s="2">
        <v>7013.61</v>
      </c>
      <c r="F1421">
        <v>170</v>
      </c>
      <c r="G1421" s="2">
        <f t="shared" si="88"/>
        <v>41.256529411764703</v>
      </c>
      <c r="H1421" t="str">
        <f t="shared" si="89"/>
        <v>July</v>
      </c>
      <c r="I1421" t="str">
        <f t="shared" si="90"/>
        <v>Q3</v>
      </c>
      <c r="J1421" t="str">
        <f t="shared" si="91"/>
        <v>Large</v>
      </c>
    </row>
    <row r="1422" spans="1:10" x14ac:dyDescent="0.25">
      <c r="A1422" t="s">
        <v>9</v>
      </c>
      <c r="B1422" t="s">
        <v>29</v>
      </c>
      <c r="C1422" t="s">
        <v>44</v>
      </c>
      <c r="D1422" s="1">
        <v>45007</v>
      </c>
      <c r="E1422" s="2">
        <v>481.52</v>
      </c>
      <c r="F1422">
        <v>3</v>
      </c>
      <c r="G1422" s="2">
        <f t="shared" si="88"/>
        <v>160.50666666666666</v>
      </c>
      <c r="H1422" t="str">
        <f t="shared" si="89"/>
        <v>March</v>
      </c>
      <c r="I1422" t="str">
        <f t="shared" si="90"/>
        <v>Q1</v>
      </c>
      <c r="J1422" t="str">
        <f t="shared" si="91"/>
        <v>Small</v>
      </c>
    </row>
    <row r="1423" spans="1:10" x14ac:dyDescent="0.25">
      <c r="A1423" t="s">
        <v>24</v>
      </c>
      <c r="B1423" t="s">
        <v>26</v>
      </c>
      <c r="C1423" t="s">
        <v>56</v>
      </c>
      <c r="D1423" s="1">
        <v>45086</v>
      </c>
      <c r="E1423" s="2">
        <v>3136.92</v>
      </c>
      <c r="F1423">
        <v>64</v>
      </c>
      <c r="G1423" s="2">
        <f t="shared" si="88"/>
        <v>49.014375000000001</v>
      </c>
      <c r="H1423" t="str">
        <f t="shared" si="89"/>
        <v>June</v>
      </c>
      <c r="I1423" t="str">
        <f t="shared" si="90"/>
        <v>Q2</v>
      </c>
      <c r="J1423" t="str">
        <f t="shared" si="91"/>
        <v>Large</v>
      </c>
    </row>
    <row r="1424" spans="1:10" x14ac:dyDescent="0.25">
      <c r="A1424" t="s">
        <v>9</v>
      </c>
      <c r="B1424" t="s">
        <v>15</v>
      </c>
      <c r="C1424" t="s">
        <v>57</v>
      </c>
      <c r="D1424" s="1">
        <v>45063</v>
      </c>
      <c r="E1424" s="2">
        <v>6584.26</v>
      </c>
      <c r="F1424">
        <v>62</v>
      </c>
      <c r="G1424" s="2">
        <f t="shared" si="88"/>
        <v>106.19774193548388</v>
      </c>
      <c r="H1424" t="str">
        <f t="shared" si="89"/>
        <v>May</v>
      </c>
      <c r="I1424" t="str">
        <f t="shared" si="90"/>
        <v>Q2</v>
      </c>
      <c r="J1424" t="str">
        <f t="shared" si="91"/>
        <v>Large</v>
      </c>
    </row>
    <row r="1425" spans="1:10" x14ac:dyDescent="0.25">
      <c r="A1425" t="s">
        <v>55</v>
      </c>
      <c r="B1425" t="s">
        <v>21</v>
      </c>
      <c r="C1425" t="s">
        <v>13</v>
      </c>
      <c r="D1425" s="1">
        <v>44989</v>
      </c>
      <c r="E1425" s="2">
        <v>1024.77</v>
      </c>
      <c r="F1425">
        <v>260</v>
      </c>
      <c r="G1425" s="2">
        <f t="shared" si="88"/>
        <v>3.9414230769230767</v>
      </c>
      <c r="H1425" t="str">
        <f t="shared" si="89"/>
        <v>March</v>
      </c>
      <c r="I1425" t="str">
        <f t="shared" si="90"/>
        <v>Q1</v>
      </c>
      <c r="J1425" t="str">
        <f t="shared" si="91"/>
        <v>Large</v>
      </c>
    </row>
    <row r="1426" spans="1:10" x14ac:dyDescent="0.25">
      <c r="A1426" t="s">
        <v>49</v>
      </c>
      <c r="B1426" t="s">
        <v>29</v>
      </c>
      <c r="C1426" t="s">
        <v>37</v>
      </c>
      <c r="D1426" s="1">
        <v>45114</v>
      </c>
      <c r="E1426" s="2">
        <v>17680.189999999999</v>
      </c>
      <c r="F1426">
        <v>27</v>
      </c>
      <c r="G1426" s="2">
        <f t="shared" si="88"/>
        <v>654.82185185185176</v>
      </c>
      <c r="H1426" t="str">
        <f t="shared" si="89"/>
        <v>July</v>
      </c>
      <c r="I1426" t="str">
        <f t="shared" si="90"/>
        <v>Q3</v>
      </c>
      <c r="J1426" t="str">
        <f t="shared" si="91"/>
        <v>Large</v>
      </c>
    </row>
    <row r="1427" spans="1:10" x14ac:dyDescent="0.25">
      <c r="A1427" t="s">
        <v>43</v>
      </c>
      <c r="B1427" t="s">
        <v>29</v>
      </c>
      <c r="C1427" t="s">
        <v>52</v>
      </c>
      <c r="D1427" s="1">
        <v>44939</v>
      </c>
      <c r="E1427" s="2">
        <v>10707.82</v>
      </c>
      <c r="F1427">
        <v>124</v>
      </c>
      <c r="G1427" s="2">
        <f t="shared" si="88"/>
        <v>86.353387096774185</v>
      </c>
      <c r="H1427" t="str">
        <f t="shared" si="89"/>
        <v>January</v>
      </c>
      <c r="I1427" t="str">
        <f t="shared" si="90"/>
        <v>Q1</v>
      </c>
      <c r="J1427" t="str">
        <f t="shared" si="91"/>
        <v>Large</v>
      </c>
    </row>
    <row r="1428" spans="1:10" x14ac:dyDescent="0.25">
      <c r="A1428" t="s">
        <v>38</v>
      </c>
      <c r="B1428" t="s">
        <v>15</v>
      </c>
      <c r="C1428" t="s">
        <v>47</v>
      </c>
      <c r="D1428" s="1">
        <v>45120</v>
      </c>
      <c r="E1428" s="2">
        <v>3019.09</v>
      </c>
      <c r="F1428">
        <v>78</v>
      </c>
      <c r="G1428" s="2">
        <f t="shared" si="88"/>
        <v>38.706282051282052</v>
      </c>
      <c r="H1428" t="str">
        <f t="shared" si="89"/>
        <v>July</v>
      </c>
      <c r="I1428" t="str">
        <f t="shared" si="90"/>
        <v>Q3</v>
      </c>
      <c r="J1428" t="str">
        <f t="shared" si="91"/>
        <v>Large</v>
      </c>
    </row>
    <row r="1429" spans="1:10" x14ac:dyDescent="0.25">
      <c r="A1429" t="s">
        <v>53</v>
      </c>
      <c r="B1429" t="s">
        <v>15</v>
      </c>
      <c r="C1429" t="s">
        <v>11</v>
      </c>
      <c r="D1429" s="1">
        <v>45093</v>
      </c>
      <c r="E1429" s="2">
        <v>1758.62</v>
      </c>
      <c r="F1429">
        <v>329</v>
      </c>
      <c r="G1429" s="2">
        <f t="shared" si="88"/>
        <v>5.3453495440729482</v>
      </c>
      <c r="H1429" t="str">
        <f t="shared" si="89"/>
        <v>June</v>
      </c>
      <c r="I1429" t="str">
        <f t="shared" si="90"/>
        <v>Q2</v>
      </c>
      <c r="J1429" t="str">
        <f t="shared" si="91"/>
        <v>Large</v>
      </c>
    </row>
    <row r="1430" spans="1:10" x14ac:dyDescent="0.25">
      <c r="A1430" t="s">
        <v>12</v>
      </c>
      <c r="B1430" t="s">
        <v>7</v>
      </c>
      <c r="C1430" t="s">
        <v>22</v>
      </c>
      <c r="D1430" s="1">
        <v>45125</v>
      </c>
      <c r="E1430" s="2">
        <v>8385.3799999999992</v>
      </c>
      <c r="F1430">
        <v>73</v>
      </c>
      <c r="G1430" s="2">
        <f t="shared" si="88"/>
        <v>114.86821917808219</v>
      </c>
      <c r="H1430" t="str">
        <f t="shared" si="89"/>
        <v>July</v>
      </c>
      <c r="I1430" t="str">
        <f t="shared" si="90"/>
        <v>Q3</v>
      </c>
      <c r="J1430" t="str">
        <f t="shared" si="91"/>
        <v>Large</v>
      </c>
    </row>
    <row r="1431" spans="1:10" x14ac:dyDescent="0.25">
      <c r="A1431" t="s">
        <v>55</v>
      </c>
      <c r="B1431" t="s">
        <v>7</v>
      </c>
      <c r="C1431" t="s">
        <v>45</v>
      </c>
      <c r="D1431" s="1">
        <v>45076</v>
      </c>
      <c r="E1431" s="2">
        <v>4854.12</v>
      </c>
      <c r="F1431">
        <v>411</v>
      </c>
      <c r="G1431" s="2">
        <f t="shared" si="88"/>
        <v>11.81051094890511</v>
      </c>
      <c r="H1431" t="str">
        <f t="shared" si="89"/>
        <v>May</v>
      </c>
      <c r="I1431" t="str">
        <f t="shared" si="90"/>
        <v>Q2</v>
      </c>
      <c r="J1431" t="str">
        <f t="shared" si="91"/>
        <v>Large</v>
      </c>
    </row>
    <row r="1432" spans="1:10" x14ac:dyDescent="0.25">
      <c r="A1432" t="s">
        <v>12</v>
      </c>
      <c r="B1432" t="s">
        <v>7</v>
      </c>
      <c r="C1432" t="s">
        <v>58</v>
      </c>
      <c r="D1432" s="1">
        <v>45098</v>
      </c>
      <c r="E1432" s="2">
        <v>949.18</v>
      </c>
      <c r="F1432">
        <v>83</v>
      </c>
      <c r="G1432" s="2">
        <f t="shared" si="88"/>
        <v>11.43590361445783</v>
      </c>
      <c r="H1432" t="str">
        <f t="shared" si="89"/>
        <v>June</v>
      </c>
      <c r="I1432" t="str">
        <f t="shared" si="90"/>
        <v>Q2</v>
      </c>
      <c r="J1432" t="str">
        <f t="shared" si="91"/>
        <v>Large</v>
      </c>
    </row>
    <row r="1433" spans="1:10" x14ac:dyDescent="0.25">
      <c r="A1433" t="s">
        <v>6</v>
      </c>
      <c r="B1433" t="s">
        <v>15</v>
      </c>
      <c r="C1433" t="s">
        <v>13</v>
      </c>
      <c r="D1433" s="1">
        <v>45101</v>
      </c>
      <c r="E1433" s="2">
        <v>6047.05</v>
      </c>
      <c r="F1433">
        <v>40</v>
      </c>
      <c r="G1433" s="2">
        <f t="shared" si="88"/>
        <v>151.17625000000001</v>
      </c>
      <c r="H1433" t="str">
        <f t="shared" si="89"/>
        <v>June</v>
      </c>
      <c r="I1433" t="str">
        <f t="shared" si="90"/>
        <v>Q2</v>
      </c>
      <c r="J1433" t="str">
        <f t="shared" si="91"/>
        <v>Large</v>
      </c>
    </row>
    <row r="1434" spans="1:10" x14ac:dyDescent="0.25">
      <c r="A1434" t="s">
        <v>33</v>
      </c>
      <c r="B1434" t="s">
        <v>10</v>
      </c>
      <c r="C1434" t="s">
        <v>30</v>
      </c>
      <c r="D1434" s="1">
        <v>44939</v>
      </c>
      <c r="E1434" s="2">
        <v>3883.32</v>
      </c>
      <c r="F1434">
        <v>94</v>
      </c>
      <c r="G1434" s="2">
        <f t="shared" si="88"/>
        <v>41.311914893617022</v>
      </c>
      <c r="H1434" t="str">
        <f t="shared" si="89"/>
        <v>January</v>
      </c>
      <c r="I1434" t="str">
        <f t="shared" si="90"/>
        <v>Q1</v>
      </c>
      <c r="J1434" t="str">
        <f t="shared" si="91"/>
        <v>Large</v>
      </c>
    </row>
    <row r="1435" spans="1:10" x14ac:dyDescent="0.25">
      <c r="A1435" t="s">
        <v>38</v>
      </c>
      <c r="B1435" t="s">
        <v>29</v>
      </c>
      <c r="C1435" t="s">
        <v>42</v>
      </c>
      <c r="D1435" s="1">
        <v>45020</v>
      </c>
      <c r="E1435" s="2">
        <v>4382.07</v>
      </c>
      <c r="F1435">
        <v>210</v>
      </c>
      <c r="G1435" s="2">
        <f t="shared" si="88"/>
        <v>20.866999999999997</v>
      </c>
      <c r="H1435" t="str">
        <f t="shared" si="89"/>
        <v>April</v>
      </c>
      <c r="I1435" t="str">
        <f t="shared" si="90"/>
        <v>Q2</v>
      </c>
      <c r="J1435" t="str">
        <f t="shared" si="91"/>
        <v>Large</v>
      </c>
    </row>
    <row r="1436" spans="1:10" x14ac:dyDescent="0.25">
      <c r="A1436" t="s">
        <v>41</v>
      </c>
      <c r="B1436" t="s">
        <v>7</v>
      </c>
      <c r="C1436" t="s">
        <v>16</v>
      </c>
      <c r="D1436" s="1">
        <v>45085</v>
      </c>
      <c r="E1436" s="2">
        <v>9928.1</v>
      </c>
      <c r="F1436">
        <v>599</v>
      </c>
      <c r="G1436" s="2">
        <f t="shared" si="88"/>
        <v>16.574457429048415</v>
      </c>
      <c r="H1436" t="str">
        <f t="shared" si="89"/>
        <v>June</v>
      </c>
      <c r="I1436" t="str">
        <f t="shared" si="90"/>
        <v>Q2</v>
      </c>
      <c r="J1436" t="str">
        <f t="shared" si="91"/>
        <v>Large</v>
      </c>
    </row>
    <row r="1437" spans="1:10" x14ac:dyDescent="0.25">
      <c r="A1437" t="s">
        <v>31</v>
      </c>
      <c r="B1437" t="s">
        <v>29</v>
      </c>
      <c r="C1437" t="s">
        <v>39</v>
      </c>
      <c r="D1437" s="1">
        <v>45140</v>
      </c>
      <c r="E1437" s="2">
        <v>6315.53</v>
      </c>
      <c r="F1437">
        <v>51</v>
      </c>
      <c r="G1437" s="2">
        <f t="shared" si="88"/>
        <v>123.83392156862745</v>
      </c>
      <c r="H1437" t="str">
        <f t="shared" si="89"/>
        <v>August</v>
      </c>
      <c r="I1437" t="str">
        <f t="shared" si="90"/>
        <v>Q3</v>
      </c>
      <c r="J1437" t="str">
        <f t="shared" si="91"/>
        <v>Large</v>
      </c>
    </row>
    <row r="1438" spans="1:10" x14ac:dyDescent="0.25">
      <c r="A1438" t="s">
        <v>49</v>
      </c>
      <c r="B1438" t="s">
        <v>26</v>
      </c>
      <c r="C1438" t="s">
        <v>35</v>
      </c>
      <c r="D1438" s="1">
        <v>45128</v>
      </c>
      <c r="E1438" s="2">
        <v>10630.08</v>
      </c>
      <c r="F1438">
        <v>155</v>
      </c>
      <c r="G1438" s="2">
        <f t="shared" si="88"/>
        <v>68.581161290322584</v>
      </c>
      <c r="H1438" t="str">
        <f t="shared" si="89"/>
        <v>July</v>
      </c>
      <c r="I1438" t="str">
        <f t="shared" si="90"/>
        <v>Q3</v>
      </c>
      <c r="J1438" t="str">
        <f t="shared" si="91"/>
        <v>Large</v>
      </c>
    </row>
    <row r="1439" spans="1:10" x14ac:dyDescent="0.25">
      <c r="A1439" t="s">
        <v>38</v>
      </c>
      <c r="B1439" t="s">
        <v>10</v>
      </c>
      <c r="C1439" t="s">
        <v>39</v>
      </c>
      <c r="D1439" s="1">
        <v>45097</v>
      </c>
      <c r="E1439" s="2">
        <v>167.33</v>
      </c>
      <c r="F1439">
        <v>143</v>
      </c>
      <c r="G1439" s="2">
        <f t="shared" si="88"/>
        <v>1.1701398601398603</v>
      </c>
      <c r="H1439" t="str">
        <f t="shared" si="89"/>
        <v>June</v>
      </c>
      <c r="I1439" t="str">
        <f t="shared" si="90"/>
        <v>Q2</v>
      </c>
      <c r="J1439" t="str">
        <f t="shared" si="91"/>
        <v>Small</v>
      </c>
    </row>
    <row r="1440" spans="1:10" x14ac:dyDescent="0.25">
      <c r="A1440" t="s">
        <v>36</v>
      </c>
      <c r="B1440" t="s">
        <v>10</v>
      </c>
      <c r="C1440" t="s">
        <v>20</v>
      </c>
      <c r="D1440" s="1">
        <v>45099</v>
      </c>
      <c r="E1440" s="2">
        <v>2690.14</v>
      </c>
      <c r="F1440">
        <v>117</v>
      </c>
      <c r="G1440" s="2">
        <f t="shared" si="88"/>
        <v>22.992649572649572</v>
      </c>
      <c r="H1440" t="str">
        <f t="shared" si="89"/>
        <v>June</v>
      </c>
      <c r="I1440" t="str">
        <f t="shared" si="90"/>
        <v>Q2</v>
      </c>
      <c r="J1440" t="str">
        <f t="shared" si="91"/>
        <v>Large</v>
      </c>
    </row>
    <row r="1441" spans="1:10" x14ac:dyDescent="0.25">
      <c r="A1441" t="s">
        <v>50</v>
      </c>
      <c r="B1441" t="s">
        <v>15</v>
      </c>
      <c r="C1441" t="s">
        <v>57</v>
      </c>
      <c r="D1441" s="1">
        <v>45048</v>
      </c>
      <c r="E1441" s="2">
        <v>3242.04</v>
      </c>
      <c r="F1441">
        <v>15</v>
      </c>
      <c r="G1441" s="2">
        <f t="shared" si="88"/>
        <v>216.136</v>
      </c>
      <c r="H1441" t="str">
        <f t="shared" si="89"/>
        <v>May</v>
      </c>
      <c r="I1441" t="str">
        <f t="shared" si="90"/>
        <v>Q2</v>
      </c>
      <c r="J1441" t="str">
        <f t="shared" si="91"/>
        <v>Large</v>
      </c>
    </row>
    <row r="1442" spans="1:10" x14ac:dyDescent="0.25">
      <c r="A1442" t="s">
        <v>38</v>
      </c>
      <c r="B1442" t="s">
        <v>15</v>
      </c>
      <c r="C1442" t="s">
        <v>18</v>
      </c>
      <c r="D1442" s="1">
        <v>44933</v>
      </c>
      <c r="E1442" s="2">
        <v>5363.69</v>
      </c>
      <c r="F1442">
        <v>87</v>
      </c>
      <c r="G1442" s="2">
        <f t="shared" si="88"/>
        <v>61.651609195402294</v>
      </c>
      <c r="H1442" t="str">
        <f t="shared" si="89"/>
        <v>January</v>
      </c>
      <c r="I1442" t="str">
        <f t="shared" si="90"/>
        <v>Q1</v>
      </c>
      <c r="J1442" t="str">
        <f t="shared" si="91"/>
        <v>Large</v>
      </c>
    </row>
    <row r="1443" spans="1:10" x14ac:dyDescent="0.25">
      <c r="A1443" t="s">
        <v>28</v>
      </c>
      <c r="B1443" t="s">
        <v>7</v>
      </c>
      <c r="C1443" t="s">
        <v>22</v>
      </c>
      <c r="D1443" s="1">
        <v>44978</v>
      </c>
      <c r="E1443" s="2">
        <v>6160.89</v>
      </c>
      <c r="F1443">
        <v>95</v>
      </c>
      <c r="G1443" s="2">
        <f t="shared" si="88"/>
        <v>64.851473684210532</v>
      </c>
      <c r="H1443" t="str">
        <f t="shared" si="89"/>
        <v>February</v>
      </c>
      <c r="I1443" t="str">
        <f t="shared" si="90"/>
        <v>Q1</v>
      </c>
      <c r="J1443" t="str">
        <f t="shared" si="91"/>
        <v>Large</v>
      </c>
    </row>
    <row r="1444" spans="1:10" x14ac:dyDescent="0.25">
      <c r="A1444" t="s">
        <v>55</v>
      </c>
      <c r="B1444" t="s">
        <v>29</v>
      </c>
      <c r="C1444" t="s">
        <v>56</v>
      </c>
      <c r="D1444" s="1">
        <v>45006</v>
      </c>
      <c r="E1444" s="2">
        <v>7968.23</v>
      </c>
      <c r="F1444">
        <v>373</v>
      </c>
      <c r="G1444" s="2">
        <f t="shared" si="88"/>
        <v>21.362546916890079</v>
      </c>
      <c r="H1444" t="str">
        <f t="shared" si="89"/>
        <v>March</v>
      </c>
      <c r="I1444" t="str">
        <f t="shared" si="90"/>
        <v>Q1</v>
      </c>
      <c r="J1444" t="str">
        <f t="shared" si="91"/>
        <v>Large</v>
      </c>
    </row>
    <row r="1445" spans="1:10" x14ac:dyDescent="0.25">
      <c r="A1445" t="s">
        <v>9</v>
      </c>
      <c r="B1445" t="s">
        <v>7</v>
      </c>
      <c r="C1445" t="s">
        <v>32</v>
      </c>
      <c r="D1445" s="1">
        <v>45020</v>
      </c>
      <c r="E1445" s="2">
        <v>6388.95</v>
      </c>
      <c r="F1445">
        <v>131</v>
      </c>
      <c r="G1445" s="2">
        <f t="shared" si="88"/>
        <v>48.770610687022902</v>
      </c>
      <c r="H1445" t="str">
        <f t="shared" si="89"/>
        <v>April</v>
      </c>
      <c r="I1445" t="str">
        <f t="shared" si="90"/>
        <v>Q2</v>
      </c>
      <c r="J1445" t="str">
        <f t="shared" si="91"/>
        <v>Large</v>
      </c>
    </row>
    <row r="1446" spans="1:10" x14ac:dyDescent="0.25">
      <c r="A1446" t="s">
        <v>19</v>
      </c>
      <c r="B1446" t="s">
        <v>29</v>
      </c>
      <c r="C1446" t="s">
        <v>42</v>
      </c>
      <c r="D1446" s="1">
        <v>45009</v>
      </c>
      <c r="E1446" s="2">
        <v>15840.74</v>
      </c>
      <c r="F1446">
        <v>216</v>
      </c>
      <c r="G1446" s="2">
        <f t="shared" si="88"/>
        <v>73.336759259259253</v>
      </c>
      <c r="H1446" t="str">
        <f t="shared" si="89"/>
        <v>March</v>
      </c>
      <c r="I1446" t="str">
        <f t="shared" si="90"/>
        <v>Q1</v>
      </c>
      <c r="J1446" t="str">
        <f t="shared" si="91"/>
        <v>Large</v>
      </c>
    </row>
    <row r="1447" spans="1:10" x14ac:dyDescent="0.25">
      <c r="A1447" t="s">
        <v>19</v>
      </c>
      <c r="B1447" t="s">
        <v>21</v>
      </c>
      <c r="C1447" t="s">
        <v>39</v>
      </c>
      <c r="D1447" s="1">
        <v>45105</v>
      </c>
      <c r="E1447" s="2">
        <v>7265.05</v>
      </c>
      <c r="F1447">
        <v>194</v>
      </c>
      <c r="G1447" s="2">
        <f t="shared" si="88"/>
        <v>37.448711340206188</v>
      </c>
      <c r="H1447" t="str">
        <f t="shared" si="89"/>
        <v>June</v>
      </c>
      <c r="I1447" t="str">
        <f t="shared" si="90"/>
        <v>Q2</v>
      </c>
      <c r="J1447" t="str">
        <f t="shared" si="91"/>
        <v>Large</v>
      </c>
    </row>
    <row r="1448" spans="1:10" x14ac:dyDescent="0.25">
      <c r="A1448" t="s">
        <v>19</v>
      </c>
      <c r="B1448" t="s">
        <v>15</v>
      </c>
      <c r="C1448" t="s">
        <v>32</v>
      </c>
      <c r="D1448" s="1">
        <v>44940</v>
      </c>
      <c r="E1448" s="2">
        <v>2342.4899999999998</v>
      </c>
      <c r="F1448">
        <v>192</v>
      </c>
      <c r="G1448" s="2">
        <f t="shared" si="88"/>
        <v>12.200468749999999</v>
      </c>
      <c r="H1448" t="str">
        <f t="shared" si="89"/>
        <v>January</v>
      </c>
      <c r="I1448" t="str">
        <f t="shared" si="90"/>
        <v>Q1</v>
      </c>
      <c r="J1448" t="str">
        <f t="shared" si="91"/>
        <v>Large</v>
      </c>
    </row>
    <row r="1449" spans="1:10" x14ac:dyDescent="0.25">
      <c r="A1449" t="s">
        <v>31</v>
      </c>
      <c r="B1449" t="s">
        <v>21</v>
      </c>
      <c r="C1449" t="s">
        <v>42</v>
      </c>
      <c r="D1449" s="1">
        <v>44964</v>
      </c>
      <c r="E1449" s="2">
        <v>1365.88</v>
      </c>
      <c r="F1449">
        <v>147</v>
      </c>
      <c r="G1449" s="2">
        <f t="shared" si="88"/>
        <v>9.2917006802721094</v>
      </c>
      <c r="H1449" t="str">
        <f t="shared" si="89"/>
        <v>February</v>
      </c>
      <c r="I1449" t="str">
        <f t="shared" si="90"/>
        <v>Q1</v>
      </c>
      <c r="J1449" t="str">
        <f t="shared" si="91"/>
        <v>Large</v>
      </c>
    </row>
    <row r="1450" spans="1:10" x14ac:dyDescent="0.25">
      <c r="A1450" t="s">
        <v>43</v>
      </c>
      <c r="B1450" t="s">
        <v>21</v>
      </c>
      <c r="C1450" t="s">
        <v>32</v>
      </c>
      <c r="D1450" s="1">
        <v>44937</v>
      </c>
      <c r="E1450" s="2">
        <v>4437.46</v>
      </c>
      <c r="F1450">
        <v>196</v>
      </c>
      <c r="G1450" s="2">
        <f t="shared" si="88"/>
        <v>22.640102040816327</v>
      </c>
      <c r="H1450" t="str">
        <f t="shared" si="89"/>
        <v>January</v>
      </c>
      <c r="I1450" t="str">
        <f t="shared" si="90"/>
        <v>Q1</v>
      </c>
      <c r="J1450" t="str">
        <f t="shared" si="91"/>
        <v>Large</v>
      </c>
    </row>
    <row r="1451" spans="1:10" x14ac:dyDescent="0.25">
      <c r="A1451" t="s">
        <v>6</v>
      </c>
      <c r="B1451" t="s">
        <v>10</v>
      </c>
      <c r="C1451" t="s">
        <v>18</v>
      </c>
      <c r="D1451" s="1">
        <v>44982</v>
      </c>
      <c r="E1451" s="2">
        <v>2072.2399999999998</v>
      </c>
      <c r="F1451">
        <v>232</v>
      </c>
      <c r="G1451" s="2">
        <f t="shared" si="88"/>
        <v>8.9320689655172405</v>
      </c>
      <c r="H1451" t="str">
        <f t="shared" si="89"/>
        <v>February</v>
      </c>
      <c r="I1451" t="str">
        <f t="shared" si="90"/>
        <v>Q1</v>
      </c>
      <c r="J1451" t="str">
        <f t="shared" si="91"/>
        <v>Large</v>
      </c>
    </row>
    <row r="1452" spans="1:10" x14ac:dyDescent="0.25">
      <c r="A1452" t="s">
        <v>54</v>
      </c>
      <c r="B1452" t="s">
        <v>15</v>
      </c>
      <c r="C1452" t="s">
        <v>8</v>
      </c>
      <c r="D1452" s="1">
        <v>45139</v>
      </c>
      <c r="E1452" s="2">
        <v>7091.81</v>
      </c>
      <c r="F1452">
        <v>27</v>
      </c>
      <c r="G1452" s="2">
        <f t="shared" si="88"/>
        <v>262.65962962962965</v>
      </c>
      <c r="H1452" t="str">
        <f t="shared" si="89"/>
        <v>August</v>
      </c>
      <c r="I1452" t="str">
        <f t="shared" si="90"/>
        <v>Q3</v>
      </c>
      <c r="J1452" t="str">
        <f t="shared" si="91"/>
        <v>Large</v>
      </c>
    </row>
    <row r="1453" spans="1:10" x14ac:dyDescent="0.25">
      <c r="A1453" t="s">
        <v>36</v>
      </c>
      <c r="B1453" t="s">
        <v>15</v>
      </c>
      <c r="C1453" t="s">
        <v>8</v>
      </c>
      <c r="D1453" s="1">
        <v>45051</v>
      </c>
      <c r="E1453" s="2">
        <v>7213.16</v>
      </c>
      <c r="F1453">
        <v>277</v>
      </c>
      <c r="G1453" s="2">
        <f t="shared" si="88"/>
        <v>26.040288808664258</v>
      </c>
      <c r="H1453" t="str">
        <f t="shared" si="89"/>
        <v>May</v>
      </c>
      <c r="I1453" t="str">
        <f t="shared" si="90"/>
        <v>Q2</v>
      </c>
      <c r="J1453" t="str">
        <f t="shared" si="91"/>
        <v>Large</v>
      </c>
    </row>
    <row r="1454" spans="1:10" x14ac:dyDescent="0.25">
      <c r="A1454" t="s">
        <v>53</v>
      </c>
      <c r="B1454" t="s">
        <v>21</v>
      </c>
      <c r="C1454" t="s">
        <v>51</v>
      </c>
      <c r="D1454" s="1">
        <v>45064</v>
      </c>
      <c r="E1454" s="2">
        <v>9672.76</v>
      </c>
      <c r="F1454">
        <v>411</v>
      </c>
      <c r="G1454" s="2">
        <f t="shared" si="88"/>
        <v>23.534695863746958</v>
      </c>
      <c r="H1454" t="str">
        <f t="shared" si="89"/>
        <v>May</v>
      </c>
      <c r="I1454" t="str">
        <f t="shared" si="90"/>
        <v>Q2</v>
      </c>
      <c r="J1454" t="str">
        <f t="shared" si="91"/>
        <v>Large</v>
      </c>
    </row>
    <row r="1455" spans="1:10" x14ac:dyDescent="0.25">
      <c r="A1455" t="s">
        <v>54</v>
      </c>
      <c r="B1455" t="s">
        <v>21</v>
      </c>
      <c r="C1455" t="s">
        <v>52</v>
      </c>
      <c r="D1455" s="1">
        <v>44930</v>
      </c>
      <c r="E1455" s="2">
        <v>5750.05</v>
      </c>
      <c r="F1455">
        <v>350</v>
      </c>
      <c r="G1455" s="2">
        <f t="shared" si="88"/>
        <v>16.428714285714285</v>
      </c>
      <c r="H1455" t="str">
        <f t="shared" si="89"/>
        <v>January</v>
      </c>
      <c r="I1455" t="str">
        <f t="shared" si="90"/>
        <v>Q1</v>
      </c>
      <c r="J1455" t="str">
        <f t="shared" si="91"/>
        <v>Large</v>
      </c>
    </row>
    <row r="1456" spans="1:10" x14ac:dyDescent="0.25">
      <c r="A1456" t="s">
        <v>36</v>
      </c>
      <c r="B1456" t="s">
        <v>21</v>
      </c>
      <c r="C1456" t="s">
        <v>22</v>
      </c>
      <c r="D1456" s="1">
        <v>45055</v>
      </c>
      <c r="E1456" s="2">
        <v>4641.29</v>
      </c>
      <c r="F1456">
        <v>220</v>
      </c>
      <c r="G1456" s="2">
        <f t="shared" si="88"/>
        <v>21.096772727272729</v>
      </c>
      <c r="H1456" t="str">
        <f t="shared" si="89"/>
        <v>May</v>
      </c>
      <c r="I1456" t="str">
        <f t="shared" si="90"/>
        <v>Q2</v>
      </c>
      <c r="J1456" t="str">
        <f t="shared" si="91"/>
        <v>Large</v>
      </c>
    </row>
    <row r="1457" spans="1:10" x14ac:dyDescent="0.25">
      <c r="A1457" t="s">
        <v>24</v>
      </c>
      <c r="B1457" t="s">
        <v>10</v>
      </c>
      <c r="C1457" t="s">
        <v>16</v>
      </c>
      <c r="D1457" s="1">
        <v>45052</v>
      </c>
      <c r="E1457" s="2">
        <v>1871.33</v>
      </c>
      <c r="F1457">
        <v>88</v>
      </c>
      <c r="G1457" s="2">
        <f t="shared" si="88"/>
        <v>21.265113636363637</v>
      </c>
      <c r="H1457" t="str">
        <f t="shared" si="89"/>
        <v>May</v>
      </c>
      <c r="I1457" t="str">
        <f t="shared" si="90"/>
        <v>Q2</v>
      </c>
      <c r="J1457" t="str">
        <f t="shared" si="91"/>
        <v>Large</v>
      </c>
    </row>
    <row r="1458" spans="1:10" x14ac:dyDescent="0.25">
      <c r="A1458" t="s">
        <v>40</v>
      </c>
      <c r="B1458" t="s">
        <v>7</v>
      </c>
      <c r="C1458" t="s">
        <v>44</v>
      </c>
      <c r="D1458" s="1">
        <v>44939</v>
      </c>
      <c r="E1458" s="2">
        <v>10843.46</v>
      </c>
      <c r="F1458">
        <v>142</v>
      </c>
      <c r="G1458" s="2">
        <f t="shared" si="88"/>
        <v>76.362394366197179</v>
      </c>
      <c r="H1458" t="str">
        <f t="shared" si="89"/>
        <v>January</v>
      </c>
      <c r="I1458" t="str">
        <f t="shared" si="90"/>
        <v>Q1</v>
      </c>
      <c r="J1458" t="str">
        <f t="shared" si="91"/>
        <v>Large</v>
      </c>
    </row>
    <row r="1459" spans="1:10" x14ac:dyDescent="0.25">
      <c r="A1459" t="s">
        <v>36</v>
      </c>
      <c r="B1459" t="s">
        <v>15</v>
      </c>
      <c r="C1459" t="s">
        <v>47</v>
      </c>
      <c r="D1459" s="1">
        <v>45101</v>
      </c>
      <c r="E1459" s="2">
        <v>5032.45</v>
      </c>
      <c r="F1459">
        <v>79</v>
      </c>
      <c r="G1459" s="2">
        <f t="shared" si="88"/>
        <v>63.701898734177213</v>
      </c>
      <c r="H1459" t="str">
        <f t="shared" si="89"/>
        <v>June</v>
      </c>
      <c r="I1459" t="str">
        <f t="shared" si="90"/>
        <v>Q2</v>
      </c>
      <c r="J1459" t="str">
        <f t="shared" si="91"/>
        <v>Large</v>
      </c>
    </row>
    <row r="1460" spans="1:10" x14ac:dyDescent="0.25">
      <c r="A1460" t="s">
        <v>9</v>
      </c>
      <c r="B1460" t="s">
        <v>26</v>
      </c>
      <c r="C1460" t="s">
        <v>57</v>
      </c>
      <c r="D1460" s="1">
        <v>44971</v>
      </c>
      <c r="E1460" s="2">
        <v>1106.3800000000001</v>
      </c>
      <c r="F1460">
        <v>21</v>
      </c>
      <c r="G1460" s="2">
        <f t="shared" si="88"/>
        <v>52.684761904761913</v>
      </c>
      <c r="H1460" t="str">
        <f t="shared" si="89"/>
        <v>February</v>
      </c>
      <c r="I1460" t="str">
        <f t="shared" si="90"/>
        <v>Q1</v>
      </c>
      <c r="J1460" t="str">
        <f t="shared" si="91"/>
        <v>Large</v>
      </c>
    </row>
    <row r="1461" spans="1:10" x14ac:dyDescent="0.25">
      <c r="A1461" t="s">
        <v>50</v>
      </c>
      <c r="B1461" t="s">
        <v>15</v>
      </c>
      <c r="C1461" t="s">
        <v>18</v>
      </c>
      <c r="D1461" s="1">
        <v>44944</v>
      </c>
      <c r="E1461" s="2">
        <v>4977.55</v>
      </c>
      <c r="F1461">
        <v>97</v>
      </c>
      <c r="G1461" s="2">
        <f t="shared" si="88"/>
        <v>51.314948453608253</v>
      </c>
      <c r="H1461" t="str">
        <f t="shared" si="89"/>
        <v>January</v>
      </c>
      <c r="I1461" t="str">
        <f t="shared" si="90"/>
        <v>Q1</v>
      </c>
      <c r="J1461" t="str">
        <f t="shared" si="91"/>
        <v>Large</v>
      </c>
    </row>
    <row r="1462" spans="1:10" x14ac:dyDescent="0.25">
      <c r="A1462" t="s">
        <v>41</v>
      </c>
      <c r="B1462" t="s">
        <v>10</v>
      </c>
      <c r="C1462" t="s">
        <v>37</v>
      </c>
      <c r="D1462" s="1">
        <v>45048</v>
      </c>
      <c r="E1462" s="2">
        <v>3210.14</v>
      </c>
      <c r="F1462">
        <v>92</v>
      </c>
      <c r="G1462" s="2">
        <f t="shared" si="88"/>
        <v>34.892826086956518</v>
      </c>
      <c r="H1462" t="str">
        <f t="shared" si="89"/>
        <v>May</v>
      </c>
      <c r="I1462" t="str">
        <f t="shared" si="90"/>
        <v>Q2</v>
      </c>
      <c r="J1462" t="str">
        <f t="shared" si="91"/>
        <v>Large</v>
      </c>
    </row>
    <row r="1463" spans="1:10" x14ac:dyDescent="0.25">
      <c r="A1463" t="s">
        <v>55</v>
      </c>
      <c r="B1463" t="s">
        <v>15</v>
      </c>
      <c r="C1463" t="s">
        <v>16</v>
      </c>
      <c r="D1463" s="1">
        <v>45062</v>
      </c>
      <c r="E1463" s="2">
        <v>7794.8</v>
      </c>
      <c r="F1463">
        <v>54</v>
      </c>
      <c r="G1463" s="2">
        <f t="shared" si="88"/>
        <v>144.34814814814814</v>
      </c>
      <c r="H1463" t="str">
        <f t="shared" si="89"/>
        <v>May</v>
      </c>
      <c r="I1463" t="str">
        <f t="shared" si="90"/>
        <v>Q2</v>
      </c>
      <c r="J1463" t="str">
        <f t="shared" si="91"/>
        <v>Large</v>
      </c>
    </row>
    <row r="1464" spans="1:10" x14ac:dyDescent="0.25">
      <c r="A1464" t="s">
        <v>28</v>
      </c>
      <c r="B1464" t="s">
        <v>26</v>
      </c>
      <c r="C1464" t="s">
        <v>47</v>
      </c>
      <c r="D1464" s="1">
        <v>44954</v>
      </c>
      <c r="E1464" s="2">
        <v>7613.37</v>
      </c>
      <c r="F1464">
        <v>370</v>
      </c>
      <c r="G1464" s="2">
        <f t="shared" si="88"/>
        <v>20.576675675675677</v>
      </c>
      <c r="H1464" t="str">
        <f t="shared" si="89"/>
        <v>January</v>
      </c>
      <c r="I1464" t="str">
        <f t="shared" si="90"/>
        <v>Q1</v>
      </c>
      <c r="J1464" t="str">
        <f t="shared" si="91"/>
        <v>Large</v>
      </c>
    </row>
    <row r="1465" spans="1:10" x14ac:dyDescent="0.25">
      <c r="A1465" t="s">
        <v>41</v>
      </c>
      <c r="B1465" t="s">
        <v>29</v>
      </c>
      <c r="C1465" t="s">
        <v>18</v>
      </c>
      <c r="D1465" s="1">
        <v>45101</v>
      </c>
      <c r="E1465" s="2">
        <v>1332.76</v>
      </c>
      <c r="F1465">
        <v>409</v>
      </c>
      <c r="G1465" s="2">
        <f t="shared" si="88"/>
        <v>3.2585819070904645</v>
      </c>
      <c r="H1465" t="str">
        <f t="shared" si="89"/>
        <v>June</v>
      </c>
      <c r="I1465" t="str">
        <f t="shared" si="90"/>
        <v>Q2</v>
      </c>
      <c r="J1465" t="str">
        <f t="shared" si="91"/>
        <v>Large</v>
      </c>
    </row>
    <row r="1466" spans="1:10" x14ac:dyDescent="0.25">
      <c r="A1466" t="s">
        <v>17</v>
      </c>
      <c r="B1466" t="s">
        <v>7</v>
      </c>
      <c r="C1466" t="s">
        <v>20</v>
      </c>
      <c r="D1466" s="1">
        <v>45125</v>
      </c>
      <c r="E1466" s="2">
        <v>2587.7600000000002</v>
      </c>
      <c r="F1466">
        <v>108</v>
      </c>
      <c r="G1466" s="2">
        <f t="shared" si="88"/>
        <v>23.960740740740743</v>
      </c>
      <c r="H1466" t="str">
        <f t="shared" si="89"/>
        <v>July</v>
      </c>
      <c r="I1466" t="str">
        <f t="shared" si="90"/>
        <v>Q3</v>
      </c>
      <c r="J1466" t="str">
        <f t="shared" si="91"/>
        <v>Large</v>
      </c>
    </row>
    <row r="1467" spans="1:10" x14ac:dyDescent="0.25">
      <c r="A1467" t="s">
        <v>19</v>
      </c>
      <c r="B1467" t="s">
        <v>7</v>
      </c>
      <c r="C1467" t="s">
        <v>30</v>
      </c>
      <c r="D1467" s="1">
        <v>45029</v>
      </c>
      <c r="E1467" s="2">
        <v>3826.22</v>
      </c>
      <c r="F1467">
        <v>169</v>
      </c>
      <c r="G1467" s="2">
        <f t="shared" si="88"/>
        <v>22.640355029585798</v>
      </c>
      <c r="H1467" t="str">
        <f t="shared" si="89"/>
        <v>April</v>
      </c>
      <c r="I1467" t="str">
        <f t="shared" si="90"/>
        <v>Q2</v>
      </c>
      <c r="J1467" t="str">
        <f t="shared" si="91"/>
        <v>Large</v>
      </c>
    </row>
    <row r="1468" spans="1:10" x14ac:dyDescent="0.25">
      <c r="A1468" t="s">
        <v>54</v>
      </c>
      <c r="B1468" t="s">
        <v>26</v>
      </c>
      <c r="C1468" t="s">
        <v>57</v>
      </c>
      <c r="D1468" s="1">
        <v>45031</v>
      </c>
      <c r="E1468" s="2">
        <v>18687.87</v>
      </c>
      <c r="F1468">
        <v>80</v>
      </c>
      <c r="G1468" s="2">
        <f t="shared" si="88"/>
        <v>233.59837499999998</v>
      </c>
      <c r="H1468" t="str">
        <f t="shared" si="89"/>
        <v>April</v>
      </c>
      <c r="I1468" t="str">
        <f t="shared" si="90"/>
        <v>Q2</v>
      </c>
      <c r="J1468" t="str">
        <f t="shared" si="91"/>
        <v>Large</v>
      </c>
    </row>
    <row r="1469" spans="1:10" x14ac:dyDescent="0.25">
      <c r="A1469" t="s">
        <v>14</v>
      </c>
      <c r="B1469" t="s">
        <v>10</v>
      </c>
      <c r="C1469" t="s">
        <v>13</v>
      </c>
      <c r="D1469" s="1">
        <v>44930</v>
      </c>
      <c r="E1469" s="2">
        <v>8859.6299999999992</v>
      </c>
      <c r="F1469">
        <v>184</v>
      </c>
      <c r="G1469" s="2">
        <f t="shared" si="88"/>
        <v>48.150163043478258</v>
      </c>
      <c r="H1469" t="str">
        <f t="shared" si="89"/>
        <v>January</v>
      </c>
      <c r="I1469" t="str">
        <f t="shared" si="90"/>
        <v>Q1</v>
      </c>
      <c r="J1469" t="str">
        <f t="shared" si="91"/>
        <v>Large</v>
      </c>
    </row>
    <row r="1470" spans="1:10" x14ac:dyDescent="0.25">
      <c r="A1470" t="s">
        <v>40</v>
      </c>
      <c r="B1470" t="s">
        <v>15</v>
      </c>
      <c r="C1470" t="s">
        <v>30</v>
      </c>
      <c r="D1470" s="1">
        <v>45111</v>
      </c>
      <c r="E1470" s="2">
        <v>7299.4</v>
      </c>
      <c r="F1470">
        <v>34</v>
      </c>
      <c r="G1470" s="2">
        <f t="shared" si="88"/>
        <v>214.68823529411765</v>
      </c>
      <c r="H1470" t="str">
        <f t="shared" si="89"/>
        <v>July</v>
      </c>
      <c r="I1470" t="str">
        <f t="shared" si="90"/>
        <v>Q3</v>
      </c>
      <c r="J1470" t="str">
        <f t="shared" si="91"/>
        <v>Large</v>
      </c>
    </row>
    <row r="1471" spans="1:10" x14ac:dyDescent="0.25">
      <c r="A1471" t="s">
        <v>34</v>
      </c>
      <c r="B1471" t="s">
        <v>26</v>
      </c>
      <c r="C1471" t="s">
        <v>16</v>
      </c>
      <c r="D1471" s="1">
        <v>45009</v>
      </c>
      <c r="E1471" s="2">
        <v>2556.2600000000002</v>
      </c>
      <c r="F1471">
        <v>354</v>
      </c>
      <c r="G1471" s="2">
        <f t="shared" si="88"/>
        <v>7.2210734463276847</v>
      </c>
      <c r="H1471" t="str">
        <f t="shared" si="89"/>
        <v>March</v>
      </c>
      <c r="I1471" t="str">
        <f t="shared" si="90"/>
        <v>Q1</v>
      </c>
      <c r="J1471" t="str">
        <f t="shared" si="91"/>
        <v>Large</v>
      </c>
    </row>
    <row r="1472" spans="1:10" x14ac:dyDescent="0.25">
      <c r="A1472" t="s">
        <v>50</v>
      </c>
      <c r="B1472" t="s">
        <v>15</v>
      </c>
      <c r="C1472" t="s">
        <v>45</v>
      </c>
      <c r="D1472" s="1">
        <v>45002</v>
      </c>
      <c r="E1472" s="2">
        <v>703.4</v>
      </c>
      <c r="F1472">
        <v>181</v>
      </c>
      <c r="G1472" s="2">
        <f t="shared" si="88"/>
        <v>3.8861878453038674</v>
      </c>
      <c r="H1472" t="str">
        <f t="shared" si="89"/>
        <v>March</v>
      </c>
      <c r="I1472" t="str">
        <f t="shared" si="90"/>
        <v>Q1</v>
      </c>
      <c r="J1472" t="str">
        <f t="shared" si="91"/>
        <v>Large</v>
      </c>
    </row>
    <row r="1473" spans="1:10" x14ac:dyDescent="0.25">
      <c r="A1473" t="s">
        <v>17</v>
      </c>
      <c r="B1473" t="s">
        <v>15</v>
      </c>
      <c r="C1473" t="s">
        <v>47</v>
      </c>
      <c r="D1473" s="1">
        <v>44972</v>
      </c>
      <c r="E1473" s="2">
        <v>6421.18</v>
      </c>
      <c r="F1473">
        <v>242</v>
      </c>
      <c r="G1473" s="2">
        <f t="shared" si="88"/>
        <v>26.533801652892564</v>
      </c>
      <c r="H1473" t="str">
        <f t="shared" si="89"/>
        <v>February</v>
      </c>
      <c r="I1473" t="str">
        <f t="shared" si="90"/>
        <v>Q1</v>
      </c>
      <c r="J1473" t="str">
        <f t="shared" si="91"/>
        <v>Large</v>
      </c>
    </row>
    <row r="1474" spans="1:10" x14ac:dyDescent="0.25">
      <c r="A1474" t="s">
        <v>14</v>
      </c>
      <c r="B1474" t="s">
        <v>26</v>
      </c>
      <c r="C1474" t="s">
        <v>27</v>
      </c>
      <c r="D1474" s="1">
        <v>45106</v>
      </c>
      <c r="E1474" s="2">
        <v>1048.26</v>
      </c>
      <c r="F1474">
        <v>149</v>
      </c>
      <c r="G1474" s="2">
        <f t="shared" si="88"/>
        <v>7.035302013422819</v>
      </c>
      <c r="H1474" t="str">
        <f t="shared" si="89"/>
        <v>June</v>
      </c>
      <c r="I1474" t="str">
        <f t="shared" si="90"/>
        <v>Q2</v>
      </c>
      <c r="J1474" t="str">
        <f t="shared" si="91"/>
        <v>Large</v>
      </c>
    </row>
    <row r="1475" spans="1:10" x14ac:dyDescent="0.25">
      <c r="A1475" t="s">
        <v>12</v>
      </c>
      <c r="B1475" t="s">
        <v>26</v>
      </c>
      <c r="C1475" t="s">
        <v>42</v>
      </c>
      <c r="D1475" s="1">
        <v>45070</v>
      </c>
      <c r="E1475" s="2">
        <v>3099.14</v>
      </c>
      <c r="F1475">
        <v>115</v>
      </c>
      <c r="G1475" s="2">
        <f t="shared" ref="G1475:G1538" si="92">E1475/F1475</f>
        <v>26.949043478260869</v>
      </c>
      <c r="H1475" t="str">
        <f t="shared" ref="H1475:H1538" si="93">TEXT(D1475, "mmmm")</f>
        <v>May</v>
      </c>
      <c r="I1475" t="str">
        <f t="shared" ref="I1475:I1538" si="94">"Q" &amp; ROUNDUP(MONTH(D1475)/3,0)</f>
        <v>Q2</v>
      </c>
      <c r="J1475" t="str">
        <f t="shared" ref="J1475:J1538" si="95">IF(E1475 &gt; 500, "Large", "Small")</f>
        <v>Large</v>
      </c>
    </row>
    <row r="1476" spans="1:10" x14ac:dyDescent="0.25">
      <c r="A1476" t="s">
        <v>28</v>
      </c>
      <c r="B1476" t="s">
        <v>7</v>
      </c>
      <c r="C1476" t="s">
        <v>37</v>
      </c>
      <c r="D1476" s="1">
        <v>44936</v>
      </c>
      <c r="E1476" s="2">
        <v>3737.68</v>
      </c>
      <c r="F1476">
        <v>282</v>
      </c>
      <c r="G1476" s="2">
        <f t="shared" si="92"/>
        <v>13.254184397163121</v>
      </c>
      <c r="H1476" t="str">
        <f t="shared" si="93"/>
        <v>January</v>
      </c>
      <c r="I1476" t="str">
        <f t="shared" si="94"/>
        <v>Q1</v>
      </c>
      <c r="J1476" t="str">
        <f t="shared" si="95"/>
        <v>Large</v>
      </c>
    </row>
    <row r="1477" spans="1:10" x14ac:dyDescent="0.25">
      <c r="A1477" t="s">
        <v>38</v>
      </c>
      <c r="B1477" t="s">
        <v>26</v>
      </c>
      <c r="C1477" t="s">
        <v>51</v>
      </c>
      <c r="D1477" s="1">
        <v>45000</v>
      </c>
      <c r="E1477" s="2">
        <v>3086.89</v>
      </c>
      <c r="F1477">
        <v>153</v>
      </c>
      <c r="G1477" s="2">
        <f t="shared" si="92"/>
        <v>20.175751633986927</v>
      </c>
      <c r="H1477" t="str">
        <f t="shared" si="93"/>
        <v>March</v>
      </c>
      <c r="I1477" t="str">
        <f t="shared" si="94"/>
        <v>Q1</v>
      </c>
      <c r="J1477" t="str">
        <f t="shared" si="95"/>
        <v>Large</v>
      </c>
    </row>
    <row r="1478" spans="1:10" x14ac:dyDescent="0.25">
      <c r="A1478" t="s">
        <v>33</v>
      </c>
      <c r="B1478" t="s">
        <v>29</v>
      </c>
      <c r="C1478" t="s">
        <v>37</v>
      </c>
      <c r="D1478" s="1">
        <v>44965</v>
      </c>
      <c r="E1478" s="2">
        <v>2618.15</v>
      </c>
      <c r="F1478">
        <v>312</v>
      </c>
      <c r="G1478" s="2">
        <f t="shared" si="92"/>
        <v>8.3915064102564099</v>
      </c>
      <c r="H1478" t="str">
        <f t="shared" si="93"/>
        <v>February</v>
      </c>
      <c r="I1478" t="str">
        <f t="shared" si="94"/>
        <v>Q1</v>
      </c>
      <c r="J1478" t="str">
        <f t="shared" si="95"/>
        <v>Large</v>
      </c>
    </row>
    <row r="1479" spans="1:10" x14ac:dyDescent="0.25">
      <c r="A1479" t="s">
        <v>23</v>
      </c>
      <c r="B1479" t="s">
        <v>10</v>
      </c>
      <c r="C1479" t="s">
        <v>57</v>
      </c>
      <c r="D1479" s="1">
        <v>44982</v>
      </c>
      <c r="E1479" s="2">
        <v>1643.45</v>
      </c>
      <c r="F1479">
        <v>110</v>
      </c>
      <c r="G1479" s="2">
        <f t="shared" si="92"/>
        <v>14.940454545454546</v>
      </c>
      <c r="H1479" t="str">
        <f t="shared" si="93"/>
        <v>February</v>
      </c>
      <c r="I1479" t="str">
        <f t="shared" si="94"/>
        <v>Q1</v>
      </c>
      <c r="J1479" t="str">
        <f t="shared" si="95"/>
        <v>Large</v>
      </c>
    </row>
    <row r="1480" spans="1:10" x14ac:dyDescent="0.25">
      <c r="A1480" t="s">
        <v>19</v>
      </c>
      <c r="B1480" t="s">
        <v>26</v>
      </c>
      <c r="C1480" t="s">
        <v>30</v>
      </c>
      <c r="D1480" s="1">
        <v>45049</v>
      </c>
      <c r="E1480" s="2">
        <v>7368.94</v>
      </c>
      <c r="F1480">
        <v>45</v>
      </c>
      <c r="G1480" s="2">
        <f t="shared" si="92"/>
        <v>163.75422222222221</v>
      </c>
      <c r="H1480" t="str">
        <f t="shared" si="93"/>
        <v>May</v>
      </c>
      <c r="I1480" t="str">
        <f t="shared" si="94"/>
        <v>Q2</v>
      </c>
      <c r="J1480" t="str">
        <f t="shared" si="95"/>
        <v>Large</v>
      </c>
    </row>
    <row r="1481" spans="1:10" x14ac:dyDescent="0.25">
      <c r="A1481" t="s">
        <v>36</v>
      </c>
      <c r="B1481" t="s">
        <v>26</v>
      </c>
      <c r="C1481" t="s">
        <v>42</v>
      </c>
      <c r="D1481" s="1">
        <v>45091</v>
      </c>
      <c r="E1481" s="2">
        <v>6082.19</v>
      </c>
      <c r="F1481">
        <v>23</v>
      </c>
      <c r="G1481" s="2">
        <f t="shared" si="92"/>
        <v>264.44304347826085</v>
      </c>
      <c r="H1481" t="str">
        <f t="shared" si="93"/>
        <v>June</v>
      </c>
      <c r="I1481" t="str">
        <f t="shared" si="94"/>
        <v>Q2</v>
      </c>
      <c r="J1481" t="str">
        <f t="shared" si="95"/>
        <v>Large</v>
      </c>
    </row>
    <row r="1482" spans="1:10" x14ac:dyDescent="0.25">
      <c r="A1482" t="s">
        <v>19</v>
      </c>
      <c r="B1482" t="s">
        <v>10</v>
      </c>
      <c r="C1482" t="s">
        <v>22</v>
      </c>
      <c r="D1482" s="1">
        <v>45147</v>
      </c>
      <c r="E1482" s="2">
        <v>14456.14</v>
      </c>
      <c r="F1482">
        <v>79</v>
      </c>
      <c r="G1482" s="2">
        <f t="shared" si="92"/>
        <v>182.98911392405063</v>
      </c>
      <c r="H1482" t="str">
        <f t="shared" si="93"/>
        <v>August</v>
      </c>
      <c r="I1482" t="str">
        <f t="shared" si="94"/>
        <v>Q3</v>
      </c>
      <c r="J1482" t="str">
        <f t="shared" si="95"/>
        <v>Large</v>
      </c>
    </row>
    <row r="1483" spans="1:10" x14ac:dyDescent="0.25">
      <c r="A1483" t="s">
        <v>46</v>
      </c>
      <c r="B1483" t="s">
        <v>21</v>
      </c>
      <c r="C1483" t="s">
        <v>45</v>
      </c>
      <c r="D1483" s="1">
        <v>45118</v>
      </c>
      <c r="E1483" s="2">
        <v>4173.3999999999996</v>
      </c>
      <c r="F1483">
        <v>254</v>
      </c>
      <c r="G1483" s="2">
        <f t="shared" si="92"/>
        <v>16.43070866141732</v>
      </c>
      <c r="H1483" t="str">
        <f t="shared" si="93"/>
        <v>July</v>
      </c>
      <c r="I1483" t="str">
        <f t="shared" si="94"/>
        <v>Q3</v>
      </c>
      <c r="J1483" t="str">
        <f t="shared" si="95"/>
        <v>Large</v>
      </c>
    </row>
    <row r="1484" spans="1:10" x14ac:dyDescent="0.25">
      <c r="A1484" t="s">
        <v>41</v>
      </c>
      <c r="B1484" t="s">
        <v>7</v>
      </c>
      <c r="C1484" t="s">
        <v>45</v>
      </c>
      <c r="D1484" s="1">
        <v>44940</v>
      </c>
      <c r="E1484" s="2">
        <v>7189.18</v>
      </c>
      <c r="F1484">
        <v>113</v>
      </c>
      <c r="G1484" s="2">
        <f t="shared" si="92"/>
        <v>63.621061946902657</v>
      </c>
      <c r="H1484" t="str">
        <f t="shared" si="93"/>
        <v>January</v>
      </c>
      <c r="I1484" t="str">
        <f t="shared" si="94"/>
        <v>Q1</v>
      </c>
      <c r="J1484" t="str">
        <f t="shared" si="95"/>
        <v>Large</v>
      </c>
    </row>
    <row r="1485" spans="1:10" x14ac:dyDescent="0.25">
      <c r="A1485" t="s">
        <v>9</v>
      </c>
      <c r="B1485" t="s">
        <v>29</v>
      </c>
      <c r="C1485" t="s">
        <v>45</v>
      </c>
      <c r="D1485" s="1">
        <v>44981</v>
      </c>
      <c r="E1485" s="2">
        <v>8962.9599999999991</v>
      </c>
      <c r="F1485">
        <v>48</v>
      </c>
      <c r="G1485" s="2">
        <f t="shared" si="92"/>
        <v>186.72833333333332</v>
      </c>
      <c r="H1485" t="str">
        <f t="shared" si="93"/>
        <v>February</v>
      </c>
      <c r="I1485" t="str">
        <f t="shared" si="94"/>
        <v>Q1</v>
      </c>
      <c r="J1485" t="str">
        <f t="shared" si="95"/>
        <v>Large</v>
      </c>
    </row>
    <row r="1486" spans="1:10" x14ac:dyDescent="0.25">
      <c r="A1486" t="s">
        <v>46</v>
      </c>
      <c r="B1486" t="s">
        <v>21</v>
      </c>
      <c r="C1486" t="s">
        <v>47</v>
      </c>
      <c r="D1486" s="1">
        <v>45000</v>
      </c>
      <c r="E1486" s="2">
        <v>10085.02</v>
      </c>
      <c r="F1486">
        <v>146</v>
      </c>
      <c r="G1486" s="2">
        <f t="shared" si="92"/>
        <v>69.075479452054793</v>
      </c>
      <c r="H1486" t="str">
        <f t="shared" si="93"/>
        <v>March</v>
      </c>
      <c r="I1486" t="str">
        <f t="shared" si="94"/>
        <v>Q1</v>
      </c>
      <c r="J1486" t="str">
        <f t="shared" si="95"/>
        <v>Large</v>
      </c>
    </row>
    <row r="1487" spans="1:10" x14ac:dyDescent="0.25">
      <c r="A1487" t="s">
        <v>17</v>
      </c>
      <c r="B1487" t="s">
        <v>21</v>
      </c>
      <c r="C1487" t="s">
        <v>56</v>
      </c>
      <c r="D1487" s="1">
        <v>45041</v>
      </c>
      <c r="E1487" s="2">
        <v>12073.18</v>
      </c>
      <c r="F1487">
        <v>51</v>
      </c>
      <c r="G1487" s="2">
        <f t="shared" si="92"/>
        <v>236.72901960784316</v>
      </c>
      <c r="H1487" t="str">
        <f t="shared" si="93"/>
        <v>April</v>
      </c>
      <c r="I1487" t="str">
        <f t="shared" si="94"/>
        <v>Q2</v>
      </c>
      <c r="J1487" t="str">
        <f t="shared" si="95"/>
        <v>Large</v>
      </c>
    </row>
    <row r="1488" spans="1:10" x14ac:dyDescent="0.25">
      <c r="A1488" t="s">
        <v>43</v>
      </c>
      <c r="B1488" t="s">
        <v>15</v>
      </c>
      <c r="C1488" t="s">
        <v>35</v>
      </c>
      <c r="D1488" s="1">
        <v>45056</v>
      </c>
      <c r="E1488" s="2">
        <v>6655.62</v>
      </c>
      <c r="F1488">
        <v>39</v>
      </c>
      <c r="G1488" s="2">
        <f t="shared" si="92"/>
        <v>170.65692307692308</v>
      </c>
      <c r="H1488" t="str">
        <f t="shared" si="93"/>
        <v>May</v>
      </c>
      <c r="I1488" t="str">
        <f t="shared" si="94"/>
        <v>Q2</v>
      </c>
      <c r="J1488" t="str">
        <f t="shared" si="95"/>
        <v>Large</v>
      </c>
    </row>
    <row r="1489" spans="1:10" x14ac:dyDescent="0.25">
      <c r="A1489" t="s">
        <v>33</v>
      </c>
      <c r="B1489" t="s">
        <v>15</v>
      </c>
      <c r="C1489" t="s">
        <v>39</v>
      </c>
      <c r="D1489" s="1">
        <v>45100</v>
      </c>
      <c r="E1489" s="2">
        <v>14193.67</v>
      </c>
      <c r="F1489">
        <v>302</v>
      </c>
      <c r="G1489" s="2">
        <f t="shared" si="92"/>
        <v>46.998907284768215</v>
      </c>
      <c r="H1489" t="str">
        <f t="shared" si="93"/>
        <v>June</v>
      </c>
      <c r="I1489" t="str">
        <f t="shared" si="94"/>
        <v>Q2</v>
      </c>
      <c r="J1489" t="str">
        <f t="shared" si="95"/>
        <v>Large</v>
      </c>
    </row>
    <row r="1490" spans="1:10" x14ac:dyDescent="0.25">
      <c r="A1490" t="s">
        <v>34</v>
      </c>
      <c r="B1490" t="s">
        <v>29</v>
      </c>
      <c r="C1490" t="s">
        <v>16</v>
      </c>
      <c r="D1490" s="1">
        <v>44985</v>
      </c>
      <c r="E1490" s="2">
        <v>15507.29</v>
      </c>
      <c r="F1490">
        <v>352</v>
      </c>
      <c r="G1490" s="2">
        <f t="shared" si="92"/>
        <v>44.054801136363636</v>
      </c>
      <c r="H1490" t="str">
        <f t="shared" si="93"/>
        <v>February</v>
      </c>
      <c r="I1490" t="str">
        <f t="shared" si="94"/>
        <v>Q1</v>
      </c>
      <c r="J1490" t="str">
        <f t="shared" si="95"/>
        <v>Large</v>
      </c>
    </row>
    <row r="1491" spans="1:10" x14ac:dyDescent="0.25">
      <c r="A1491" t="s">
        <v>23</v>
      </c>
      <c r="B1491" t="s">
        <v>26</v>
      </c>
      <c r="C1491" t="s">
        <v>35</v>
      </c>
      <c r="D1491" s="1">
        <v>45071</v>
      </c>
      <c r="E1491" s="2">
        <v>17383.080000000002</v>
      </c>
      <c r="F1491">
        <v>145</v>
      </c>
      <c r="G1491" s="2">
        <f t="shared" si="92"/>
        <v>119.88331034482759</v>
      </c>
      <c r="H1491" t="str">
        <f t="shared" si="93"/>
        <v>May</v>
      </c>
      <c r="I1491" t="str">
        <f t="shared" si="94"/>
        <v>Q2</v>
      </c>
      <c r="J1491" t="str">
        <f t="shared" si="95"/>
        <v>Large</v>
      </c>
    </row>
    <row r="1492" spans="1:10" x14ac:dyDescent="0.25">
      <c r="A1492" t="s">
        <v>36</v>
      </c>
      <c r="B1492" t="s">
        <v>21</v>
      </c>
      <c r="C1492" t="s">
        <v>56</v>
      </c>
      <c r="D1492" s="1">
        <v>44979</v>
      </c>
      <c r="E1492" s="2">
        <v>5912.59</v>
      </c>
      <c r="F1492">
        <v>232</v>
      </c>
      <c r="G1492" s="2">
        <f t="shared" si="92"/>
        <v>25.485301724137933</v>
      </c>
      <c r="H1492" t="str">
        <f t="shared" si="93"/>
        <v>February</v>
      </c>
      <c r="I1492" t="str">
        <f t="shared" si="94"/>
        <v>Q1</v>
      </c>
      <c r="J1492" t="str">
        <f t="shared" si="95"/>
        <v>Large</v>
      </c>
    </row>
    <row r="1493" spans="1:10" x14ac:dyDescent="0.25">
      <c r="A1493" t="s">
        <v>9</v>
      </c>
      <c r="B1493" t="s">
        <v>7</v>
      </c>
      <c r="C1493" t="s">
        <v>11</v>
      </c>
      <c r="D1493" s="1">
        <v>45118</v>
      </c>
      <c r="E1493" s="2">
        <v>4029.28</v>
      </c>
      <c r="F1493">
        <v>128</v>
      </c>
      <c r="G1493" s="2">
        <f t="shared" si="92"/>
        <v>31.478750000000002</v>
      </c>
      <c r="H1493" t="str">
        <f t="shared" si="93"/>
        <v>July</v>
      </c>
      <c r="I1493" t="str">
        <f t="shared" si="94"/>
        <v>Q3</v>
      </c>
      <c r="J1493" t="str">
        <f t="shared" si="95"/>
        <v>Large</v>
      </c>
    </row>
    <row r="1494" spans="1:10" x14ac:dyDescent="0.25">
      <c r="A1494" t="s">
        <v>33</v>
      </c>
      <c r="B1494" t="s">
        <v>29</v>
      </c>
      <c r="C1494" t="s">
        <v>39</v>
      </c>
      <c r="D1494" s="1">
        <v>44929</v>
      </c>
      <c r="E1494" s="2">
        <v>3563.09</v>
      </c>
      <c r="F1494">
        <v>344</v>
      </c>
      <c r="G1494" s="2">
        <f t="shared" si="92"/>
        <v>10.35781976744186</v>
      </c>
      <c r="H1494" t="str">
        <f t="shared" si="93"/>
        <v>January</v>
      </c>
      <c r="I1494" t="str">
        <f t="shared" si="94"/>
        <v>Q1</v>
      </c>
      <c r="J1494" t="str">
        <f t="shared" si="95"/>
        <v>Large</v>
      </c>
    </row>
    <row r="1495" spans="1:10" x14ac:dyDescent="0.25">
      <c r="A1495" t="s">
        <v>24</v>
      </c>
      <c r="B1495" t="s">
        <v>21</v>
      </c>
      <c r="C1495" t="s">
        <v>58</v>
      </c>
      <c r="D1495" s="1">
        <v>45162</v>
      </c>
      <c r="E1495" s="2">
        <v>773.73</v>
      </c>
      <c r="F1495">
        <v>280</v>
      </c>
      <c r="G1495" s="2">
        <f t="shared" si="92"/>
        <v>2.7633214285714285</v>
      </c>
      <c r="H1495" t="str">
        <f t="shared" si="93"/>
        <v>August</v>
      </c>
      <c r="I1495" t="str">
        <f t="shared" si="94"/>
        <v>Q3</v>
      </c>
      <c r="J1495" t="str">
        <f t="shared" si="95"/>
        <v>Large</v>
      </c>
    </row>
    <row r="1496" spans="1:10" x14ac:dyDescent="0.25">
      <c r="A1496" t="s">
        <v>34</v>
      </c>
      <c r="B1496" t="s">
        <v>26</v>
      </c>
      <c r="C1496" t="s">
        <v>22</v>
      </c>
      <c r="D1496" s="1">
        <v>45135</v>
      </c>
      <c r="E1496" s="2">
        <v>2620.19</v>
      </c>
      <c r="F1496">
        <v>340</v>
      </c>
      <c r="G1496" s="2">
        <f t="shared" si="92"/>
        <v>7.7064411764705882</v>
      </c>
      <c r="H1496" t="str">
        <f t="shared" si="93"/>
        <v>July</v>
      </c>
      <c r="I1496" t="str">
        <f t="shared" si="94"/>
        <v>Q3</v>
      </c>
      <c r="J1496" t="str">
        <f t="shared" si="95"/>
        <v>Large</v>
      </c>
    </row>
    <row r="1497" spans="1:10" x14ac:dyDescent="0.25">
      <c r="A1497" t="s">
        <v>23</v>
      </c>
      <c r="B1497" t="s">
        <v>26</v>
      </c>
      <c r="C1497" t="s">
        <v>8</v>
      </c>
      <c r="D1497" s="1">
        <v>45071</v>
      </c>
      <c r="E1497" s="2">
        <v>11426.56</v>
      </c>
      <c r="F1497">
        <v>151</v>
      </c>
      <c r="G1497" s="2">
        <f t="shared" si="92"/>
        <v>75.672582781456953</v>
      </c>
      <c r="H1497" t="str">
        <f t="shared" si="93"/>
        <v>May</v>
      </c>
      <c r="I1497" t="str">
        <f t="shared" si="94"/>
        <v>Q2</v>
      </c>
      <c r="J1497" t="str">
        <f t="shared" si="95"/>
        <v>Large</v>
      </c>
    </row>
    <row r="1498" spans="1:10" x14ac:dyDescent="0.25">
      <c r="A1498" t="s">
        <v>31</v>
      </c>
      <c r="B1498" t="s">
        <v>21</v>
      </c>
      <c r="C1498" t="s">
        <v>30</v>
      </c>
      <c r="D1498" s="1">
        <v>45052</v>
      </c>
      <c r="E1498" s="2">
        <v>2935.8</v>
      </c>
      <c r="F1498">
        <v>171</v>
      </c>
      <c r="G1498" s="2">
        <f t="shared" si="92"/>
        <v>17.168421052631579</v>
      </c>
      <c r="H1498" t="str">
        <f t="shared" si="93"/>
        <v>May</v>
      </c>
      <c r="I1498" t="str">
        <f t="shared" si="94"/>
        <v>Q2</v>
      </c>
      <c r="J1498" t="str">
        <f t="shared" si="95"/>
        <v>Large</v>
      </c>
    </row>
    <row r="1499" spans="1:10" x14ac:dyDescent="0.25">
      <c r="A1499" t="s">
        <v>25</v>
      </c>
      <c r="B1499" t="s">
        <v>10</v>
      </c>
      <c r="C1499" t="s">
        <v>32</v>
      </c>
      <c r="D1499" s="1">
        <v>44954</v>
      </c>
      <c r="E1499" s="2">
        <v>2431.5300000000002</v>
      </c>
      <c r="F1499">
        <v>148</v>
      </c>
      <c r="G1499" s="2">
        <f t="shared" si="92"/>
        <v>16.429256756756757</v>
      </c>
      <c r="H1499" t="str">
        <f t="shared" si="93"/>
        <v>January</v>
      </c>
      <c r="I1499" t="str">
        <f t="shared" si="94"/>
        <v>Q1</v>
      </c>
      <c r="J1499" t="str">
        <f t="shared" si="95"/>
        <v>Large</v>
      </c>
    </row>
    <row r="1500" spans="1:10" x14ac:dyDescent="0.25">
      <c r="A1500" t="s">
        <v>33</v>
      </c>
      <c r="B1500" t="s">
        <v>7</v>
      </c>
      <c r="C1500" t="s">
        <v>27</v>
      </c>
      <c r="D1500" s="1">
        <v>45083</v>
      </c>
      <c r="E1500" s="2">
        <v>11882.82</v>
      </c>
      <c r="F1500">
        <v>13</v>
      </c>
      <c r="G1500" s="2">
        <f t="shared" si="92"/>
        <v>914.06307692307689</v>
      </c>
      <c r="H1500" t="str">
        <f t="shared" si="93"/>
        <v>June</v>
      </c>
      <c r="I1500" t="str">
        <f t="shared" si="94"/>
        <v>Q2</v>
      </c>
      <c r="J1500" t="str">
        <f t="shared" si="95"/>
        <v>Large</v>
      </c>
    </row>
    <row r="1501" spans="1:10" x14ac:dyDescent="0.25">
      <c r="A1501" t="s">
        <v>23</v>
      </c>
      <c r="B1501" t="s">
        <v>21</v>
      </c>
      <c r="C1501" t="s">
        <v>56</v>
      </c>
      <c r="D1501" s="1">
        <v>45119</v>
      </c>
      <c r="E1501" s="2">
        <v>6297.06</v>
      </c>
      <c r="F1501">
        <v>26</v>
      </c>
      <c r="G1501" s="2">
        <f t="shared" si="92"/>
        <v>242.19461538461539</v>
      </c>
      <c r="H1501" t="str">
        <f t="shared" si="93"/>
        <v>July</v>
      </c>
      <c r="I1501" t="str">
        <f t="shared" si="94"/>
        <v>Q3</v>
      </c>
      <c r="J1501" t="str">
        <f t="shared" si="95"/>
        <v>Large</v>
      </c>
    </row>
    <row r="1502" spans="1:10" x14ac:dyDescent="0.25">
      <c r="A1502" t="s">
        <v>55</v>
      </c>
      <c r="B1502" t="s">
        <v>29</v>
      </c>
      <c r="C1502" t="s">
        <v>39</v>
      </c>
      <c r="D1502" s="1">
        <v>45143</v>
      </c>
      <c r="E1502" s="2">
        <v>5859.21</v>
      </c>
      <c r="F1502">
        <v>193</v>
      </c>
      <c r="G1502" s="2">
        <f t="shared" si="92"/>
        <v>30.35860103626943</v>
      </c>
      <c r="H1502" t="str">
        <f t="shared" si="93"/>
        <v>August</v>
      </c>
      <c r="I1502" t="str">
        <f t="shared" si="94"/>
        <v>Q3</v>
      </c>
      <c r="J1502" t="str">
        <f t="shared" si="95"/>
        <v>Large</v>
      </c>
    </row>
    <row r="1503" spans="1:10" x14ac:dyDescent="0.25">
      <c r="A1503" t="s">
        <v>23</v>
      </c>
      <c r="B1503" t="s">
        <v>26</v>
      </c>
      <c r="C1503" t="s">
        <v>27</v>
      </c>
      <c r="D1503" s="1">
        <v>44954</v>
      </c>
      <c r="E1503" s="2">
        <v>6276.91</v>
      </c>
      <c r="F1503">
        <v>157</v>
      </c>
      <c r="G1503" s="2">
        <f t="shared" si="92"/>
        <v>39.980318471337576</v>
      </c>
      <c r="H1503" t="str">
        <f t="shared" si="93"/>
        <v>January</v>
      </c>
      <c r="I1503" t="str">
        <f t="shared" si="94"/>
        <v>Q1</v>
      </c>
      <c r="J1503" t="str">
        <f t="shared" si="95"/>
        <v>Large</v>
      </c>
    </row>
    <row r="1504" spans="1:10" x14ac:dyDescent="0.25">
      <c r="A1504" t="s">
        <v>41</v>
      </c>
      <c r="B1504" t="s">
        <v>10</v>
      </c>
      <c r="C1504" t="s">
        <v>39</v>
      </c>
      <c r="D1504" s="1">
        <v>45169</v>
      </c>
      <c r="E1504" s="2">
        <v>5674.7</v>
      </c>
      <c r="F1504">
        <v>147</v>
      </c>
      <c r="G1504" s="2">
        <f t="shared" si="92"/>
        <v>38.603401360544218</v>
      </c>
      <c r="H1504" t="str">
        <f t="shared" si="93"/>
        <v>August</v>
      </c>
      <c r="I1504" t="str">
        <f t="shared" si="94"/>
        <v>Q3</v>
      </c>
      <c r="J1504" t="str">
        <f t="shared" si="95"/>
        <v>Large</v>
      </c>
    </row>
    <row r="1505" spans="1:10" x14ac:dyDescent="0.25">
      <c r="A1505" t="s">
        <v>28</v>
      </c>
      <c r="B1505" t="s">
        <v>26</v>
      </c>
      <c r="C1505" t="s">
        <v>22</v>
      </c>
      <c r="D1505" s="1">
        <v>45035</v>
      </c>
      <c r="E1505" s="2">
        <v>1960.1</v>
      </c>
      <c r="F1505">
        <v>14</v>
      </c>
      <c r="G1505" s="2">
        <f t="shared" si="92"/>
        <v>140.00714285714284</v>
      </c>
      <c r="H1505" t="str">
        <f t="shared" si="93"/>
        <v>April</v>
      </c>
      <c r="I1505" t="str">
        <f t="shared" si="94"/>
        <v>Q2</v>
      </c>
      <c r="J1505" t="str">
        <f t="shared" si="95"/>
        <v>Large</v>
      </c>
    </row>
    <row r="1506" spans="1:10" x14ac:dyDescent="0.25">
      <c r="A1506" t="s">
        <v>28</v>
      </c>
      <c r="B1506" t="s">
        <v>7</v>
      </c>
      <c r="C1506" t="s">
        <v>8</v>
      </c>
      <c r="D1506" s="1">
        <v>45106</v>
      </c>
      <c r="E1506" s="2">
        <v>6540.3</v>
      </c>
      <c r="F1506">
        <v>2</v>
      </c>
      <c r="G1506" s="2">
        <f t="shared" si="92"/>
        <v>3270.15</v>
      </c>
      <c r="H1506" t="str">
        <f t="shared" si="93"/>
        <v>June</v>
      </c>
      <c r="I1506" t="str">
        <f t="shared" si="94"/>
        <v>Q2</v>
      </c>
      <c r="J1506" t="str">
        <f t="shared" si="95"/>
        <v>Large</v>
      </c>
    </row>
    <row r="1507" spans="1:10" x14ac:dyDescent="0.25">
      <c r="A1507" t="s">
        <v>34</v>
      </c>
      <c r="B1507" t="s">
        <v>10</v>
      </c>
      <c r="C1507" t="s">
        <v>52</v>
      </c>
      <c r="D1507" s="1">
        <v>44981</v>
      </c>
      <c r="E1507" s="2">
        <v>3818.21</v>
      </c>
      <c r="F1507">
        <v>287</v>
      </c>
      <c r="G1507" s="2">
        <f t="shared" si="92"/>
        <v>13.303867595818815</v>
      </c>
      <c r="H1507" t="str">
        <f t="shared" si="93"/>
        <v>February</v>
      </c>
      <c r="I1507" t="str">
        <f t="shared" si="94"/>
        <v>Q1</v>
      </c>
      <c r="J1507" t="str">
        <f t="shared" si="95"/>
        <v>Large</v>
      </c>
    </row>
    <row r="1508" spans="1:10" x14ac:dyDescent="0.25">
      <c r="A1508" t="s">
        <v>53</v>
      </c>
      <c r="B1508" t="s">
        <v>7</v>
      </c>
      <c r="C1508" t="s">
        <v>16</v>
      </c>
      <c r="D1508" s="1">
        <v>44989</v>
      </c>
      <c r="E1508" s="2">
        <v>14769.97</v>
      </c>
      <c r="F1508">
        <v>87</v>
      </c>
      <c r="G1508" s="2">
        <f t="shared" si="92"/>
        <v>169.76977011494253</v>
      </c>
      <c r="H1508" t="str">
        <f t="shared" si="93"/>
        <v>March</v>
      </c>
      <c r="I1508" t="str">
        <f t="shared" si="94"/>
        <v>Q1</v>
      </c>
      <c r="J1508" t="str">
        <f t="shared" si="95"/>
        <v>Large</v>
      </c>
    </row>
    <row r="1509" spans="1:10" x14ac:dyDescent="0.25">
      <c r="A1509" t="s">
        <v>12</v>
      </c>
      <c r="B1509" t="s">
        <v>10</v>
      </c>
      <c r="C1509" t="s">
        <v>30</v>
      </c>
      <c r="D1509" s="1">
        <v>45098</v>
      </c>
      <c r="E1509" s="2">
        <v>3687.44</v>
      </c>
      <c r="F1509">
        <v>73</v>
      </c>
      <c r="G1509" s="2">
        <f t="shared" si="92"/>
        <v>50.512876712328769</v>
      </c>
      <c r="H1509" t="str">
        <f t="shared" si="93"/>
        <v>June</v>
      </c>
      <c r="I1509" t="str">
        <f t="shared" si="94"/>
        <v>Q2</v>
      </c>
      <c r="J1509" t="str">
        <f t="shared" si="95"/>
        <v>Large</v>
      </c>
    </row>
    <row r="1510" spans="1:10" x14ac:dyDescent="0.25">
      <c r="A1510" t="s">
        <v>24</v>
      </c>
      <c r="B1510" t="s">
        <v>15</v>
      </c>
      <c r="C1510" t="s">
        <v>35</v>
      </c>
      <c r="D1510" s="1">
        <v>44952</v>
      </c>
      <c r="E1510" s="2">
        <v>1123.58</v>
      </c>
      <c r="F1510">
        <v>114</v>
      </c>
      <c r="G1510" s="2">
        <f t="shared" si="92"/>
        <v>9.8559649122807009</v>
      </c>
      <c r="H1510" t="str">
        <f t="shared" si="93"/>
        <v>January</v>
      </c>
      <c r="I1510" t="str">
        <f t="shared" si="94"/>
        <v>Q1</v>
      </c>
      <c r="J1510" t="str">
        <f t="shared" si="95"/>
        <v>Large</v>
      </c>
    </row>
    <row r="1511" spans="1:10" x14ac:dyDescent="0.25">
      <c r="A1511" t="s">
        <v>17</v>
      </c>
      <c r="B1511" t="s">
        <v>21</v>
      </c>
      <c r="C1511" t="s">
        <v>44</v>
      </c>
      <c r="D1511" s="1">
        <v>45087</v>
      </c>
      <c r="E1511" s="2">
        <v>4612.08</v>
      </c>
      <c r="F1511">
        <v>38</v>
      </c>
      <c r="G1511" s="2">
        <f t="shared" si="92"/>
        <v>121.37052631578948</v>
      </c>
      <c r="H1511" t="str">
        <f t="shared" si="93"/>
        <v>June</v>
      </c>
      <c r="I1511" t="str">
        <f t="shared" si="94"/>
        <v>Q2</v>
      </c>
      <c r="J1511" t="str">
        <f t="shared" si="95"/>
        <v>Large</v>
      </c>
    </row>
    <row r="1512" spans="1:10" x14ac:dyDescent="0.25">
      <c r="A1512" t="s">
        <v>48</v>
      </c>
      <c r="B1512" t="s">
        <v>7</v>
      </c>
      <c r="C1512" t="s">
        <v>32</v>
      </c>
      <c r="D1512" s="1">
        <v>45069</v>
      </c>
      <c r="E1512" s="2">
        <v>1600.11</v>
      </c>
      <c r="F1512">
        <v>70</v>
      </c>
      <c r="G1512" s="2">
        <f t="shared" si="92"/>
        <v>22.858714285714285</v>
      </c>
      <c r="H1512" t="str">
        <f t="shared" si="93"/>
        <v>May</v>
      </c>
      <c r="I1512" t="str">
        <f t="shared" si="94"/>
        <v>Q2</v>
      </c>
      <c r="J1512" t="str">
        <f t="shared" si="95"/>
        <v>Large</v>
      </c>
    </row>
    <row r="1513" spans="1:10" x14ac:dyDescent="0.25">
      <c r="A1513" t="s">
        <v>49</v>
      </c>
      <c r="B1513" t="s">
        <v>10</v>
      </c>
      <c r="C1513" t="s">
        <v>37</v>
      </c>
      <c r="D1513" s="1">
        <v>45031</v>
      </c>
      <c r="E1513" s="2">
        <v>975.67</v>
      </c>
      <c r="F1513">
        <v>105</v>
      </c>
      <c r="G1513" s="2">
        <f t="shared" si="92"/>
        <v>9.2920952380952375</v>
      </c>
      <c r="H1513" t="str">
        <f t="shared" si="93"/>
        <v>April</v>
      </c>
      <c r="I1513" t="str">
        <f t="shared" si="94"/>
        <v>Q2</v>
      </c>
      <c r="J1513" t="str">
        <f t="shared" si="95"/>
        <v>Large</v>
      </c>
    </row>
    <row r="1514" spans="1:10" x14ac:dyDescent="0.25">
      <c r="A1514" t="s">
        <v>31</v>
      </c>
      <c r="B1514" t="s">
        <v>21</v>
      </c>
      <c r="C1514" t="s">
        <v>57</v>
      </c>
      <c r="D1514" s="1">
        <v>44957</v>
      </c>
      <c r="E1514" s="2">
        <v>5487.3</v>
      </c>
      <c r="F1514">
        <v>219</v>
      </c>
      <c r="G1514" s="2">
        <f t="shared" si="92"/>
        <v>25.056164383561644</v>
      </c>
      <c r="H1514" t="str">
        <f t="shared" si="93"/>
        <v>January</v>
      </c>
      <c r="I1514" t="str">
        <f t="shared" si="94"/>
        <v>Q1</v>
      </c>
      <c r="J1514" t="str">
        <f t="shared" si="95"/>
        <v>Large</v>
      </c>
    </row>
    <row r="1515" spans="1:10" x14ac:dyDescent="0.25">
      <c r="A1515" t="s">
        <v>48</v>
      </c>
      <c r="B1515" t="s">
        <v>21</v>
      </c>
      <c r="C1515" t="s">
        <v>35</v>
      </c>
      <c r="D1515" s="1">
        <v>44989</v>
      </c>
      <c r="E1515" s="2">
        <v>4948.1499999999996</v>
      </c>
      <c r="F1515">
        <v>39</v>
      </c>
      <c r="G1515" s="2">
        <f t="shared" si="92"/>
        <v>126.87564102564102</v>
      </c>
      <c r="H1515" t="str">
        <f t="shared" si="93"/>
        <v>March</v>
      </c>
      <c r="I1515" t="str">
        <f t="shared" si="94"/>
        <v>Q1</v>
      </c>
      <c r="J1515" t="str">
        <f t="shared" si="95"/>
        <v>Large</v>
      </c>
    </row>
    <row r="1516" spans="1:10" x14ac:dyDescent="0.25">
      <c r="A1516" t="s">
        <v>25</v>
      </c>
      <c r="B1516" t="s">
        <v>21</v>
      </c>
      <c r="C1516" t="s">
        <v>20</v>
      </c>
      <c r="D1516" s="1">
        <v>45035</v>
      </c>
      <c r="E1516" s="2">
        <v>11460.08</v>
      </c>
      <c r="F1516">
        <v>81</v>
      </c>
      <c r="G1516" s="2">
        <f t="shared" si="92"/>
        <v>141.48246913580246</v>
      </c>
      <c r="H1516" t="str">
        <f t="shared" si="93"/>
        <v>April</v>
      </c>
      <c r="I1516" t="str">
        <f t="shared" si="94"/>
        <v>Q2</v>
      </c>
      <c r="J1516" t="str">
        <f t="shared" si="95"/>
        <v>Large</v>
      </c>
    </row>
    <row r="1517" spans="1:10" x14ac:dyDescent="0.25">
      <c r="A1517" t="s">
        <v>34</v>
      </c>
      <c r="B1517" t="s">
        <v>7</v>
      </c>
      <c r="C1517" t="s">
        <v>47</v>
      </c>
      <c r="D1517" s="1">
        <v>45062</v>
      </c>
      <c r="E1517" s="2">
        <v>2628.33</v>
      </c>
      <c r="F1517">
        <v>101</v>
      </c>
      <c r="G1517" s="2">
        <f t="shared" si="92"/>
        <v>26.023069306930694</v>
      </c>
      <c r="H1517" t="str">
        <f t="shared" si="93"/>
        <v>May</v>
      </c>
      <c r="I1517" t="str">
        <f t="shared" si="94"/>
        <v>Q2</v>
      </c>
      <c r="J1517" t="str">
        <f t="shared" si="95"/>
        <v>Large</v>
      </c>
    </row>
    <row r="1518" spans="1:10" x14ac:dyDescent="0.25">
      <c r="A1518" t="s">
        <v>17</v>
      </c>
      <c r="B1518" t="s">
        <v>15</v>
      </c>
      <c r="C1518" t="s">
        <v>51</v>
      </c>
      <c r="D1518" s="1">
        <v>44974</v>
      </c>
      <c r="E1518" s="2">
        <v>1044.3499999999999</v>
      </c>
      <c r="F1518">
        <v>126</v>
      </c>
      <c r="G1518" s="2">
        <f t="shared" si="92"/>
        <v>8.2884920634920629</v>
      </c>
      <c r="H1518" t="str">
        <f t="shared" si="93"/>
        <v>February</v>
      </c>
      <c r="I1518" t="str">
        <f t="shared" si="94"/>
        <v>Q1</v>
      </c>
      <c r="J1518" t="str">
        <f t="shared" si="95"/>
        <v>Large</v>
      </c>
    </row>
    <row r="1519" spans="1:10" x14ac:dyDescent="0.25">
      <c r="A1519" t="s">
        <v>43</v>
      </c>
      <c r="B1519" t="s">
        <v>26</v>
      </c>
      <c r="C1519" t="s">
        <v>51</v>
      </c>
      <c r="D1519" s="1">
        <v>44944</v>
      </c>
      <c r="E1519" s="2">
        <v>7449.7</v>
      </c>
      <c r="F1519">
        <v>264</v>
      </c>
      <c r="G1519" s="2">
        <f t="shared" si="92"/>
        <v>28.218560606060606</v>
      </c>
      <c r="H1519" t="str">
        <f t="shared" si="93"/>
        <v>January</v>
      </c>
      <c r="I1519" t="str">
        <f t="shared" si="94"/>
        <v>Q1</v>
      </c>
      <c r="J1519" t="str">
        <f t="shared" si="95"/>
        <v>Large</v>
      </c>
    </row>
    <row r="1520" spans="1:10" x14ac:dyDescent="0.25">
      <c r="A1520" t="s">
        <v>36</v>
      </c>
      <c r="B1520" t="s">
        <v>29</v>
      </c>
      <c r="C1520" t="s">
        <v>27</v>
      </c>
      <c r="D1520" s="1">
        <v>44966</v>
      </c>
      <c r="E1520" s="2">
        <v>9315.64</v>
      </c>
      <c r="F1520">
        <v>88</v>
      </c>
      <c r="G1520" s="2">
        <f t="shared" si="92"/>
        <v>105.85954545454545</v>
      </c>
      <c r="H1520" t="str">
        <f t="shared" si="93"/>
        <v>February</v>
      </c>
      <c r="I1520" t="str">
        <f t="shared" si="94"/>
        <v>Q1</v>
      </c>
      <c r="J1520" t="str">
        <f t="shared" si="95"/>
        <v>Large</v>
      </c>
    </row>
    <row r="1521" spans="1:10" x14ac:dyDescent="0.25">
      <c r="A1521" t="s">
        <v>28</v>
      </c>
      <c r="B1521" t="s">
        <v>29</v>
      </c>
      <c r="C1521" t="s">
        <v>27</v>
      </c>
      <c r="D1521" s="1">
        <v>45008</v>
      </c>
      <c r="E1521" s="2">
        <v>3820.94</v>
      </c>
      <c r="F1521">
        <v>179</v>
      </c>
      <c r="G1521" s="2">
        <f t="shared" si="92"/>
        <v>21.346033519553075</v>
      </c>
      <c r="H1521" t="str">
        <f t="shared" si="93"/>
        <v>March</v>
      </c>
      <c r="I1521" t="str">
        <f t="shared" si="94"/>
        <v>Q1</v>
      </c>
      <c r="J1521" t="str">
        <f t="shared" si="95"/>
        <v>Large</v>
      </c>
    </row>
    <row r="1522" spans="1:10" x14ac:dyDescent="0.25">
      <c r="A1522" t="s">
        <v>53</v>
      </c>
      <c r="B1522" t="s">
        <v>21</v>
      </c>
      <c r="C1522" t="s">
        <v>57</v>
      </c>
      <c r="D1522" s="1">
        <v>44958</v>
      </c>
      <c r="E1522" s="2">
        <v>3782.83</v>
      </c>
      <c r="F1522">
        <v>150</v>
      </c>
      <c r="G1522" s="2">
        <f t="shared" si="92"/>
        <v>25.218866666666667</v>
      </c>
      <c r="H1522" t="str">
        <f t="shared" si="93"/>
        <v>February</v>
      </c>
      <c r="I1522" t="str">
        <f t="shared" si="94"/>
        <v>Q1</v>
      </c>
      <c r="J1522" t="str">
        <f t="shared" si="95"/>
        <v>Large</v>
      </c>
    </row>
    <row r="1523" spans="1:10" x14ac:dyDescent="0.25">
      <c r="A1523" t="s">
        <v>28</v>
      </c>
      <c r="B1523" t="s">
        <v>10</v>
      </c>
      <c r="C1523" t="s">
        <v>32</v>
      </c>
      <c r="D1523" s="1">
        <v>44992</v>
      </c>
      <c r="E1523" s="2">
        <v>4525.72</v>
      </c>
      <c r="F1523">
        <v>146</v>
      </c>
      <c r="G1523" s="2">
        <f t="shared" si="92"/>
        <v>30.998082191780824</v>
      </c>
      <c r="H1523" t="str">
        <f t="shared" si="93"/>
        <v>March</v>
      </c>
      <c r="I1523" t="str">
        <f t="shared" si="94"/>
        <v>Q1</v>
      </c>
      <c r="J1523" t="str">
        <f t="shared" si="95"/>
        <v>Large</v>
      </c>
    </row>
    <row r="1524" spans="1:10" x14ac:dyDescent="0.25">
      <c r="A1524" t="s">
        <v>55</v>
      </c>
      <c r="B1524" t="s">
        <v>7</v>
      </c>
      <c r="C1524" t="s">
        <v>44</v>
      </c>
      <c r="D1524" s="1">
        <v>44929</v>
      </c>
      <c r="E1524" s="2">
        <v>3730.79</v>
      </c>
      <c r="F1524">
        <v>237</v>
      </c>
      <c r="G1524" s="2">
        <f t="shared" si="92"/>
        <v>15.741729957805907</v>
      </c>
      <c r="H1524" t="str">
        <f t="shared" si="93"/>
        <v>January</v>
      </c>
      <c r="I1524" t="str">
        <f t="shared" si="94"/>
        <v>Q1</v>
      </c>
      <c r="J1524" t="str">
        <f t="shared" si="95"/>
        <v>Large</v>
      </c>
    </row>
    <row r="1525" spans="1:10" x14ac:dyDescent="0.25">
      <c r="A1525" t="s">
        <v>55</v>
      </c>
      <c r="B1525" t="s">
        <v>26</v>
      </c>
      <c r="C1525" t="s">
        <v>44</v>
      </c>
      <c r="D1525" s="1">
        <v>44968</v>
      </c>
      <c r="E1525" s="2">
        <v>6068.19</v>
      </c>
      <c r="F1525">
        <v>349</v>
      </c>
      <c r="G1525" s="2">
        <f t="shared" si="92"/>
        <v>17.387363896848136</v>
      </c>
      <c r="H1525" t="str">
        <f t="shared" si="93"/>
        <v>February</v>
      </c>
      <c r="I1525" t="str">
        <f t="shared" si="94"/>
        <v>Q1</v>
      </c>
      <c r="J1525" t="str">
        <f t="shared" si="95"/>
        <v>Large</v>
      </c>
    </row>
    <row r="1526" spans="1:10" x14ac:dyDescent="0.25">
      <c r="A1526" t="s">
        <v>43</v>
      </c>
      <c r="B1526" t="s">
        <v>21</v>
      </c>
      <c r="C1526" t="s">
        <v>27</v>
      </c>
      <c r="D1526" s="1">
        <v>45001</v>
      </c>
      <c r="E1526" s="2">
        <v>4944.46</v>
      </c>
      <c r="F1526">
        <v>144</v>
      </c>
      <c r="G1526" s="2">
        <f t="shared" si="92"/>
        <v>34.336527777777775</v>
      </c>
      <c r="H1526" t="str">
        <f t="shared" si="93"/>
        <v>March</v>
      </c>
      <c r="I1526" t="str">
        <f t="shared" si="94"/>
        <v>Q1</v>
      </c>
      <c r="J1526" t="str">
        <f t="shared" si="95"/>
        <v>Large</v>
      </c>
    </row>
    <row r="1527" spans="1:10" x14ac:dyDescent="0.25">
      <c r="A1527" t="s">
        <v>54</v>
      </c>
      <c r="B1527" t="s">
        <v>10</v>
      </c>
      <c r="C1527" t="s">
        <v>44</v>
      </c>
      <c r="D1527" s="1">
        <v>45153</v>
      </c>
      <c r="E1527" s="2">
        <v>12331.35</v>
      </c>
      <c r="F1527">
        <v>337</v>
      </c>
      <c r="G1527" s="2">
        <f t="shared" si="92"/>
        <v>36.591543026706233</v>
      </c>
      <c r="H1527" t="str">
        <f t="shared" si="93"/>
        <v>August</v>
      </c>
      <c r="I1527" t="str">
        <f t="shared" si="94"/>
        <v>Q3</v>
      </c>
      <c r="J1527" t="str">
        <f t="shared" si="95"/>
        <v>Large</v>
      </c>
    </row>
    <row r="1528" spans="1:10" x14ac:dyDescent="0.25">
      <c r="A1528" t="s">
        <v>12</v>
      </c>
      <c r="B1528" t="s">
        <v>10</v>
      </c>
      <c r="C1528" t="s">
        <v>45</v>
      </c>
      <c r="D1528" s="1">
        <v>45058</v>
      </c>
      <c r="E1528" s="2">
        <v>5290.76</v>
      </c>
      <c r="F1528">
        <v>76</v>
      </c>
      <c r="G1528" s="2">
        <f t="shared" si="92"/>
        <v>69.615263157894745</v>
      </c>
      <c r="H1528" t="str">
        <f t="shared" si="93"/>
        <v>May</v>
      </c>
      <c r="I1528" t="str">
        <f t="shared" si="94"/>
        <v>Q2</v>
      </c>
      <c r="J1528" t="str">
        <f t="shared" si="95"/>
        <v>Large</v>
      </c>
    </row>
    <row r="1529" spans="1:10" x14ac:dyDescent="0.25">
      <c r="A1529" t="s">
        <v>9</v>
      </c>
      <c r="B1529" t="s">
        <v>10</v>
      </c>
      <c r="C1529" t="s">
        <v>39</v>
      </c>
      <c r="D1529" s="1">
        <v>45027</v>
      </c>
      <c r="E1529" s="2">
        <v>6874.06</v>
      </c>
      <c r="F1529">
        <v>4</v>
      </c>
      <c r="G1529" s="2">
        <f t="shared" si="92"/>
        <v>1718.5150000000001</v>
      </c>
      <c r="H1529" t="str">
        <f t="shared" si="93"/>
        <v>April</v>
      </c>
      <c r="I1529" t="str">
        <f t="shared" si="94"/>
        <v>Q2</v>
      </c>
      <c r="J1529" t="str">
        <f t="shared" si="95"/>
        <v>Large</v>
      </c>
    </row>
    <row r="1530" spans="1:10" x14ac:dyDescent="0.25">
      <c r="A1530" t="s">
        <v>14</v>
      </c>
      <c r="B1530" t="s">
        <v>21</v>
      </c>
      <c r="C1530" t="s">
        <v>8</v>
      </c>
      <c r="D1530" s="1">
        <v>45107</v>
      </c>
      <c r="E1530" s="2">
        <v>20402.169999999998</v>
      </c>
      <c r="F1530">
        <v>297</v>
      </c>
      <c r="G1530" s="2">
        <f t="shared" si="92"/>
        <v>68.694175084175072</v>
      </c>
      <c r="H1530" t="str">
        <f t="shared" si="93"/>
        <v>June</v>
      </c>
      <c r="I1530" t="str">
        <f t="shared" si="94"/>
        <v>Q2</v>
      </c>
      <c r="J1530" t="str">
        <f t="shared" si="95"/>
        <v>Large</v>
      </c>
    </row>
    <row r="1531" spans="1:10" x14ac:dyDescent="0.25">
      <c r="A1531" t="s">
        <v>54</v>
      </c>
      <c r="B1531" t="s">
        <v>21</v>
      </c>
      <c r="C1531" t="s">
        <v>44</v>
      </c>
      <c r="D1531" s="1">
        <v>45092</v>
      </c>
      <c r="E1531" s="2">
        <v>7923.1</v>
      </c>
      <c r="F1531">
        <v>62</v>
      </c>
      <c r="G1531" s="2">
        <f t="shared" si="92"/>
        <v>127.79193548387097</v>
      </c>
      <c r="H1531" t="str">
        <f t="shared" si="93"/>
        <v>June</v>
      </c>
      <c r="I1531" t="str">
        <f t="shared" si="94"/>
        <v>Q2</v>
      </c>
      <c r="J1531" t="str">
        <f t="shared" si="95"/>
        <v>Large</v>
      </c>
    </row>
    <row r="1532" spans="1:10" x14ac:dyDescent="0.25">
      <c r="A1532" t="s">
        <v>24</v>
      </c>
      <c r="B1532" t="s">
        <v>29</v>
      </c>
      <c r="C1532" t="s">
        <v>57</v>
      </c>
      <c r="D1532" s="1">
        <v>45139</v>
      </c>
      <c r="E1532" s="2">
        <v>8145.99</v>
      </c>
      <c r="F1532">
        <v>100</v>
      </c>
      <c r="G1532" s="2">
        <f t="shared" si="92"/>
        <v>81.459900000000005</v>
      </c>
      <c r="H1532" t="str">
        <f t="shared" si="93"/>
        <v>August</v>
      </c>
      <c r="I1532" t="str">
        <f t="shared" si="94"/>
        <v>Q3</v>
      </c>
      <c r="J1532" t="str">
        <f t="shared" si="95"/>
        <v>Large</v>
      </c>
    </row>
    <row r="1533" spans="1:10" x14ac:dyDescent="0.25">
      <c r="A1533" t="s">
        <v>41</v>
      </c>
      <c r="B1533" t="s">
        <v>26</v>
      </c>
      <c r="C1533" t="s">
        <v>37</v>
      </c>
      <c r="D1533" s="1">
        <v>45092</v>
      </c>
      <c r="E1533" s="2">
        <v>16253.25</v>
      </c>
      <c r="F1533">
        <v>58</v>
      </c>
      <c r="G1533" s="2">
        <f t="shared" si="92"/>
        <v>280.22844827586209</v>
      </c>
      <c r="H1533" t="str">
        <f t="shared" si="93"/>
        <v>June</v>
      </c>
      <c r="I1533" t="str">
        <f t="shared" si="94"/>
        <v>Q2</v>
      </c>
      <c r="J1533" t="str">
        <f t="shared" si="95"/>
        <v>Large</v>
      </c>
    </row>
    <row r="1534" spans="1:10" x14ac:dyDescent="0.25">
      <c r="A1534" t="s">
        <v>23</v>
      </c>
      <c r="B1534" t="s">
        <v>10</v>
      </c>
      <c r="C1534" t="s">
        <v>20</v>
      </c>
      <c r="D1534" s="1">
        <v>45093</v>
      </c>
      <c r="E1534" s="2">
        <v>5744.07</v>
      </c>
      <c r="F1534">
        <v>49</v>
      </c>
      <c r="G1534" s="2">
        <f t="shared" si="92"/>
        <v>117.22591836734694</v>
      </c>
      <c r="H1534" t="str">
        <f t="shared" si="93"/>
        <v>June</v>
      </c>
      <c r="I1534" t="str">
        <f t="shared" si="94"/>
        <v>Q2</v>
      </c>
      <c r="J1534" t="str">
        <f t="shared" si="95"/>
        <v>Large</v>
      </c>
    </row>
    <row r="1535" spans="1:10" x14ac:dyDescent="0.25">
      <c r="A1535" t="s">
        <v>17</v>
      </c>
      <c r="B1535" t="s">
        <v>21</v>
      </c>
      <c r="C1535" t="s">
        <v>51</v>
      </c>
      <c r="D1535" s="1">
        <v>45059</v>
      </c>
      <c r="E1535" s="2">
        <v>4908.71</v>
      </c>
      <c r="F1535">
        <v>288</v>
      </c>
      <c r="G1535" s="2">
        <f t="shared" si="92"/>
        <v>17.044131944444445</v>
      </c>
      <c r="H1535" t="str">
        <f t="shared" si="93"/>
        <v>May</v>
      </c>
      <c r="I1535" t="str">
        <f t="shared" si="94"/>
        <v>Q2</v>
      </c>
      <c r="J1535" t="str">
        <f t="shared" si="95"/>
        <v>Large</v>
      </c>
    </row>
    <row r="1536" spans="1:10" x14ac:dyDescent="0.25">
      <c r="A1536" t="s">
        <v>43</v>
      </c>
      <c r="B1536" t="s">
        <v>26</v>
      </c>
      <c r="C1536" t="s">
        <v>32</v>
      </c>
      <c r="D1536" s="1">
        <v>45056</v>
      </c>
      <c r="E1536" s="2">
        <v>2369.87</v>
      </c>
      <c r="F1536">
        <v>139</v>
      </c>
      <c r="G1536" s="2">
        <f t="shared" si="92"/>
        <v>17.049424460431656</v>
      </c>
      <c r="H1536" t="str">
        <f t="shared" si="93"/>
        <v>May</v>
      </c>
      <c r="I1536" t="str">
        <f t="shared" si="94"/>
        <v>Q2</v>
      </c>
      <c r="J1536" t="str">
        <f t="shared" si="95"/>
        <v>Large</v>
      </c>
    </row>
    <row r="1537" spans="1:10" x14ac:dyDescent="0.25">
      <c r="A1537" t="s">
        <v>17</v>
      </c>
      <c r="B1537" t="s">
        <v>10</v>
      </c>
      <c r="C1537" t="s">
        <v>30</v>
      </c>
      <c r="D1537" s="1">
        <v>45163</v>
      </c>
      <c r="E1537" s="2">
        <v>5973.24</v>
      </c>
      <c r="F1537">
        <v>337</v>
      </c>
      <c r="G1537" s="2">
        <f t="shared" si="92"/>
        <v>17.724747774480711</v>
      </c>
      <c r="H1537" t="str">
        <f t="shared" si="93"/>
        <v>August</v>
      </c>
      <c r="I1537" t="str">
        <f t="shared" si="94"/>
        <v>Q3</v>
      </c>
      <c r="J1537" t="str">
        <f t="shared" si="95"/>
        <v>Large</v>
      </c>
    </row>
    <row r="1538" spans="1:10" x14ac:dyDescent="0.25">
      <c r="A1538" t="s">
        <v>55</v>
      </c>
      <c r="B1538" t="s">
        <v>21</v>
      </c>
      <c r="C1538" t="s">
        <v>35</v>
      </c>
      <c r="D1538" s="1">
        <v>45122</v>
      </c>
      <c r="E1538" s="2">
        <v>8047.16</v>
      </c>
      <c r="F1538">
        <v>86</v>
      </c>
      <c r="G1538" s="2">
        <f t="shared" si="92"/>
        <v>93.571627906976744</v>
      </c>
      <c r="H1538" t="str">
        <f t="shared" si="93"/>
        <v>July</v>
      </c>
      <c r="I1538" t="str">
        <f t="shared" si="94"/>
        <v>Q3</v>
      </c>
      <c r="J1538" t="str">
        <f t="shared" si="95"/>
        <v>Large</v>
      </c>
    </row>
    <row r="1539" spans="1:10" x14ac:dyDescent="0.25">
      <c r="A1539" t="s">
        <v>12</v>
      </c>
      <c r="B1539" t="s">
        <v>7</v>
      </c>
      <c r="C1539" t="s">
        <v>56</v>
      </c>
      <c r="D1539" s="1">
        <v>45062</v>
      </c>
      <c r="E1539" s="2">
        <v>9656.56</v>
      </c>
      <c r="F1539">
        <v>400</v>
      </c>
      <c r="G1539" s="2">
        <f t="shared" ref="G1539:G1602" si="96">E1539/F1539</f>
        <v>24.141399999999997</v>
      </c>
      <c r="H1539" t="str">
        <f t="shared" ref="H1539:H1602" si="97">TEXT(D1539, "mmmm")</f>
        <v>May</v>
      </c>
      <c r="I1539" t="str">
        <f t="shared" ref="I1539:I1602" si="98">"Q" &amp; ROUNDUP(MONTH(D1539)/3,0)</f>
        <v>Q2</v>
      </c>
      <c r="J1539" t="str">
        <f t="shared" ref="J1539:J1602" si="99">IF(E1539 &gt; 500, "Large", "Small")</f>
        <v>Large</v>
      </c>
    </row>
    <row r="1540" spans="1:10" x14ac:dyDescent="0.25">
      <c r="A1540" t="s">
        <v>14</v>
      </c>
      <c r="B1540" t="s">
        <v>15</v>
      </c>
      <c r="C1540" t="s">
        <v>22</v>
      </c>
      <c r="D1540" s="1">
        <v>45091</v>
      </c>
      <c r="E1540" s="2">
        <v>3925.06</v>
      </c>
      <c r="F1540">
        <v>186</v>
      </c>
      <c r="G1540" s="2">
        <f t="shared" si="96"/>
        <v>21.102473118279569</v>
      </c>
      <c r="H1540" t="str">
        <f t="shared" si="97"/>
        <v>June</v>
      </c>
      <c r="I1540" t="str">
        <f t="shared" si="98"/>
        <v>Q2</v>
      </c>
      <c r="J1540" t="str">
        <f t="shared" si="99"/>
        <v>Large</v>
      </c>
    </row>
    <row r="1541" spans="1:10" x14ac:dyDescent="0.25">
      <c r="A1541" t="s">
        <v>34</v>
      </c>
      <c r="B1541" t="s">
        <v>15</v>
      </c>
      <c r="C1541" t="s">
        <v>16</v>
      </c>
      <c r="D1541" s="1">
        <v>44951</v>
      </c>
      <c r="E1541" s="2">
        <v>11682.62</v>
      </c>
      <c r="F1541">
        <v>506</v>
      </c>
      <c r="G1541" s="2">
        <f t="shared" si="96"/>
        <v>23.08818181818182</v>
      </c>
      <c r="H1541" t="str">
        <f t="shared" si="97"/>
        <v>January</v>
      </c>
      <c r="I1541" t="str">
        <f t="shared" si="98"/>
        <v>Q1</v>
      </c>
      <c r="J1541" t="str">
        <f t="shared" si="99"/>
        <v>Large</v>
      </c>
    </row>
    <row r="1542" spans="1:10" x14ac:dyDescent="0.25">
      <c r="A1542" t="s">
        <v>55</v>
      </c>
      <c r="B1542" t="s">
        <v>26</v>
      </c>
      <c r="C1542" t="s">
        <v>35</v>
      </c>
      <c r="D1542" s="1">
        <v>45135</v>
      </c>
      <c r="E1542" s="2">
        <v>7874.15</v>
      </c>
      <c r="F1542">
        <v>13</v>
      </c>
      <c r="G1542" s="2">
        <f t="shared" si="96"/>
        <v>605.70384615384614</v>
      </c>
      <c r="H1542" t="str">
        <f t="shared" si="97"/>
        <v>July</v>
      </c>
      <c r="I1542" t="str">
        <f t="shared" si="98"/>
        <v>Q3</v>
      </c>
      <c r="J1542" t="str">
        <f t="shared" si="99"/>
        <v>Large</v>
      </c>
    </row>
    <row r="1543" spans="1:10" x14ac:dyDescent="0.25">
      <c r="A1543" t="s">
        <v>23</v>
      </c>
      <c r="B1543" t="s">
        <v>29</v>
      </c>
      <c r="C1543" t="s">
        <v>8</v>
      </c>
      <c r="D1543" s="1">
        <v>44954</v>
      </c>
      <c r="E1543" s="2">
        <v>5061.37</v>
      </c>
      <c r="F1543">
        <v>179</v>
      </c>
      <c r="G1543" s="2">
        <f t="shared" si="96"/>
        <v>28.275810055865922</v>
      </c>
      <c r="H1543" t="str">
        <f t="shared" si="97"/>
        <v>January</v>
      </c>
      <c r="I1543" t="str">
        <f t="shared" si="98"/>
        <v>Q1</v>
      </c>
      <c r="J1543" t="str">
        <f t="shared" si="99"/>
        <v>Large</v>
      </c>
    </row>
    <row r="1544" spans="1:10" x14ac:dyDescent="0.25">
      <c r="A1544" t="s">
        <v>41</v>
      </c>
      <c r="B1544" t="s">
        <v>7</v>
      </c>
      <c r="C1544" t="s">
        <v>27</v>
      </c>
      <c r="D1544" s="1">
        <v>45106</v>
      </c>
      <c r="E1544" s="2">
        <v>2099.2399999999998</v>
      </c>
      <c r="F1544">
        <v>186</v>
      </c>
      <c r="G1544" s="2">
        <f t="shared" si="96"/>
        <v>11.286236559139784</v>
      </c>
      <c r="H1544" t="str">
        <f t="shared" si="97"/>
        <v>June</v>
      </c>
      <c r="I1544" t="str">
        <f t="shared" si="98"/>
        <v>Q2</v>
      </c>
      <c r="J1544" t="str">
        <f t="shared" si="99"/>
        <v>Large</v>
      </c>
    </row>
    <row r="1545" spans="1:10" x14ac:dyDescent="0.25">
      <c r="A1545" t="s">
        <v>31</v>
      </c>
      <c r="B1545" t="s">
        <v>15</v>
      </c>
      <c r="C1545" t="s">
        <v>58</v>
      </c>
      <c r="D1545" s="1">
        <v>45101</v>
      </c>
      <c r="E1545" s="2">
        <v>237.57</v>
      </c>
      <c r="F1545">
        <v>311</v>
      </c>
      <c r="G1545" s="2">
        <f t="shared" si="96"/>
        <v>0.7638906752411575</v>
      </c>
      <c r="H1545" t="str">
        <f t="shared" si="97"/>
        <v>June</v>
      </c>
      <c r="I1545" t="str">
        <f t="shared" si="98"/>
        <v>Q2</v>
      </c>
      <c r="J1545" t="str">
        <f t="shared" si="99"/>
        <v>Small</v>
      </c>
    </row>
    <row r="1546" spans="1:10" x14ac:dyDescent="0.25">
      <c r="A1546" t="s">
        <v>19</v>
      </c>
      <c r="B1546" t="s">
        <v>29</v>
      </c>
      <c r="C1546" t="s">
        <v>8</v>
      </c>
      <c r="D1546" s="1">
        <v>45108</v>
      </c>
      <c r="E1546" s="2">
        <v>8829.77</v>
      </c>
      <c r="F1546">
        <v>445</v>
      </c>
      <c r="G1546" s="2">
        <f t="shared" si="96"/>
        <v>19.842179775280901</v>
      </c>
      <c r="H1546" t="str">
        <f t="shared" si="97"/>
        <v>July</v>
      </c>
      <c r="I1546" t="str">
        <f t="shared" si="98"/>
        <v>Q3</v>
      </c>
      <c r="J1546" t="str">
        <f t="shared" si="99"/>
        <v>Large</v>
      </c>
    </row>
    <row r="1547" spans="1:10" x14ac:dyDescent="0.25">
      <c r="A1547" t="s">
        <v>36</v>
      </c>
      <c r="B1547" t="s">
        <v>26</v>
      </c>
      <c r="C1547" t="s">
        <v>13</v>
      </c>
      <c r="D1547" s="1">
        <v>44982</v>
      </c>
      <c r="E1547" s="2">
        <v>1733.09</v>
      </c>
      <c r="F1547">
        <v>135</v>
      </c>
      <c r="G1547" s="2">
        <f t="shared" si="96"/>
        <v>12.837703703703703</v>
      </c>
      <c r="H1547" t="str">
        <f t="shared" si="97"/>
        <v>February</v>
      </c>
      <c r="I1547" t="str">
        <f t="shared" si="98"/>
        <v>Q1</v>
      </c>
      <c r="J1547" t="str">
        <f t="shared" si="99"/>
        <v>Large</v>
      </c>
    </row>
    <row r="1548" spans="1:10" x14ac:dyDescent="0.25">
      <c r="A1548" t="s">
        <v>38</v>
      </c>
      <c r="B1548" t="s">
        <v>29</v>
      </c>
      <c r="C1548" t="s">
        <v>16</v>
      </c>
      <c r="D1548" s="1">
        <v>45139</v>
      </c>
      <c r="E1548" s="2">
        <v>3047.18</v>
      </c>
      <c r="F1548">
        <v>12</v>
      </c>
      <c r="G1548" s="2">
        <f t="shared" si="96"/>
        <v>253.93166666666664</v>
      </c>
      <c r="H1548" t="str">
        <f t="shared" si="97"/>
        <v>August</v>
      </c>
      <c r="I1548" t="str">
        <f t="shared" si="98"/>
        <v>Q3</v>
      </c>
      <c r="J1548" t="str">
        <f t="shared" si="99"/>
        <v>Large</v>
      </c>
    </row>
    <row r="1549" spans="1:10" x14ac:dyDescent="0.25">
      <c r="A1549" t="s">
        <v>17</v>
      </c>
      <c r="B1549" t="s">
        <v>15</v>
      </c>
      <c r="C1549" t="s">
        <v>37</v>
      </c>
      <c r="D1549" s="1">
        <v>45098</v>
      </c>
      <c r="E1549" s="2">
        <v>8497.7199999999993</v>
      </c>
      <c r="F1549">
        <v>276</v>
      </c>
      <c r="G1549" s="2">
        <f t="shared" si="96"/>
        <v>30.788840579710143</v>
      </c>
      <c r="H1549" t="str">
        <f t="shared" si="97"/>
        <v>June</v>
      </c>
      <c r="I1549" t="str">
        <f t="shared" si="98"/>
        <v>Q2</v>
      </c>
      <c r="J1549" t="str">
        <f t="shared" si="99"/>
        <v>Large</v>
      </c>
    </row>
    <row r="1550" spans="1:10" x14ac:dyDescent="0.25">
      <c r="A1550" t="s">
        <v>50</v>
      </c>
      <c r="B1550" t="s">
        <v>21</v>
      </c>
      <c r="C1550" t="s">
        <v>39</v>
      </c>
      <c r="D1550" s="1">
        <v>44951</v>
      </c>
      <c r="E1550" s="2">
        <v>12557.56</v>
      </c>
      <c r="F1550">
        <v>26</v>
      </c>
      <c r="G1550" s="2">
        <f t="shared" si="96"/>
        <v>482.98307692307691</v>
      </c>
      <c r="H1550" t="str">
        <f t="shared" si="97"/>
        <v>January</v>
      </c>
      <c r="I1550" t="str">
        <f t="shared" si="98"/>
        <v>Q1</v>
      </c>
      <c r="J1550" t="str">
        <f t="shared" si="99"/>
        <v>Large</v>
      </c>
    </row>
    <row r="1551" spans="1:10" x14ac:dyDescent="0.25">
      <c r="A1551" t="s">
        <v>12</v>
      </c>
      <c r="B1551" t="s">
        <v>7</v>
      </c>
      <c r="C1551" t="s">
        <v>37</v>
      </c>
      <c r="D1551" s="1">
        <v>45063</v>
      </c>
      <c r="E1551" s="2">
        <v>1406.91</v>
      </c>
      <c r="F1551">
        <v>231</v>
      </c>
      <c r="G1551" s="2">
        <f t="shared" si="96"/>
        <v>6.0905194805194807</v>
      </c>
      <c r="H1551" t="str">
        <f t="shared" si="97"/>
        <v>May</v>
      </c>
      <c r="I1551" t="str">
        <f t="shared" si="98"/>
        <v>Q2</v>
      </c>
      <c r="J1551" t="str">
        <f t="shared" si="99"/>
        <v>Large</v>
      </c>
    </row>
    <row r="1552" spans="1:10" x14ac:dyDescent="0.25">
      <c r="A1552" t="s">
        <v>48</v>
      </c>
      <c r="B1552" t="s">
        <v>15</v>
      </c>
      <c r="C1552" t="s">
        <v>11</v>
      </c>
      <c r="D1552" s="1">
        <v>45161</v>
      </c>
      <c r="E1552" s="2">
        <v>4496.32</v>
      </c>
      <c r="F1552">
        <v>240</v>
      </c>
      <c r="G1552" s="2">
        <f t="shared" si="96"/>
        <v>18.734666666666666</v>
      </c>
      <c r="H1552" t="str">
        <f t="shared" si="97"/>
        <v>August</v>
      </c>
      <c r="I1552" t="str">
        <f t="shared" si="98"/>
        <v>Q3</v>
      </c>
      <c r="J1552" t="str">
        <f t="shared" si="99"/>
        <v>Large</v>
      </c>
    </row>
    <row r="1553" spans="1:10" x14ac:dyDescent="0.25">
      <c r="A1553" t="s">
        <v>50</v>
      </c>
      <c r="B1553" t="s">
        <v>15</v>
      </c>
      <c r="C1553" t="s">
        <v>16</v>
      </c>
      <c r="D1553" s="1">
        <v>44988</v>
      </c>
      <c r="E1553" s="2">
        <v>8220.25</v>
      </c>
      <c r="F1553">
        <v>125</v>
      </c>
      <c r="G1553" s="2">
        <f t="shared" si="96"/>
        <v>65.762</v>
      </c>
      <c r="H1553" t="str">
        <f t="shared" si="97"/>
        <v>March</v>
      </c>
      <c r="I1553" t="str">
        <f t="shared" si="98"/>
        <v>Q1</v>
      </c>
      <c r="J1553" t="str">
        <f t="shared" si="99"/>
        <v>Large</v>
      </c>
    </row>
    <row r="1554" spans="1:10" x14ac:dyDescent="0.25">
      <c r="A1554" t="s">
        <v>36</v>
      </c>
      <c r="B1554" t="s">
        <v>10</v>
      </c>
      <c r="C1554" t="s">
        <v>57</v>
      </c>
      <c r="D1554" s="1">
        <v>45076</v>
      </c>
      <c r="E1554" s="2">
        <v>9588.0300000000007</v>
      </c>
      <c r="F1554">
        <v>562</v>
      </c>
      <c r="G1554" s="2">
        <f t="shared" si="96"/>
        <v>17.060551601423487</v>
      </c>
      <c r="H1554" t="str">
        <f t="shared" si="97"/>
        <v>May</v>
      </c>
      <c r="I1554" t="str">
        <f t="shared" si="98"/>
        <v>Q2</v>
      </c>
      <c r="J1554" t="str">
        <f t="shared" si="99"/>
        <v>Large</v>
      </c>
    </row>
    <row r="1555" spans="1:10" x14ac:dyDescent="0.25">
      <c r="A1555" t="s">
        <v>31</v>
      </c>
      <c r="B1555" t="s">
        <v>26</v>
      </c>
      <c r="C1555" t="s">
        <v>32</v>
      </c>
      <c r="D1555" s="1">
        <v>45106</v>
      </c>
      <c r="E1555" s="2">
        <v>114.82</v>
      </c>
      <c r="F1555">
        <v>231</v>
      </c>
      <c r="G1555" s="2">
        <f t="shared" si="96"/>
        <v>0.49705627705627703</v>
      </c>
      <c r="H1555" t="str">
        <f t="shared" si="97"/>
        <v>June</v>
      </c>
      <c r="I1555" t="str">
        <f t="shared" si="98"/>
        <v>Q2</v>
      </c>
      <c r="J1555" t="str">
        <f t="shared" si="99"/>
        <v>Small</v>
      </c>
    </row>
    <row r="1556" spans="1:10" x14ac:dyDescent="0.25">
      <c r="A1556" t="s">
        <v>48</v>
      </c>
      <c r="B1556" t="s">
        <v>29</v>
      </c>
      <c r="C1556" t="s">
        <v>35</v>
      </c>
      <c r="D1556" s="1">
        <v>44930</v>
      </c>
      <c r="E1556" s="2">
        <v>8804.98</v>
      </c>
      <c r="F1556">
        <v>214</v>
      </c>
      <c r="G1556" s="2">
        <f t="shared" si="96"/>
        <v>41.144766355140185</v>
      </c>
      <c r="H1556" t="str">
        <f t="shared" si="97"/>
        <v>January</v>
      </c>
      <c r="I1556" t="str">
        <f t="shared" si="98"/>
        <v>Q1</v>
      </c>
      <c r="J1556" t="str">
        <f t="shared" si="99"/>
        <v>Large</v>
      </c>
    </row>
    <row r="1557" spans="1:10" x14ac:dyDescent="0.25">
      <c r="A1557" t="s">
        <v>6</v>
      </c>
      <c r="B1557" t="s">
        <v>15</v>
      </c>
      <c r="C1557" t="s">
        <v>32</v>
      </c>
      <c r="D1557" s="1">
        <v>44940</v>
      </c>
      <c r="E1557" s="2">
        <v>2900.61</v>
      </c>
      <c r="F1557">
        <v>68</v>
      </c>
      <c r="G1557" s="2">
        <f t="shared" si="96"/>
        <v>42.656029411764706</v>
      </c>
      <c r="H1557" t="str">
        <f t="shared" si="97"/>
        <v>January</v>
      </c>
      <c r="I1557" t="str">
        <f t="shared" si="98"/>
        <v>Q1</v>
      </c>
      <c r="J1557" t="str">
        <f t="shared" si="99"/>
        <v>Large</v>
      </c>
    </row>
    <row r="1558" spans="1:10" x14ac:dyDescent="0.25">
      <c r="A1558" t="s">
        <v>31</v>
      </c>
      <c r="B1558" t="s">
        <v>26</v>
      </c>
      <c r="C1558" t="s">
        <v>8</v>
      </c>
      <c r="D1558" s="1">
        <v>44972</v>
      </c>
      <c r="E1558" s="2">
        <v>16773.080000000002</v>
      </c>
      <c r="F1558">
        <v>58</v>
      </c>
      <c r="G1558" s="2">
        <f t="shared" si="96"/>
        <v>289.19103448275865</v>
      </c>
      <c r="H1558" t="str">
        <f t="shared" si="97"/>
        <v>February</v>
      </c>
      <c r="I1558" t="str">
        <f t="shared" si="98"/>
        <v>Q1</v>
      </c>
      <c r="J1558" t="str">
        <f t="shared" si="99"/>
        <v>Large</v>
      </c>
    </row>
    <row r="1559" spans="1:10" x14ac:dyDescent="0.25">
      <c r="A1559" t="s">
        <v>38</v>
      </c>
      <c r="B1559" t="s">
        <v>21</v>
      </c>
      <c r="C1559" t="s">
        <v>39</v>
      </c>
      <c r="D1559" s="1">
        <v>44936</v>
      </c>
      <c r="E1559" s="2">
        <v>4153.59</v>
      </c>
      <c r="F1559">
        <v>513</v>
      </c>
      <c r="G1559" s="2">
        <f t="shared" si="96"/>
        <v>8.0966666666666676</v>
      </c>
      <c r="H1559" t="str">
        <f t="shared" si="97"/>
        <v>January</v>
      </c>
      <c r="I1559" t="str">
        <f t="shared" si="98"/>
        <v>Q1</v>
      </c>
      <c r="J1559" t="str">
        <f t="shared" si="99"/>
        <v>Large</v>
      </c>
    </row>
    <row r="1560" spans="1:10" x14ac:dyDescent="0.25">
      <c r="A1560" t="s">
        <v>53</v>
      </c>
      <c r="B1560" t="s">
        <v>26</v>
      </c>
      <c r="C1560" t="s">
        <v>44</v>
      </c>
      <c r="D1560" s="1">
        <v>45050</v>
      </c>
      <c r="E1560" s="2">
        <v>12571.07</v>
      </c>
      <c r="F1560">
        <v>226</v>
      </c>
      <c r="G1560" s="2">
        <f t="shared" si="96"/>
        <v>55.624203539823007</v>
      </c>
      <c r="H1560" t="str">
        <f t="shared" si="97"/>
        <v>May</v>
      </c>
      <c r="I1560" t="str">
        <f t="shared" si="98"/>
        <v>Q2</v>
      </c>
      <c r="J1560" t="str">
        <f t="shared" si="99"/>
        <v>Large</v>
      </c>
    </row>
    <row r="1561" spans="1:10" x14ac:dyDescent="0.25">
      <c r="A1561" t="s">
        <v>48</v>
      </c>
      <c r="B1561" t="s">
        <v>26</v>
      </c>
      <c r="C1561" t="s">
        <v>39</v>
      </c>
      <c r="D1561" s="1">
        <v>45069</v>
      </c>
      <c r="E1561" s="2">
        <v>2553.46</v>
      </c>
      <c r="F1561">
        <v>5</v>
      </c>
      <c r="G1561" s="2">
        <f t="shared" si="96"/>
        <v>510.69200000000001</v>
      </c>
      <c r="H1561" t="str">
        <f t="shared" si="97"/>
        <v>May</v>
      </c>
      <c r="I1561" t="str">
        <f t="shared" si="98"/>
        <v>Q2</v>
      </c>
      <c r="J1561" t="str">
        <f t="shared" si="99"/>
        <v>Large</v>
      </c>
    </row>
    <row r="1562" spans="1:10" x14ac:dyDescent="0.25">
      <c r="A1562" t="s">
        <v>25</v>
      </c>
      <c r="B1562" t="s">
        <v>21</v>
      </c>
      <c r="C1562" t="s">
        <v>42</v>
      </c>
      <c r="D1562" s="1">
        <v>45042</v>
      </c>
      <c r="E1562" s="2">
        <v>1888.94</v>
      </c>
      <c r="F1562">
        <v>159</v>
      </c>
      <c r="G1562" s="2">
        <f t="shared" si="96"/>
        <v>11.880125786163523</v>
      </c>
      <c r="H1562" t="str">
        <f t="shared" si="97"/>
        <v>April</v>
      </c>
      <c r="I1562" t="str">
        <f t="shared" si="98"/>
        <v>Q2</v>
      </c>
      <c r="J1562" t="str">
        <f t="shared" si="99"/>
        <v>Large</v>
      </c>
    </row>
    <row r="1563" spans="1:10" x14ac:dyDescent="0.25">
      <c r="A1563" t="s">
        <v>17</v>
      </c>
      <c r="B1563" t="s">
        <v>29</v>
      </c>
      <c r="C1563" t="s">
        <v>35</v>
      </c>
      <c r="D1563" s="1">
        <v>45112</v>
      </c>
      <c r="E1563" s="2">
        <v>1310.04</v>
      </c>
      <c r="F1563">
        <v>71</v>
      </c>
      <c r="G1563" s="2">
        <f t="shared" si="96"/>
        <v>18.451267605633802</v>
      </c>
      <c r="H1563" t="str">
        <f t="shared" si="97"/>
        <v>July</v>
      </c>
      <c r="I1563" t="str">
        <f t="shared" si="98"/>
        <v>Q3</v>
      </c>
      <c r="J1563" t="str">
        <f t="shared" si="99"/>
        <v>Large</v>
      </c>
    </row>
    <row r="1564" spans="1:10" x14ac:dyDescent="0.25">
      <c r="A1564" t="s">
        <v>53</v>
      </c>
      <c r="B1564" t="s">
        <v>7</v>
      </c>
      <c r="C1564" t="s">
        <v>35</v>
      </c>
      <c r="D1564" s="1">
        <v>45128</v>
      </c>
      <c r="E1564" s="2">
        <v>7805.9</v>
      </c>
      <c r="F1564">
        <v>179</v>
      </c>
      <c r="G1564" s="2">
        <f t="shared" si="96"/>
        <v>43.608379888268153</v>
      </c>
      <c r="H1564" t="str">
        <f t="shared" si="97"/>
        <v>July</v>
      </c>
      <c r="I1564" t="str">
        <f t="shared" si="98"/>
        <v>Q3</v>
      </c>
      <c r="J1564" t="str">
        <f t="shared" si="99"/>
        <v>Large</v>
      </c>
    </row>
    <row r="1565" spans="1:10" x14ac:dyDescent="0.25">
      <c r="A1565" t="s">
        <v>54</v>
      </c>
      <c r="B1565" t="s">
        <v>26</v>
      </c>
      <c r="C1565" t="s">
        <v>8</v>
      </c>
      <c r="D1565" s="1">
        <v>44978</v>
      </c>
      <c r="E1565" s="2">
        <v>6101.12</v>
      </c>
      <c r="F1565">
        <v>261</v>
      </c>
      <c r="G1565" s="2">
        <f t="shared" si="96"/>
        <v>23.375938697318006</v>
      </c>
      <c r="H1565" t="str">
        <f t="shared" si="97"/>
        <v>February</v>
      </c>
      <c r="I1565" t="str">
        <f t="shared" si="98"/>
        <v>Q1</v>
      </c>
      <c r="J1565" t="str">
        <f t="shared" si="99"/>
        <v>Large</v>
      </c>
    </row>
    <row r="1566" spans="1:10" x14ac:dyDescent="0.25">
      <c r="A1566" t="s">
        <v>49</v>
      </c>
      <c r="B1566" t="s">
        <v>26</v>
      </c>
      <c r="C1566" t="s">
        <v>27</v>
      </c>
      <c r="D1566" s="1">
        <v>44960</v>
      </c>
      <c r="E1566" s="2">
        <v>1425.81</v>
      </c>
      <c r="F1566">
        <v>133</v>
      </c>
      <c r="G1566" s="2">
        <f t="shared" si="96"/>
        <v>10.720375939849623</v>
      </c>
      <c r="H1566" t="str">
        <f t="shared" si="97"/>
        <v>February</v>
      </c>
      <c r="I1566" t="str">
        <f t="shared" si="98"/>
        <v>Q1</v>
      </c>
      <c r="J1566" t="str">
        <f t="shared" si="99"/>
        <v>Large</v>
      </c>
    </row>
    <row r="1567" spans="1:10" x14ac:dyDescent="0.25">
      <c r="A1567" t="s">
        <v>12</v>
      </c>
      <c r="B1567" t="s">
        <v>15</v>
      </c>
      <c r="C1567" t="s">
        <v>57</v>
      </c>
      <c r="D1567" s="1">
        <v>45115</v>
      </c>
      <c r="E1567" s="2">
        <v>8724.4</v>
      </c>
      <c r="F1567">
        <v>147</v>
      </c>
      <c r="G1567" s="2">
        <f t="shared" si="96"/>
        <v>59.349659863945575</v>
      </c>
      <c r="H1567" t="str">
        <f t="shared" si="97"/>
        <v>July</v>
      </c>
      <c r="I1567" t="str">
        <f t="shared" si="98"/>
        <v>Q3</v>
      </c>
      <c r="J1567" t="str">
        <f t="shared" si="99"/>
        <v>Large</v>
      </c>
    </row>
    <row r="1568" spans="1:10" x14ac:dyDescent="0.25">
      <c r="A1568" t="s">
        <v>28</v>
      </c>
      <c r="B1568" t="s">
        <v>10</v>
      </c>
      <c r="C1568" t="s">
        <v>22</v>
      </c>
      <c r="D1568" s="1">
        <v>45077</v>
      </c>
      <c r="E1568" s="2">
        <v>664.82</v>
      </c>
      <c r="F1568">
        <v>147</v>
      </c>
      <c r="G1568" s="2">
        <f t="shared" si="96"/>
        <v>4.5225850340136056</v>
      </c>
      <c r="H1568" t="str">
        <f t="shared" si="97"/>
        <v>May</v>
      </c>
      <c r="I1568" t="str">
        <f t="shared" si="98"/>
        <v>Q2</v>
      </c>
      <c r="J1568" t="str">
        <f t="shared" si="99"/>
        <v>Large</v>
      </c>
    </row>
    <row r="1569" spans="1:10" x14ac:dyDescent="0.25">
      <c r="A1569" t="s">
        <v>9</v>
      </c>
      <c r="B1569" t="s">
        <v>21</v>
      </c>
      <c r="C1569" t="s">
        <v>8</v>
      </c>
      <c r="D1569" s="1">
        <v>45104</v>
      </c>
      <c r="E1569" s="2">
        <v>4351.3100000000004</v>
      </c>
      <c r="F1569">
        <v>103</v>
      </c>
      <c r="G1569" s="2">
        <f t="shared" si="96"/>
        <v>42.245728155339812</v>
      </c>
      <c r="H1569" t="str">
        <f t="shared" si="97"/>
        <v>June</v>
      </c>
      <c r="I1569" t="str">
        <f t="shared" si="98"/>
        <v>Q2</v>
      </c>
      <c r="J1569" t="str">
        <f t="shared" si="99"/>
        <v>Large</v>
      </c>
    </row>
    <row r="1570" spans="1:10" x14ac:dyDescent="0.25">
      <c r="A1570" t="s">
        <v>9</v>
      </c>
      <c r="B1570" t="s">
        <v>10</v>
      </c>
      <c r="C1570" t="s">
        <v>22</v>
      </c>
      <c r="D1570" s="1">
        <v>45059</v>
      </c>
      <c r="E1570" s="2">
        <v>5825.09</v>
      </c>
      <c r="F1570">
        <v>123</v>
      </c>
      <c r="G1570" s="2">
        <f t="shared" si="96"/>
        <v>47.358455284552846</v>
      </c>
      <c r="H1570" t="str">
        <f t="shared" si="97"/>
        <v>May</v>
      </c>
      <c r="I1570" t="str">
        <f t="shared" si="98"/>
        <v>Q2</v>
      </c>
      <c r="J1570" t="str">
        <f t="shared" si="99"/>
        <v>Large</v>
      </c>
    </row>
    <row r="1571" spans="1:10" x14ac:dyDescent="0.25">
      <c r="A1571" t="s">
        <v>9</v>
      </c>
      <c r="B1571" t="s">
        <v>26</v>
      </c>
      <c r="C1571" t="s">
        <v>45</v>
      </c>
      <c r="D1571" s="1">
        <v>45077</v>
      </c>
      <c r="E1571" s="2">
        <v>2418.9299999999998</v>
      </c>
      <c r="F1571">
        <v>110</v>
      </c>
      <c r="G1571" s="2">
        <f t="shared" si="96"/>
        <v>21.990272727272725</v>
      </c>
      <c r="H1571" t="str">
        <f t="shared" si="97"/>
        <v>May</v>
      </c>
      <c r="I1571" t="str">
        <f t="shared" si="98"/>
        <v>Q2</v>
      </c>
      <c r="J1571" t="str">
        <f t="shared" si="99"/>
        <v>Large</v>
      </c>
    </row>
    <row r="1572" spans="1:10" x14ac:dyDescent="0.25">
      <c r="A1572" t="s">
        <v>46</v>
      </c>
      <c r="B1572" t="s">
        <v>26</v>
      </c>
      <c r="C1572" t="s">
        <v>27</v>
      </c>
      <c r="D1572" s="1">
        <v>44985</v>
      </c>
      <c r="E1572" s="2">
        <v>7725.52</v>
      </c>
      <c r="F1572">
        <v>38</v>
      </c>
      <c r="G1572" s="2">
        <f t="shared" si="96"/>
        <v>203.30315789473684</v>
      </c>
      <c r="H1572" t="str">
        <f t="shared" si="97"/>
        <v>February</v>
      </c>
      <c r="I1572" t="str">
        <f t="shared" si="98"/>
        <v>Q1</v>
      </c>
      <c r="J1572" t="str">
        <f t="shared" si="99"/>
        <v>Large</v>
      </c>
    </row>
    <row r="1573" spans="1:10" x14ac:dyDescent="0.25">
      <c r="A1573" t="s">
        <v>25</v>
      </c>
      <c r="B1573" t="s">
        <v>21</v>
      </c>
      <c r="C1573" t="s">
        <v>30</v>
      </c>
      <c r="D1573" s="1">
        <v>45013</v>
      </c>
      <c r="E1573" s="2">
        <v>7144.08</v>
      </c>
      <c r="F1573">
        <v>32</v>
      </c>
      <c r="G1573" s="2">
        <f t="shared" si="96"/>
        <v>223.2525</v>
      </c>
      <c r="H1573" t="str">
        <f t="shared" si="97"/>
        <v>March</v>
      </c>
      <c r="I1573" t="str">
        <f t="shared" si="98"/>
        <v>Q1</v>
      </c>
      <c r="J1573" t="str">
        <f t="shared" si="99"/>
        <v>Large</v>
      </c>
    </row>
    <row r="1574" spans="1:10" x14ac:dyDescent="0.25">
      <c r="A1574" t="s">
        <v>12</v>
      </c>
      <c r="B1574" t="s">
        <v>26</v>
      </c>
      <c r="C1574" t="s">
        <v>20</v>
      </c>
      <c r="D1574" s="1">
        <v>44940</v>
      </c>
      <c r="E1574" s="2">
        <v>2043.13</v>
      </c>
      <c r="F1574">
        <v>243</v>
      </c>
      <c r="G1574" s="2">
        <f t="shared" si="96"/>
        <v>8.4079423868312766</v>
      </c>
      <c r="H1574" t="str">
        <f t="shared" si="97"/>
        <v>January</v>
      </c>
      <c r="I1574" t="str">
        <f t="shared" si="98"/>
        <v>Q1</v>
      </c>
      <c r="J1574" t="str">
        <f t="shared" si="99"/>
        <v>Large</v>
      </c>
    </row>
    <row r="1575" spans="1:10" x14ac:dyDescent="0.25">
      <c r="A1575" t="s">
        <v>25</v>
      </c>
      <c r="B1575" t="s">
        <v>21</v>
      </c>
      <c r="C1575" t="s">
        <v>8</v>
      </c>
      <c r="D1575" s="1">
        <v>44978</v>
      </c>
      <c r="E1575" s="2">
        <v>6526.01</v>
      </c>
      <c r="F1575">
        <v>147</v>
      </c>
      <c r="G1575" s="2">
        <f t="shared" si="96"/>
        <v>44.394625850340141</v>
      </c>
      <c r="H1575" t="str">
        <f t="shared" si="97"/>
        <v>February</v>
      </c>
      <c r="I1575" t="str">
        <f t="shared" si="98"/>
        <v>Q1</v>
      </c>
      <c r="J1575" t="str">
        <f t="shared" si="99"/>
        <v>Large</v>
      </c>
    </row>
    <row r="1576" spans="1:10" x14ac:dyDescent="0.25">
      <c r="A1576" t="s">
        <v>43</v>
      </c>
      <c r="B1576" t="s">
        <v>29</v>
      </c>
      <c r="C1576" t="s">
        <v>11</v>
      </c>
      <c r="D1576" s="1">
        <v>45139</v>
      </c>
      <c r="E1576" s="2">
        <v>11334.77</v>
      </c>
      <c r="F1576">
        <v>89</v>
      </c>
      <c r="G1576" s="2">
        <f t="shared" si="96"/>
        <v>127.35696629213484</v>
      </c>
      <c r="H1576" t="str">
        <f t="shared" si="97"/>
        <v>August</v>
      </c>
      <c r="I1576" t="str">
        <f t="shared" si="98"/>
        <v>Q3</v>
      </c>
      <c r="J1576" t="str">
        <f t="shared" si="99"/>
        <v>Large</v>
      </c>
    </row>
    <row r="1577" spans="1:10" x14ac:dyDescent="0.25">
      <c r="A1577" t="s">
        <v>34</v>
      </c>
      <c r="B1577" t="s">
        <v>21</v>
      </c>
      <c r="C1577" t="s">
        <v>16</v>
      </c>
      <c r="D1577" s="1">
        <v>45065</v>
      </c>
      <c r="E1577" s="2">
        <v>2492.67</v>
      </c>
      <c r="F1577">
        <v>58</v>
      </c>
      <c r="G1577" s="2">
        <f t="shared" si="96"/>
        <v>42.97706896551724</v>
      </c>
      <c r="H1577" t="str">
        <f t="shared" si="97"/>
        <v>May</v>
      </c>
      <c r="I1577" t="str">
        <f t="shared" si="98"/>
        <v>Q2</v>
      </c>
      <c r="J1577" t="str">
        <f t="shared" si="99"/>
        <v>Large</v>
      </c>
    </row>
    <row r="1578" spans="1:10" x14ac:dyDescent="0.25">
      <c r="A1578" t="s">
        <v>40</v>
      </c>
      <c r="B1578" t="s">
        <v>26</v>
      </c>
      <c r="C1578" t="s">
        <v>44</v>
      </c>
      <c r="D1578" s="1">
        <v>45120</v>
      </c>
      <c r="E1578" s="2">
        <v>2066.48</v>
      </c>
      <c r="F1578">
        <v>59</v>
      </c>
      <c r="G1578" s="2">
        <f t="shared" si="96"/>
        <v>35.025084745762712</v>
      </c>
      <c r="H1578" t="str">
        <f t="shared" si="97"/>
        <v>July</v>
      </c>
      <c r="I1578" t="str">
        <f t="shared" si="98"/>
        <v>Q3</v>
      </c>
      <c r="J1578" t="str">
        <f t="shared" si="99"/>
        <v>Large</v>
      </c>
    </row>
    <row r="1579" spans="1:10" x14ac:dyDescent="0.25">
      <c r="A1579" t="s">
        <v>48</v>
      </c>
      <c r="B1579" t="s">
        <v>15</v>
      </c>
      <c r="C1579" t="s">
        <v>13</v>
      </c>
      <c r="D1579" s="1">
        <v>45036</v>
      </c>
      <c r="E1579" s="2">
        <v>7009.01</v>
      </c>
      <c r="F1579">
        <v>150</v>
      </c>
      <c r="G1579" s="2">
        <f t="shared" si="96"/>
        <v>46.726733333333335</v>
      </c>
      <c r="H1579" t="str">
        <f t="shared" si="97"/>
        <v>April</v>
      </c>
      <c r="I1579" t="str">
        <f t="shared" si="98"/>
        <v>Q2</v>
      </c>
      <c r="J1579" t="str">
        <f t="shared" si="99"/>
        <v>Large</v>
      </c>
    </row>
    <row r="1580" spans="1:10" x14ac:dyDescent="0.25">
      <c r="A1580" t="s">
        <v>43</v>
      </c>
      <c r="B1580" t="s">
        <v>10</v>
      </c>
      <c r="C1580" t="s">
        <v>11</v>
      </c>
      <c r="D1580" s="1">
        <v>45107</v>
      </c>
      <c r="E1580" s="2">
        <v>4562.97</v>
      </c>
      <c r="F1580">
        <v>21</v>
      </c>
      <c r="G1580" s="2">
        <f t="shared" si="96"/>
        <v>217.28428571428572</v>
      </c>
      <c r="H1580" t="str">
        <f t="shared" si="97"/>
        <v>June</v>
      </c>
      <c r="I1580" t="str">
        <f t="shared" si="98"/>
        <v>Q2</v>
      </c>
      <c r="J1580" t="str">
        <f t="shared" si="99"/>
        <v>Large</v>
      </c>
    </row>
    <row r="1581" spans="1:10" x14ac:dyDescent="0.25">
      <c r="A1581" t="s">
        <v>38</v>
      </c>
      <c r="B1581" t="s">
        <v>7</v>
      </c>
      <c r="C1581" t="s">
        <v>22</v>
      </c>
      <c r="D1581" s="1">
        <v>44993</v>
      </c>
      <c r="E1581" s="2">
        <v>3442.99</v>
      </c>
      <c r="F1581">
        <v>142</v>
      </c>
      <c r="G1581" s="2">
        <f t="shared" si="96"/>
        <v>24.246408450704223</v>
      </c>
      <c r="H1581" t="str">
        <f t="shared" si="97"/>
        <v>March</v>
      </c>
      <c r="I1581" t="str">
        <f t="shared" si="98"/>
        <v>Q1</v>
      </c>
      <c r="J1581" t="str">
        <f t="shared" si="99"/>
        <v>Large</v>
      </c>
    </row>
    <row r="1582" spans="1:10" x14ac:dyDescent="0.25">
      <c r="A1582" t="s">
        <v>19</v>
      </c>
      <c r="B1582" t="s">
        <v>26</v>
      </c>
      <c r="C1582" t="s">
        <v>42</v>
      </c>
      <c r="D1582" s="1">
        <v>44994</v>
      </c>
      <c r="E1582" s="2">
        <v>6669.6</v>
      </c>
      <c r="F1582">
        <v>99</v>
      </c>
      <c r="G1582" s="2">
        <f t="shared" si="96"/>
        <v>67.369696969696975</v>
      </c>
      <c r="H1582" t="str">
        <f t="shared" si="97"/>
        <v>March</v>
      </c>
      <c r="I1582" t="str">
        <f t="shared" si="98"/>
        <v>Q1</v>
      </c>
      <c r="J1582" t="str">
        <f t="shared" si="99"/>
        <v>Large</v>
      </c>
    </row>
    <row r="1583" spans="1:10" x14ac:dyDescent="0.25">
      <c r="A1583" t="s">
        <v>17</v>
      </c>
      <c r="B1583" t="s">
        <v>29</v>
      </c>
      <c r="C1583" t="s">
        <v>51</v>
      </c>
      <c r="D1583" s="1">
        <v>45093</v>
      </c>
      <c r="E1583" s="2">
        <v>1902.47</v>
      </c>
      <c r="F1583">
        <v>217</v>
      </c>
      <c r="G1583" s="2">
        <f t="shared" si="96"/>
        <v>8.7671428571428578</v>
      </c>
      <c r="H1583" t="str">
        <f t="shared" si="97"/>
        <v>June</v>
      </c>
      <c r="I1583" t="str">
        <f t="shared" si="98"/>
        <v>Q2</v>
      </c>
      <c r="J1583" t="str">
        <f t="shared" si="99"/>
        <v>Large</v>
      </c>
    </row>
    <row r="1584" spans="1:10" x14ac:dyDescent="0.25">
      <c r="A1584" t="s">
        <v>12</v>
      </c>
      <c r="B1584" t="s">
        <v>7</v>
      </c>
      <c r="C1584" t="s">
        <v>32</v>
      </c>
      <c r="D1584" s="1">
        <v>45107</v>
      </c>
      <c r="E1584" s="2">
        <v>6157.17</v>
      </c>
      <c r="F1584">
        <v>43</v>
      </c>
      <c r="G1584" s="2">
        <f t="shared" si="96"/>
        <v>143.19</v>
      </c>
      <c r="H1584" t="str">
        <f t="shared" si="97"/>
        <v>June</v>
      </c>
      <c r="I1584" t="str">
        <f t="shared" si="98"/>
        <v>Q2</v>
      </c>
      <c r="J1584" t="str">
        <f t="shared" si="99"/>
        <v>Large</v>
      </c>
    </row>
    <row r="1585" spans="1:10" x14ac:dyDescent="0.25">
      <c r="A1585" t="s">
        <v>49</v>
      </c>
      <c r="B1585" t="s">
        <v>10</v>
      </c>
      <c r="C1585" t="s">
        <v>8</v>
      </c>
      <c r="D1585" s="1">
        <v>45135</v>
      </c>
      <c r="E1585" s="2">
        <v>3012.68</v>
      </c>
      <c r="F1585">
        <v>129</v>
      </c>
      <c r="G1585" s="2">
        <f t="shared" si="96"/>
        <v>23.354108527131782</v>
      </c>
      <c r="H1585" t="str">
        <f t="shared" si="97"/>
        <v>July</v>
      </c>
      <c r="I1585" t="str">
        <f t="shared" si="98"/>
        <v>Q3</v>
      </c>
      <c r="J1585" t="str">
        <f t="shared" si="99"/>
        <v>Large</v>
      </c>
    </row>
    <row r="1586" spans="1:10" x14ac:dyDescent="0.25">
      <c r="A1586" t="s">
        <v>31</v>
      </c>
      <c r="B1586" t="s">
        <v>29</v>
      </c>
      <c r="C1586" t="s">
        <v>13</v>
      </c>
      <c r="D1586" s="1">
        <v>45150</v>
      </c>
      <c r="E1586" s="2">
        <v>3473.62</v>
      </c>
      <c r="F1586">
        <v>170</v>
      </c>
      <c r="G1586" s="2">
        <f t="shared" si="96"/>
        <v>20.433058823529411</v>
      </c>
      <c r="H1586" t="str">
        <f t="shared" si="97"/>
        <v>August</v>
      </c>
      <c r="I1586" t="str">
        <f t="shared" si="98"/>
        <v>Q3</v>
      </c>
      <c r="J1586" t="str">
        <f t="shared" si="99"/>
        <v>Large</v>
      </c>
    </row>
    <row r="1587" spans="1:10" x14ac:dyDescent="0.25">
      <c r="A1587" t="s">
        <v>25</v>
      </c>
      <c r="B1587" t="s">
        <v>7</v>
      </c>
      <c r="C1587" t="s">
        <v>8</v>
      </c>
      <c r="D1587" s="1">
        <v>45114</v>
      </c>
      <c r="E1587" s="2">
        <v>4129.9799999999996</v>
      </c>
      <c r="F1587">
        <v>332</v>
      </c>
      <c r="G1587" s="2">
        <f t="shared" si="96"/>
        <v>12.439698795180721</v>
      </c>
      <c r="H1587" t="str">
        <f t="shared" si="97"/>
        <v>July</v>
      </c>
      <c r="I1587" t="str">
        <f t="shared" si="98"/>
        <v>Q3</v>
      </c>
      <c r="J1587" t="str">
        <f t="shared" si="99"/>
        <v>Large</v>
      </c>
    </row>
    <row r="1588" spans="1:10" x14ac:dyDescent="0.25">
      <c r="A1588" t="s">
        <v>25</v>
      </c>
      <c r="B1588" t="s">
        <v>26</v>
      </c>
      <c r="C1588" t="s">
        <v>11</v>
      </c>
      <c r="D1588" s="1">
        <v>45163</v>
      </c>
      <c r="E1588" s="2">
        <v>14566.22</v>
      </c>
      <c r="F1588">
        <v>45</v>
      </c>
      <c r="G1588" s="2">
        <f t="shared" si="96"/>
        <v>323.69377777777777</v>
      </c>
      <c r="H1588" t="str">
        <f t="shared" si="97"/>
        <v>August</v>
      </c>
      <c r="I1588" t="str">
        <f t="shared" si="98"/>
        <v>Q3</v>
      </c>
      <c r="J1588" t="str">
        <f t="shared" si="99"/>
        <v>Large</v>
      </c>
    </row>
    <row r="1589" spans="1:10" x14ac:dyDescent="0.25">
      <c r="A1589" t="s">
        <v>40</v>
      </c>
      <c r="B1589" t="s">
        <v>29</v>
      </c>
      <c r="C1589" t="s">
        <v>30</v>
      </c>
      <c r="D1589" s="1">
        <v>44943</v>
      </c>
      <c r="E1589" s="2">
        <v>4049.61</v>
      </c>
      <c r="F1589">
        <v>255</v>
      </c>
      <c r="G1589" s="2">
        <f t="shared" si="96"/>
        <v>15.880823529411765</v>
      </c>
      <c r="H1589" t="str">
        <f t="shared" si="97"/>
        <v>January</v>
      </c>
      <c r="I1589" t="str">
        <f t="shared" si="98"/>
        <v>Q1</v>
      </c>
      <c r="J1589" t="str">
        <f t="shared" si="99"/>
        <v>Large</v>
      </c>
    </row>
    <row r="1590" spans="1:10" x14ac:dyDescent="0.25">
      <c r="A1590" t="s">
        <v>14</v>
      </c>
      <c r="B1590" t="s">
        <v>15</v>
      </c>
      <c r="C1590" t="s">
        <v>58</v>
      </c>
      <c r="D1590" s="1">
        <v>44989</v>
      </c>
      <c r="E1590" s="2">
        <v>5924.44</v>
      </c>
      <c r="F1590">
        <v>396</v>
      </c>
      <c r="G1590" s="2">
        <f t="shared" si="96"/>
        <v>14.96070707070707</v>
      </c>
      <c r="H1590" t="str">
        <f t="shared" si="97"/>
        <v>March</v>
      </c>
      <c r="I1590" t="str">
        <f t="shared" si="98"/>
        <v>Q1</v>
      </c>
      <c r="J1590" t="str">
        <f t="shared" si="99"/>
        <v>Large</v>
      </c>
    </row>
    <row r="1591" spans="1:10" x14ac:dyDescent="0.25">
      <c r="A1591" t="s">
        <v>33</v>
      </c>
      <c r="B1591" t="s">
        <v>21</v>
      </c>
      <c r="C1591" t="s">
        <v>42</v>
      </c>
      <c r="D1591" s="1">
        <v>45163</v>
      </c>
      <c r="E1591" s="2">
        <v>10100.950000000001</v>
      </c>
      <c r="F1591">
        <v>4</v>
      </c>
      <c r="G1591" s="2">
        <f t="shared" si="96"/>
        <v>2525.2375000000002</v>
      </c>
      <c r="H1591" t="str">
        <f t="shared" si="97"/>
        <v>August</v>
      </c>
      <c r="I1591" t="str">
        <f t="shared" si="98"/>
        <v>Q3</v>
      </c>
      <c r="J1591" t="str">
        <f t="shared" si="99"/>
        <v>Large</v>
      </c>
    </row>
    <row r="1592" spans="1:10" x14ac:dyDescent="0.25">
      <c r="A1592" t="s">
        <v>55</v>
      </c>
      <c r="B1592" t="s">
        <v>7</v>
      </c>
      <c r="C1592" t="s">
        <v>13</v>
      </c>
      <c r="D1592" s="1">
        <v>45031</v>
      </c>
      <c r="E1592" s="2">
        <v>2362.0100000000002</v>
      </c>
      <c r="F1592">
        <v>272</v>
      </c>
      <c r="G1592" s="2">
        <f t="shared" si="96"/>
        <v>8.6838602941176486</v>
      </c>
      <c r="H1592" t="str">
        <f t="shared" si="97"/>
        <v>April</v>
      </c>
      <c r="I1592" t="str">
        <f t="shared" si="98"/>
        <v>Q2</v>
      </c>
      <c r="J1592" t="str">
        <f t="shared" si="99"/>
        <v>Large</v>
      </c>
    </row>
    <row r="1593" spans="1:10" x14ac:dyDescent="0.25">
      <c r="A1593" t="s">
        <v>41</v>
      </c>
      <c r="B1593" t="s">
        <v>26</v>
      </c>
      <c r="C1593" t="s">
        <v>35</v>
      </c>
      <c r="D1593" s="1">
        <v>44996</v>
      </c>
      <c r="E1593" s="2">
        <v>2638.76</v>
      </c>
      <c r="F1593">
        <v>24</v>
      </c>
      <c r="G1593" s="2">
        <f t="shared" si="96"/>
        <v>109.94833333333334</v>
      </c>
      <c r="H1593" t="str">
        <f t="shared" si="97"/>
        <v>March</v>
      </c>
      <c r="I1593" t="str">
        <f t="shared" si="98"/>
        <v>Q1</v>
      </c>
      <c r="J1593" t="str">
        <f t="shared" si="99"/>
        <v>Large</v>
      </c>
    </row>
    <row r="1594" spans="1:10" x14ac:dyDescent="0.25">
      <c r="A1594" t="s">
        <v>50</v>
      </c>
      <c r="B1594" t="s">
        <v>26</v>
      </c>
      <c r="C1594" t="s">
        <v>51</v>
      </c>
      <c r="D1594" s="1">
        <v>45066</v>
      </c>
      <c r="E1594" s="2">
        <v>3496.41</v>
      </c>
      <c r="F1594">
        <v>18</v>
      </c>
      <c r="G1594" s="2">
        <f t="shared" si="96"/>
        <v>194.245</v>
      </c>
      <c r="H1594" t="str">
        <f t="shared" si="97"/>
        <v>May</v>
      </c>
      <c r="I1594" t="str">
        <f t="shared" si="98"/>
        <v>Q2</v>
      </c>
      <c r="J1594" t="str">
        <f t="shared" si="99"/>
        <v>Large</v>
      </c>
    </row>
    <row r="1595" spans="1:10" x14ac:dyDescent="0.25">
      <c r="A1595" t="s">
        <v>23</v>
      </c>
      <c r="B1595" t="s">
        <v>21</v>
      </c>
      <c r="C1595" t="s">
        <v>45</v>
      </c>
      <c r="D1595" s="1">
        <v>45091</v>
      </c>
      <c r="E1595" s="2">
        <v>17222.86</v>
      </c>
      <c r="F1595">
        <v>44</v>
      </c>
      <c r="G1595" s="2">
        <f t="shared" si="96"/>
        <v>391.42863636363637</v>
      </c>
      <c r="H1595" t="str">
        <f t="shared" si="97"/>
        <v>June</v>
      </c>
      <c r="I1595" t="str">
        <f t="shared" si="98"/>
        <v>Q2</v>
      </c>
      <c r="J1595" t="str">
        <f t="shared" si="99"/>
        <v>Large</v>
      </c>
    </row>
    <row r="1596" spans="1:10" x14ac:dyDescent="0.25">
      <c r="A1596" t="s">
        <v>6</v>
      </c>
      <c r="B1596" t="s">
        <v>21</v>
      </c>
      <c r="C1596" t="s">
        <v>20</v>
      </c>
      <c r="D1596" s="1">
        <v>45030</v>
      </c>
      <c r="E1596" s="2">
        <v>1604.87</v>
      </c>
      <c r="F1596">
        <v>71</v>
      </c>
      <c r="G1596" s="2">
        <f t="shared" si="96"/>
        <v>22.603802816901407</v>
      </c>
      <c r="H1596" t="str">
        <f t="shared" si="97"/>
        <v>April</v>
      </c>
      <c r="I1596" t="str">
        <f t="shared" si="98"/>
        <v>Q2</v>
      </c>
      <c r="J1596" t="str">
        <f t="shared" si="99"/>
        <v>Large</v>
      </c>
    </row>
    <row r="1597" spans="1:10" x14ac:dyDescent="0.25">
      <c r="A1597" t="s">
        <v>6</v>
      </c>
      <c r="B1597" t="s">
        <v>26</v>
      </c>
      <c r="C1597" t="s">
        <v>16</v>
      </c>
      <c r="D1597" s="1">
        <v>45114</v>
      </c>
      <c r="E1597" s="2">
        <v>7170.21</v>
      </c>
      <c r="F1597">
        <v>151</v>
      </c>
      <c r="G1597" s="2">
        <f t="shared" si="96"/>
        <v>47.484834437086093</v>
      </c>
      <c r="H1597" t="str">
        <f t="shared" si="97"/>
        <v>July</v>
      </c>
      <c r="I1597" t="str">
        <f t="shared" si="98"/>
        <v>Q3</v>
      </c>
      <c r="J1597" t="str">
        <f t="shared" si="99"/>
        <v>Large</v>
      </c>
    </row>
    <row r="1598" spans="1:10" x14ac:dyDescent="0.25">
      <c r="A1598" t="s">
        <v>53</v>
      </c>
      <c r="B1598" t="s">
        <v>10</v>
      </c>
      <c r="C1598" t="s">
        <v>8</v>
      </c>
      <c r="D1598" s="1">
        <v>45162</v>
      </c>
      <c r="E1598" s="2">
        <v>4090.16</v>
      </c>
      <c r="F1598">
        <v>75</v>
      </c>
      <c r="G1598" s="2">
        <f t="shared" si="96"/>
        <v>54.535466666666665</v>
      </c>
      <c r="H1598" t="str">
        <f t="shared" si="97"/>
        <v>August</v>
      </c>
      <c r="I1598" t="str">
        <f t="shared" si="98"/>
        <v>Q3</v>
      </c>
      <c r="J1598" t="str">
        <f t="shared" si="99"/>
        <v>Large</v>
      </c>
    </row>
    <row r="1599" spans="1:10" x14ac:dyDescent="0.25">
      <c r="A1599" t="s">
        <v>6</v>
      </c>
      <c r="B1599" t="s">
        <v>10</v>
      </c>
      <c r="C1599" t="s">
        <v>30</v>
      </c>
      <c r="D1599" s="1">
        <v>44981</v>
      </c>
      <c r="E1599" s="2">
        <v>9574.3799999999992</v>
      </c>
      <c r="F1599">
        <v>134</v>
      </c>
      <c r="G1599" s="2">
        <f t="shared" si="96"/>
        <v>71.450597014925364</v>
      </c>
      <c r="H1599" t="str">
        <f t="shared" si="97"/>
        <v>February</v>
      </c>
      <c r="I1599" t="str">
        <f t="shared" si="98"/>
        <v>Q1</v>
      </c>
      <c r="J1599" t="str">
        <f t="shared" si="99"/>
        <v>Large</v>
      </c>
    </row>
    <row r="1600" spans="1:10" x14ac:dyDescent="0.25">
      <c r="A1600" t="s">
        <v>31</v>
      </c>
      <c r="B1600" t="s">
        <v>29</v>
      </c>
      <c r="C1600" t="s">
        <v>51</v>
      </c>
      <c r="D1600" s="1">
        <v>45055</v>
      </c>
      <c r="E1600" s="2">
        <v>717.9</v>
      </c>
      <c r="F1600">
        <v>213</v>
      </c>
      <c r="G1600" s="2">
        <f t="shared" si="96"/>
        <v>3.3704225352112673</v>
      </c>
      <c r="H1600" t="str">
        <f t="shared" si="97"/>
        <v>May</v>
      </c>
      <c r="I1600" t="str">
        <f t="shared" si="98"/>
        <v>Q2</v>
      </c>
      <c r="J1600" t="str">
        <f t="shared" si="99"/>
        <v>Large</v>
      </c>
    </row>
    <row r="1601" spans="1:10" x14ac:dyDescent="0.25">
      <c r="A1601" t="s">
        <v>41</v>
      </c>
      <c r="B1601" t="s">
        <v>15</v>
      </c>
      <c r="C1601" t="s">
        <v>58</v>
      </c>
      <c r="D1601" s="1">
        <v>44965</v>
      </c>
      <c r="E1601" s="2">
        <v>7734.54</v>
      </c>
      <c r="F1601">
        <v>227</v>
      </c>
      <c r="G1601" s="2">
        <f t="shared" si="96"/>
        <v>34.072863436123349</v>
      </c>
      <c r="H1601" t="str">
        <f t="shared" si="97"/>
        <v>February</v>
      </c>
      <c r="I1601" t="str">
        <f t="shared" si="98"/>
        <v>Q1</v>
      </c>
      <c r="J1601" t="str">
        <f t="shared" si="99"/>
        <v>Large</v>
      </c>
    </row>
    <row r="1602" spans="1:10" x14ac:dyDescent="0.25">
      <c r="A1602" t="s">
        <v>36</v>
      </c>
      <c r="B1602" t="s">
        <v>7</v>
      </c>
      <c r="C1602" t="s">
        <v>58</v>
      </c>
      <c r="D1602" s="1">
        <v>45009</v>
      </c>
      <c r="E1602" s="2">
        <v>1606.49</v>
      </c>
      <c r="F1602">
        <v>305</v>
      </c>
      <c r="G1602" s="2">
        <f t="shared" si="96"/>
        <v>5.2671803278688527</v>
      </c>
      <c r="H1602" t="str">
        <f t="shared" si="97"/>
        <v>March</v>
      </c>
      <c r="I1602" t="str">
        <f t="shared" si="98"/>
        <v>Q1</v>
      </c>
      <c r="J1602" t="str">
        <f t="shared" si="99"/>
        <v>Large</v>
      </c>
    </row>
    <row r="1603" spans="1:10" x14ac:dyDescent="0.25">
      <c r="A1603" t="s">
        <v>24</v>
      </c>
      <c r="B1603" t="s">
        <v>26</v>
      </c>
      <c r="C1603" t="s">
        <v>32</v>
      </c>
      <c r="D1603" s="1">
        <v>45097</v>
      </c>
      <c r="E1603" s="2">
        <v>9170.09</v>
      </c>
      <c r="F1603">
        <v>79</v>
      </c>
      <c r="G1603" s="2">
        <f t="shared" ref="G1603:G1666" si="100">E1603/F1603</f>
        <v>116.07708860759494</v>
      </c>
      <c r="H1603" t="str">
        <f t="shared" ref="H1603:H1666" si="101">TEXT(D1603, "mmmm")</f>
        <v>June</v>
      </c>
      <c r="I1603" t="str">
        <f t="shared" ref="I1603:I1666" si="102">"Q" &amp; ROUNDUP(MONTH(D1603)/3,0)</f>
        <v>Q2</v>
      </c>
      <c r="J1603" t="str">
        <f t="shared" ref="J1603:J1666" si="103">IF(E1603 &gt; 500, "Large", "Small")</f>
        <v>Large</v>
      </c>
    </row>
    <row r="1604" spans="1:10" x14ac:dyDescent="0.25">
      <c r="A1604" t="s">
        <v>28</v>
      </c>
      <c r="B1604" t="s">
        <v>29</v>
      </c>
      <c r="C1604" t="s">
        <v>45</v>
      </c>
      <c r="D1604" s="1">
        <v>44992</v>
      </c>
      <c r="E1604" s="2">
        <v>1583.57</v>
      </c>
      <c r="F1604">
        <v>122</v>
      </c>
      <c r="G1604" s="2">
        <f t="shared" si="100"/>
        <v>12.980081967213113</v>
      </c>
      <c r="H1604" t="str">
        <f t="shared" si="101"/>
        <v>March</v>
      </c>
      <c r="I1604" t="str">
        <f t="shared" si="102"/>
        <v>Q1</v>
      </c>
      <c r="J1604" t="str">
        <f t="shared" si="103"/>
        <v>Large</v>
      </c>
    </row>
    <row r="1605" spans="1:10" x14ac:dyDescent="0.25">
      <c r="A1605" t="s">
        <v>41</v>
      </c>
      <c r="B1605" t="s">
        <v>15</v>
      </c>
      <c r="C1605" t="s">
        <v>42</v>
      </c>
      <c r="D1605" s="1">
        <v>45097</v>
      </c>
      <c r="E1605" s="2">
        <v>7684.52</v>
      </c>
      <c r="F1605">
        <v>83</v>
      </c>
      <c r="G1605" s="2">
        <f t="shared" si="100"/>
        <v>92.584578313253019</v>
      </c>
      <c r="H1605" t="str">
        <f t="shared" si="101"/>
        <v>June</v>
      </c>
      <c r="I1605" t="str">
        <f t="shared" si="102"/>
        <v>Q2</v>
      </c>
      <c r="J1605" t="str">
        <f t="shared" si="103"/>
        <v>Large</v>
      </c>
    </row>
    <row r="1606" spans="1:10" x14ac:dyDescent="0.25">
      <c r="A1606" t="s">
        <v>17</v>
      </c>
      <c r="B1606" t="s">
        <v>21</v>
      </c>
      <c r="C1606" t="s">
        <v>35</v>
      </c>
      <c r="D1606" s="1">
        <v>44974</v>
      </c>
      <c r="E1606" s="2">
        <v>16765.07</v>
      </c>
      <c r="F1606">
        <v>261</v>
      </c>
      <c r="G1606" s="2">
        <f t="shared" si="100"/>
        <v>64.233984674329506</v>
      </c>
      <c r="H1606" t="str">
        <f t="shared" si="101"/>
        <v>February</v>
      </c>
      <c r="I1606" t="str">
        <f t="shared" si="102"/>
        <v>Q1</v>
      </c>
      <c r="J1606" t="str">
        <f t="shared" si="103"/>
        <v>Large</v>
      </c>
    </row>
    <row r="1607" spans="1:10" x14ac:dyDescent="0.25">
      <c r="A1607" t="s">
        <v>53</v>
      </c>
      <c r="B1607" t="s">
        <v>7</v>
      </c>
      <c r="C1607" t="s">
        <v>18</v>
      </c>
      <c r="D1607" s="1">
        <v>44952</v>
      </c>
      <c r="E1607" s="2">
        <v>11796.63</v>
      </c>
      <c r="F1607">
        <v>45</v>
      </c>
      <c r="G1607" s="2">
        <f t="shared" si="100"/>
        <v>262.14733333333334</v>
      </c>
      <c r="H1607" t="str">
        <f t="shared" si="101"/>
        <v>January</v>
      </c>
      <c r="I1607" t="str">
        <f t="shared" si="102"/>
        <v>Q1</v>
      </c>
      <c r="J1607" t="str">
        <f t="shared" si="103"/>
        <v>Large</v>
      </c>
    </row>
    <row r="1608" spans="1:10" x14ac:dyDescent="0.25">
      <c r="A1608" t="s">
        <v>53</v>
      </c>
      <c r="B1608" t="s">
        <v>15</v>
      </c>
      <c r="C1608" t="s">
        <v>8</v>
      </c>
      <c r="D1608" s="1">
        <v>45048</v>
      </c>
      <c r="E1608" s="2">
        <v>2766.65</v>
      </c>
      <c r="F1608">
        <v>148</v>
      </c>
      <c r="G1608" s="2">
        <f t="shared" si="100"/>
        <v>18.693581081081081</v>
      </c>
      <c r="H1608" t="str">
        <f t="shared" si="101"/>
        <v>May</v>
      </c>
      <c r="I1608" t="str">
        <f t="shared" si="102"/>
        <v>Q2</v>
      </c>
      <c r="J1608" t="str">
        <f t="shared" si="103"/>
        <v>Large</v>
      </c>
    </row>
    <row r="1609" spans="1:10" x14ac:dyDescent="0.25">
      <c r="A1609" t="s">
        <v>38</v>
      </c>
      <c r="B1609" t="s">
        <v>29</v>
      </c>
      <c r="C1609" t="s">
        <v>18</v>
      </c>
      <c r="D1609" s="1">
        <v>45114</v>
      </c>
      <c r="E1609" s="2">
        <v>13232.74</v>
      </c>
      <c r="F1609">
        <v>7</v>
      </c>
      <c r="G1609" s="2">
        <f t="shared" si="100"/>
        <v>1890.3914285714286</v>
      </c>
      <c r="H1609" t="str">
        <f t="shared" si="101"/>
        <v>July</v>
      </c>
      <c r="I1609" t="str">
        <f t="shared" si="102"/>
        <v>Q3</v>
      </c>
      <c r="J1609" t="str">
        <f t="shared" si="103"/>
        <v>Large</v>
      </c>
    </row>
    <row r="1610" spans="1:10" x14ac:dyDescent="0.25">
      <c r="A1610" t="s">
        <v>24</v>
      </c>
      <c r="B1610" t="s">
        <v>15</v>
      </c>
      <c r="C1610" t="s">
        <v>56</v>
      </c>
      <c r="D1610" s="1">
        <v>45160</v>
      </c>
      <c r="E1610" s="2">
        <v>2820.41</v>
      </c>
      <c r="F1610">
        <v>50</v>
      </c>
      <c r="G1610" s="2">
        <f t="shared" si="100"/>
        <v>56.408199999999994</v>
      </c>
      <c r="H1610" t="str">
        <f t="shared" si="101"/>
        <v>August</v>
      </c>
      <c r="I1610" t="str">
        <f t="shared" si="102"/>
        <v>Q3</v>
      </c>
      <c r="J1610" t="str">
        <f t="shared" si="103"/>
        <v>Large</v>
      </c>
    </row>
    <row r="1611" spans="1:10" x14ac:dyDescent="0.25">
      <c r="A1611" t="s">
        <v>31</v>
      </c>
      <c r="B1611" t="s">
        <v>15</v>
      </c>
      <c r="C1611" t="s">
        <v>20</v>
      </c>
      <c r="D1611" s="1">
        <v>45149</v>
      </c>
      <c r="E1611" s="2">
        <v>2483.3200000000002</v>
      </c>
      <c r="F1611">
        <v>65</v>
      </c>
      <c r="G1611" s="2">
        <f t="shared" si="100"/>
        <v>38.20492307692308</v>
      </c>
      <c r="H1611" t="str">
        <f t="shared" si="101"/>
        <v>August</v>
      </c>
      <c r="I1611" t="str">
        <f t="shared" si="102"/>
        <v>Q3</v>
      </c>
      <c r="J1611" t="str">
        <f t="shared" si="103"/>
        <v>Large</v>
      </c>
    </row>
    <row r="1612" spans="1:10" x14ac:dyDescent="0.25">
      <c r="A1612" t="s">
        <v>33</v>
      </c>
      <c r="B1612" t="s">
        <v>7</v>
      </c>
      <c r="C1612" t="s">
        <v>18</v>
      </c>
      <c r="D1612" s="1">
        <v>44939</v>
      </c>
      <c r="E1612" s="2">
        <v>9124.16</v>
      </c>
      <c r="F1612">
        <v>209</v>
      </c>
      <c r="G1612" s="2">
        <f t="shared" si="100"/>
        <v>43.656267942583732</v>
      </c>
      <c r="H1612" t="str">
        <f t="shared" si="101"/>
        <v>January</v>
      </c>
      <c r="I1612" t="str">
        <f t="shared" si="102"/>
        <v>Q1</v>
      </c>
      <c r="J1612" t="str">
        <f t="shared" si="103"/>
        <v>Large</v>
      </c>
    </row>
    <row r="1613" spans="1:10" x14ac:dyDescent="0.25">
      <c r="A1613" t="s">
        <v>19</v>
      </c>
      <c r="B1613" t="s">
        <v>15</v>
      </c>
      <c r="C1613" t="s">
        <v>22</v>
      </c>
      <c r="D1613" s="1">
        <v>44987</v>
      </c>
      <c r="E1613" s="2">
        <v>12728.16</v>
      </c>
      <c r="F1613">
        <v>111</v>
      </c>
      <c r="G1613" s="2">
        <f t="shared" si="100"/>
        <v>114.6681081081081</v>
      </c>
      <c r="H1613" t="str">
        <f t="shared" si="101"/>
        <v>March</v>
      </c>
      <c r="I1613" t="str">
        <f t="shared" si="102"/>
        <v>Q1</v>
      </c>
      <c r="J1613" t="str">
        <f t="shared" si="103"/>
        <v>Large</v>
      </c>
    </row>
    <row r="1614" spans="1:10" x14ac:dyDescent="0.25">
      <c r="A1614" t="s">
        <v>33</v>
      </c>
      <c r="B1614" t="s">
        <v>15</v>
      </c>
      <c r="C1614" t="s">
        <v>52</v>
      </c>
      <c r="D1614" s="1">
        <v>45134</v>
      </c>
      <c r="E1614" s="2">
        <v>12624.64</v>
      </c>
      <c r="F1614">
        <v>41</v>
      </c>
      <c r="G1614" s="2">
        <f t="shared" si="100"/>
        <v>307.91804878048777</v>
      </c>
      <c r="H1614" t="str">
        <f t="shared" si="101"/>
        <v>July</v>
      </c>
      <c r="I1614" t="str">
        <f t="shared" si="102"/>
        <v>Q3</v>
      </c>
      <c r="J1614" t="str">
        <f t="shared" si="103"/>
        <v>Large</v>
      </c>
    </row>
    <row r="1615" spans="1:10" x14ac:dyDescent="0.25">
      <c r="A1615" t="s">
        <v>49</v>
      </c>
      <c r="B1615" t="s">
        <v>21</v>
      </c>
      <c r="C1615" t="s">
        <v>32</v>
      </c>
      <c r="D1615" s="1">
        <v>44995</v>
      </c>
      <c r="E1615" s="2">
        <v>17584.16</v>
      </c>
      <c r="F1615">
        <v>110</v>
      </c>
      <c r="G1615" s="2">
        <f t="shared" si="100"/>
        <v>159.85599999999999</v>
      </c>
      <c r="H1615" t="str">
        <f t="shared" si="101"/>
        <v>March</v>
      </c>
      <c r="I1615" t="str">
        <f t="shared" si="102"/>
        <v>Q1</v>
      </c>
      <c r="J1615" t="str">
        <f t="shared" si="103"/>
        <v>Large</v>
      </c>
    </row>
    <row r="1616" spans="1:10" x14ac:dyDescent="0.25">
      <c r="A1616" t="s">
        <v>34</v>
      </c>
      <c r="B1616" t="s">
        <v>26</v>
      </c>
      <c r="C1616" t="s">
        <v>11</v>
      </c>
      <c r="D1616" s="1">
        <v>45161</v>
      </c>
      <c r="E1616" s="2">
        <v>13156.49</v>
      </c>
      <c r="F1616">
        <v>360</v>
      </c>
      <c r="G1616" s="2">
        <f t="shared" si="100"/>
        <v>36.545805555555553</v>
      </c>
      <c r="H1616" t="str">
        <f t="shared" si="101"/>
        <v>August</v>
      </c>
      <c r="I1616" t="str">
        <f t="shared" si="102"/>
        <v>Q3</v>
      </c>
      <c r="J1616" t="str">
        <f t="shared" si="103"/>
        <v>Large</v>
      </c>
    </row>
    <row r="1617" spans="1:10" x14ac:dyDescent="0.25">
      <c r="A1617" t="s">
        <v>36</v>
      </c>
      <c r="B1617" t="s">
        <v>26</v>
      </c>
      <c r="C1617" t="s">
        <v>30</v>
      </c>
      <c r="D1617" s="1">
        <v>45041</v>
      </c>
      <c r="E1617" s="2">
        <v>4164.1000000000004</v>
      </c>
      <c r="F1617">
        <v>167</v>
      </c>
      <c r="G1617" s="2">
        <f t="shared" si="100"/>
        <v>24.934730538922157</v>
      </c>
      <c r="H1617" t="str">
        <f t="shared" si="101"/>
        <v>April</v>
      </c>
      <c r="I1617" t="str">
        <f t="shared" si="102"/>
        <v>Q2</v>
      </c>
      <c r="J1617" t="str">
        <f t="shared" si="103"/>
        <v>Large</v>
      </c>
    </row>
    <row r="1618" spans="1:10" x14ac:dyDescent="0.25">
      <c r="A1618" t="s">
        <v>43</v>
      </c>
      <c r="B1618" t="s">
        <v>7</v>
      </c>
      <c r="C1618" t="s">
        <v>37</v>
      </c>
      <c r="D1618" s="1">
        <v>44992</v>
      </c>
      <c r="E1618" s="2">
        <v>11698.98</v>
      </c>
      <c r="F1618">
        <v>436</v>
      </c>
      <c r="G1618" s="2">
        <f t="shared" si="100"/>
        <v>26.832522935779817</v>
      </c>
      <c r="H1618" t="str">
        <f t="shared" si="101"/>
        <v>March</v>
      </c>
      <c r="I1618" t="str">
        <f t="shared" si="102"/>
        <v>Q1</v>
      </c>
      <c r="J1618" t="str">
        <f t="shared" si="103"/>
        <v>Large</v>
      </c>
    </row>
    <row r="1619" spans="1:10" x14ac:dyDescent="0.25">
      <c r="A1619" t="s">
        <v>46</v>
      </c>
      <c r="B1619" t="s">
        <v>7</v>
      </c>
      <c r="C1619" t="s">
        <v>35</v>
      </c>
      <c r="D1619" s="1">
        <v>45119</v>
      </c>
      <c r="E1619" s="2">
        <v>4964.25</v>
      </c>
      <c r="F1619">
        <v>56</v>
      </c>
      <c r="G1619" s="2">
        <f t="shared" si="100"/>
        <v>88.647321428571431</v>
      </c>
      <c r="H1619" t="str">
        <f t="shared" si="101"/>
        <v>July</v>
      </c>
      <c r="I1619" t="str">
        <f t="shared" si="102"/>
        <v>Q3</v>
      </c>
      <c r="J1619" t="str">
        <f t="shared" si="103"/>
        <v>Large</v>
      </c>
    </row>
    <row r="1620" spans="1:10" x14ac:dyDescent="0.25">
      <c r="A1620" t="s">
        <v>53</v>
      </c>
      <c r="B1620" t="s">
        <v>26</v>
      </c>
      <c r="C1620" t="s">
        <v>27</v>
      </c>
      <c r="D1620" s="1">
        <v>45062</v>
      </c>
      <c r="E1620" s="2">
        <v>8258.3700000000008</v>
      </c>
      <c r="F1620">
        <v>132</v>
      </c>
      <c r="G1620" s="2">
        <f t="shared" si="100"/>
        <v>62.563409090909097</v>
      </c>
      <c r="H1620" t="str">
        <f t="shared" si="101"/>
        <v>May</v>
      </c>
      <c r="I1620" t="str">
        <f t="shared" si="102"/>
        <v>Q2</v>
      </c>
      <c r="J1620" t="str">
        <f t="shared" si="103"/>
        <v>Large</v>
      </c>
    </row>
    <row r="1621" spans="1:10" x14ac:dyDescent="0.25">
      <c r="A1621" t="s">
        <v>19</v>
      </c>
      <c r="B1621" t="s">
        <v>10</v>
      </c>
      <c r="C1621" t="s">
        <v>16</v>
      </c>
      <c r="D1621" s="1">
        <v>44987</v>
      </c>
      <c r="E1621" s="2">
        <v>3938.2</v>
      </c>
      <c r="F1621">
        <v>70</v>
      </c>
      <c r="G1621" s="2">
        <f t="shared" si="100"/>
        <v>56.26</v>
      </c>
      <c r="H1621" t="str">
        <f t="shared" si="101"/>
        <v>March</v>
      </c>
      <c r="I1621" t="str">
        <f t="shared" si="102"/>
        <v>Q1</v>
      </c>
      <c r="J1621" t="str">
        <f t="shared" si="103"/>
        <v>Large</v>
      </c>
    </row>
    <row r="1622" spans="1:10" x14ac:dyDescent="0.25">
      <c r="A1622" t="s">
        <v>33</v>
      </c>
      <c r="B1622" t="s">
        <v>21</v>
      </c>
      <c r="C1622" t="s">
        <v>11</v>
      </c>
      <c r="D1622" s="1">
        <v>45076</v>
      </c>
      <c r="E1622" s="2">
        <v>1368.27</v>
      </c>
      <c r="F1622">
        <v>163</v>
      </c>
      <c r="G1622" s="2">
        <f t="shared" si="100"/>
        <v>8.3942944785276072</v>
      </c>
      <c r="H1622" t="str">
        <f t="shared" si="101"/>
        <v>May</v>
      </c>
      <c r="I1622" t="str">
        <f t="shared" si="102"/>
        <v>Q2</v>
      </c>
      <c r="J1622" t="str">
        <f t="shared" si="103"/>
        <v>Large</v>
      </c>
    </row>
    <row r="1623" spans="1:10" x14ac:dyDescent="0.25">
      <c r="A1623" t="s">
        <v>33</v>
      </c>
      <c r="B1623" t="s">
        <v>7</v>
      </c>
      <c r="C1623" t="s">
        <v>45</v>
      </c>
      <c r="D1623" s="1">
        <v>45087</v>
      </c>
      <c r="E1623" s="2">
        <v>12449.46</v>
      </c>
      <c r="F1623">
        <v>177</v>
      </c>
      <c r="G1623" s="2">
        <f t="shared" si="100"/>
        <v>70.335932203389831</v>
      </c>
      <c r="H1623" t="str">
        <f t="shared" si="101"/>
        <v>June</v>
      </c>
      <c r="I1623" t="str">
        <f t="shared" si="102"/>
        <v>Q2</v>
      </c>
      <c r="J1623" t="str">
        <f t="shared" si="103"/>
        <v>Large</v>
      </c>
    </row>
    <row r="1624" spans="1:10" x14ac:dyDescent="0.25">
      <c r="A1624" t="s">
        <v>23</v>
      </c>
      <c r="B1624" t="s">
        <v>26</v>
      </c>
      <c r="C1624" t="s">
        <v>18</v>
      </c>
      <c r="D1624" s="1">
        <v>45132</v>
      </c>
      <c r="E1624" s="2">
        <v>7323.82</v>
      </c>
      <c r="F1624">
        <v>339</v>
      </c>
      <c r="G1624" s="2">
        <f t="shared" si="100"/>
        <v>21.604188790560471</v>
      </c>
      <c r="H1624" t="str">
        <f t="shared" si="101"/>
        <v>July</v>
      </c>
      <c r="I1624" t="str">
        <f t="shared" si="102"/>
        <v>Q3</v>
      </c>
      <c r="J1624" t="str">
        <f t="shared" si="103"/>
        <v>Large</v>
      </c>
    </row>
    <row r="1625" spans="1:10" x14ac:dyDescent="0.25">
      <c r="A1625" t="s">
        <v>34</v>
      </c>
      <c r="B1625" t="s">
        <v>21</v>
      </c>
      <c r="C1625" t="s">
        <v>8</v>
      </c>
      <c r="D1625" s="1">
        <v>45086</v>
      </c>
      <c r="E1625" s="2">
        <v>4560.8100000000004</v>
      </c>
      <c r="F1625">
        <v>102</v>
      </c>
      <c r="G1625" s="2">
        <f t="shared" si="100"/>
        <v>44.713823529411769</v>
      </c>
      <c r="H1625" t="str">
        <f t="shared" si="101"/>
        <v>June</v>
      </c>
      <c r="I1625" t="str">
        <f t="shared" si="102"/>
        <v>Q2</v>
      </c>
      <c r="J1625" t="str">
        <f t="shared" si="103"/>
        <v>Large</v>
      </c>
    </row>
    <row r="1626" spans="1:10" x14ac:dyDescent="0.25">
      <c r="A1626" t="s">
        <v>43</v>
      </c>
      <c r="B1626" t="s">
        <v>26</v>
      </c>
      <c r="C1626" t="s">
        <v>37</v>
      </c>
      <c r="D1626" s="1">
        <v>45058</v>
      </c>
      <c r="E1626" s="2">
        <v>777.46</v>
      </c>
      <c r="F1626">
        <v>58</v>
      </c>
      <c r="G1626" s="2">
        <f t="shared" si="100"/>
        <v>13.40448275862069</v>
      </c>
      <c r="H1626" t="str">
        <f t="shared" si="101"/>
        <v>May</v>
      </c>
      <c r="I1626" t="str">
        <f t="shared" si="102"/>
        <v>Q2</v>
      </c>
      <c r="J1626" t="str">
        <f t="shared" si="103"/>
        <v>Large</v>
      </c>
    </row>
    <row r="1627" spans="1:10" x14ac:dyDescent="0.25">
      <c r="A1627" t="s">
        <v>19</v>
      </c>
      <c r="B1627" t="s">
        <v>26</v>
      </c>
      <c r="C1627" t="s">
        <v>32</v>
      </c>
      <c r="D1627" s="1">
        <v>45055</v>
      </c>
      <c r="E1627" s="2">
        <v>3857.27</v>
      </c>
      <c r="F1627">
        <v>5</v>
      </c>
      <c r="G1627" s="2">
        <f t="shared" si="100"/>
        <v>771.45399999999995</v>
      </c>
      <c r="H1627" t="str">
        <f t="shared" si="101"/>
        <v>May</v>
      </c>
      <c r="I1627" t="str">
        <f t="shared" si="102"/>
        <v>Q2</v>
      </c>
      <c r="J1627" t="str">
        <f t="shared" si="103"/>
        <v>Large</v>
      </c>
    </row>
    <row r="1628" spans="1:10" x14ac:dyDescent="0.25">
      <c r="A1628" t="s">
        <v>23</v>
      </c>
      <c r="B1628" t="s">
        <v>29</v>
      </c>
      <c r="C1628" t="s">
        <v>45</v>
      </c>
      <c r="D1628" s="1">
        <v>45147</v>
      </c>
      <c r="E1628" s="2">
        <v>7442.69</v>
      </c>
      <c r="F1628">
        <v>179</v>
      </c>
      <c r="G1628" s="2">
        <f t="shared" si="100"/>
        <v>41.579273743016756</v>
      </c>
      <c r="H1628" t="str">
        <f t="shared" si="101"/>
        <v>August</v>
      </c>
      <c r="I1628" t="str">
        <f t="shared" si="102"/>
        <v>Q3</v>
      </c>
      <c r="J1628" t="str">
        <f t="shared" si="103"/>
        <v>Large</v>
      </c>
    </row>
    <row r="1629" spans="1:10" x14ac:dyDescent="0.25">
      <c r="A1629" t="s">
        <v>9</v>
      </c>
      <c r="B1629" t="s">
        <v>10</v>
      </c>
      <c r="C1629" t="s">
        <v>52</v>
      </c>
      <c r="D1629" s="1">
        <v>45029</v>
      </c>
      <c r="E1629" s="2">
        <v>5799.3</v>
      </c>
      <c r="F1629">
        <v>125</v>
      </c>
      <c r="G1629" s="2">
        <f t="shared" si="100"/>
        <v>46.394400000000005</v>
      </c>
      <c r="H1629" t="str">
        <f t="shared" si="101"/>
        <v>April</v>
      </c>
      <c r="I1629" t="str">
        <f t="shared" si="102"/>
        <v>Q2</v>
      </c>
      <c r="J1629" t="str">
        <f t="shared" si="103"/>
        <v>Large</v>
      </c>
    </row>
    <row r="1630" spans="1:10" x14ac:dyDescent="0.25">
      <c r="A1630" t="s">
        <v>48</v>
      </c>
      <c r="B1630" t="s">
        <v>26</v>
      </c>
      <c r="C1630" t="s">
        <v>57</v>
      </c>
      <c r="D1630" s="1">
        <v>45048</v>
      </c>
      <c r="E1630" s="2">
        <v>8836.9</v>
      </c>
      <c r="F1630">
        <v>48</v>
      </c>
      <c r="G1630" s="2">
        <f t="shared" si="100"/>
        <v>184.10208333333333</v>
      </c>
      <c r="H1630" t="str">
        <f t="shared" si="101"/>
        <v>May</v>
      </c>
      <c r="I1630" t="str">
        <f t="shared" si="102"/>
        <v>Q2</v>
      </c>
      <c r="J1630" t="str">
        <f t="shared" si="103"/>
        <v>Large</v>
      </c>
    </row>
    <row r="1631" spans="1:10" x14ac:dyDescent="0.25">
      <c r="A1631" t="s">
        <v>54</v>
      </c>
      <c r="B1631" t="s">
        <v>26</v>
      </c>
      <c r="C1631" t="s">
        <v>18</v>
      </c>
      <c r="D1631" s="1">
        <v>45147</v>
      </c>
      <c r="E1631" s="2">
        <v>4185</v>
      </c>
      <c r="F1631">
        <v>315</v>
      </c>
      <c r="G1631" s="2">
        <f t="shared" si="100"/>
        <v>13.285714285714286</v>
      </c>
      <c r="H1631" t="str">
        <f t="shared" si="101"/>
        <v>August</v>
      </c>
      <c r="I1631" t="str">
        <f t="shared" si="102"/>
        <v>Q3</v>
      </c>
      <c r="J1631" t="str">
        <f t="shared" si="103"/>
        <v>Large</v>
      </c>
    </row>
    <row r="1632" spans="1:10" x14ac:dyDescent="0.25">
      <c r="A1632" t="s">
        <v>50</v>
      </c>
      <c r="B1632" t="s">
        <v>15</v>
      </c>
      <c r="C1632" t="s">
        <v>51</v>
      </c>
      <c r="D1632" s="1">
        <v>45161</v>
      </c>
      <c r="E1632" s="2">
        <v>6984.06</v>
      </c>
      <c r="F1632">
        <v>174</v>
      </c>
      <c r="G1632" s="2">
        <f t="shared" si="100"/>
        <v>40.138275862068966</v>
      </c>
      <c r="H1632" t="str">
        <f t="shared" si="101"/>
        <v>August</v>
      </c>
      <c r="I1632" t="str">
        <f t="shared" si="102"/>
        <v>Q3</v>
      </c>
      <c r="J1632" t="str">
        <f t="shared" si="103"/>
        <v>Large</v>
      </c>
    </row>
    <row r="1633" spans="1:10" x14ac:dyDescent="0.25">
      <c r="A1633" t="s">
        <v>19</v>
      </c>
      <c r="B1633" t="s">
        <v>10</v>
      </c>
      <c r="C1633" t="s">
        <v>39</v>
      </c>
      <c r="D1633" s="1">
        <v>45059</v>
      </c>
      <c r="E1633" s="2">
        <v>7362.7</v>
      </c>
      <c r="F1633">
        <v>179</v>
      </c>
      <c r="G1633" s="2">
        <f t="shared" si="100"/>
        <v>41.132402234636871</v>
      </c>
      <c r="H1633" t="str">
        <f t="shared" si="101"/>
        <v>May</v>
      </c>
      <c r="I1633" t="str">
        <f t="shared" si="102"/>
        <v>Q2</v>
      </c>
      <c r="J1633" t="str">
        <f t="shared" si="103"/>
        <v>Large</v>
      </c>
    </row>
    <row r="1634" spans="1:10" x14ac:dyDescent="0.25">
      <c r="A1634" t="s">
        <v>31</v>
      </c>
      <c r="B1634" t="s">
        <v>26</v>
      </c>
      <c r="C1634" t="s">
        <v>45</v>
      </c>
      <c r="D1634" s="1">
        <v>44958</v>
      </c>
      <c r="E1634" s="2">
        <v>10338.27</v>
      </c>
      <c r="F1634">
        <v>73</v>
      </c>
      <c r="G1634" s="2">
        <f t="shared" si="100"/>
        <v>141.62013698630139</v>
      </c>
      <c r="H1634" t="str">
        <f t="shared" si="101"/>
        <v>February</v>
      </c>
      <c r="I1634" t="str">
        <f t="shared" si="102"/>
        <v>Q1</v>
      </c>
      <c r="J1634" t="str">
        <f t="shared" si="103"/>
        <v>Large</v>
      </c>
    </row>
    <row r="1635" spans="1:10" x14ac:dyDescent="0.25">
      <c r="A1635" t="s">
        <v>50</v>
      </c>
      <c r="B1635" t="s">
        <v>26</v>
      </c>
      <c r="C1635" t="s">
        <v>22</v>
      </c>
      <c r="D1635" s="1">
        <v>45100</v>
      </c>
      <c r="E1635" s="2">
        <v>6215.72</v>
      </c>
      <c r="F1635">
        <v>324</v>
      </c>
      <c r="G1635" s="2">
        <f t="shared" si="100"/>
        <v>19.184320987654321</v>
      </c>
      <c r="H1635" t="str">
        <f t="shared" si="101"/>
        <v>June</v>
      </c>
      <c r="I1635" t="str">
        <f t="shared" si="102"/>
        <v>Q2</v>
      </c>
      <c r="J1635" t="str">
        <f t="shared" si="103"/>
        <v>Large</v>
      </c>
    </row>
    <row r="1636" spans="1:10" x14ac:dyDescent="0.25">
      <c r="A1636" t="s">
        <v>53</v>
      </c>
      <c r="B1636" t="s">
        <v>7</v>
      </c>
      <c r="C1636" t="s">
        <v>52</v>
      </c>
      <c r="D1636" s="1">
        <v>45070</v>
      </c>
      <c r="E1636" s="2">
        <v>10400.66</v>
      </c>
      <c r="F1636">
        <v>144</v>
      </c>
      <c r="G1636" s="2">
        <f t="shared" si="100"/>
        <v>72.226805555555558</v>
      </c>
      <c r="H1636" t="str">
        <f t="shared" si="101"/>
        <v>May</v>
      </c>
      <c r="I1636" t="str">
        <f t="shared" si="102"/>
        <v>Q2</v>
      </c>
      <c r="J1636" t="str">
        <f t="shared" si="103"/>
        <v>Large</v>
      </c>
    </row>
    <row r="1637" spans="1:10" x14ac:dyDescent="0.25">
      <c r="A1637" t="s">
        <v>14</v>
      </c>
      <c r="B1637" t="s">
        <v>29</v>
      </c>
      <c r="C1637" t="s">
        <v>8</v>
      </c>
      <c r="D1637" s="1">
        <v>45017</v>
      </c>
      <c r="E1637" s="2">
        <v>1062.6099999999999</v>
      </c>
      <c r="F1637">
        <v>217</v>
      </c>
      <c r="G1637" s="2">
        <f t="shared" si="100"/>
        <v>4.8968202764976958</v>
      </c>
      <c r="H1637" t="str">
        <f t="shared" si="101"/>
        <v>April</v>
      </c>
      <c r="I1637" t="str">
        <f t="shared" si="102"/>
        <v>Q2</v>
      </c>
      <c r="J1637" t="str">
        <f t="shared" si="103"/>
        <v>Large</v>
      </c>
    </row>
    <row r="1638" spans="1:10" x14ac:dyDescent="0.25">
      <c r="A1638" t="s">
        <v>50</v>
      </c>
      <c r="B1638" t="s">
        <v>29</v>
      </c>
      <c r="C1638" t="s">
        <v>58</v>
      </c>
      <c r="D1638" s="1">
        <v>45134</v>
      </c>
      <c r="E1638" s="2">
        <v>10095.709999999999</v>
      </c>
      <c r="F1638">
        <v>151</v>
      </c>
      <c r="G1638" s="2">
        <f t="shared" si="100"/>
        <v>66.859006622516546</v>
      </c>
      <c r="H1638" t="str">
        <f t="shared" si="101"/>
        <v>July</v>
      </c>
      <c r="I1638" t="str">
        <f t="shared" si="102"/>
        <v>Q3</v>
      </c>
      <c r="J1638" t="str">
        <f t="shared" si="103"/>
        <v>Large</v>
      </c>
    </row>
    <row r="1639" spans="1:10" x14ac:dyDescent="0.25">
      <c r="A1639" t="s">
        <v>55</v>
      </c>
      <c r="B1639" t="s">
        <v>10</v>
      </c>
      <c r="C1639" t="s">
        <v>13</v>
      </c>
      <c r="D1639" s="1">
        <v>44953</v>
      </c>
      <c r="E1639" s="2">
        <v>23251.68</v>
      </c>
      <c r="F1639">
        <v>210</v>
      </c>
      <c r="G1639" s="2">
        <f t="shared" si="100"/>
        <v>110.72228571428572</v>
      </c>
      <c r="H1639" t="str">
        <f t="shared" si="101"/>
        <v>January</v>
      </c>
      <c r="I1639" t="str">
        <f t="shared" si="102"/>
        <v>Q1</v>
      </c>
      <c r="J1639" t="str">
        <f t="shared" si="103"/>
        <v>Large</v>
      </c>
    </row>
    <row r="1640" spans="1:10" x14ac:dyDescent="0.25">
      <c r="A1640" t="s">
        <v>14</v>
      </c>
      <c r="B1640" t="s">
        <v>10</v>
      </c>
      <c r="C1640" t="s">
        <v>52</v>
      </c>
      <c r="D1640" s="1">
        <v>45150</v>
      </c>
      <c r="E1640" s="2">
        <v>2669.61</v>
      </c>
      <c r="F1640">
        <v>143</v>
      </c>
      <c r="G1640" s="2">
        <f t="shared" si="100"/>
        <v>18.6686013986014</v>
      </c>
      <c r="H1640" t="str">
        <f t="shared" si="101"/>
        <v>August</v>
      </c>
      <c r="I1640" t="str">
        <f t="shared" si="102"/>
        <v>Q3</v>
      </c>
      <c r="J1640" t="str">
        <f t="shared" si="103"/>
        <v>Large</v>
      </c>
    </row>
    <row r="1641" spans="1:10" x14ac:dyDescent="0.25">
      <c r="A1641" t="s">
        <v>12</v>
      </c>
      <c r="B1641" t="s">
        <v>29</v>
      </c>
      <c r="C1641" t="s">
        <v>47</v>
      </c>
      <c r="D1641" s="1">
        <v>44958</v>
      </c>
      <c r="E1641" s="2">
        <v>10265.969999999999</v>
      </c>
      <c r="F1641">
        <v>49</v>
      </c>
      <c r="G1641" s="2">
        <f t="shared" si="100"/>
        <v>209.50959183673467</v>
      </c>
      <c r="H1641" t="str">
        <f t="shared" si="101"/>
        <v>February</v>
      </c>
      <c r="I1641" t="str">
        <f t="shared" si="102"/>
        <v>Q1</v>
      </c>
      <c r="J1641" t="str">
        <f t="shared" si="103"/>
        <v>Large</v>
      </c>
    </row>
    <row r="1642" spans="1:10" x14ac:dyDescent="0.25">
      <c r="A1642" t="s">
        <v>24</v>
      </c>
      <c r="B1642" t="s">
        <v>10</v>
      </c>
      <c r="C1642" t="s">
        <v>20</v>
      </c>
      <c r="D1642" s="1">
        <v>44987</v>
      </c>
      <c r="E1642" s="2">
        <v>5423.54</v>
      </c>
      <c r="F1642">
        <v>203</v>
      </c>
      <c r="G1642" s="2">
        <f t="shared" si="100"/>
        <v>26.716945812807882</v>
      </c>
      <c r="H1642" t="str">
        <f t="shared" si="101"/>
        <v>March</v>
      </c>
      <c r="I1642" t="str">
        <f t="shared" si="102"/>
        <v>Q1</v>
      </c>
      <c r="J1642" t="str">
        <f t="shared" si="103"/>
        <v>Large</v>
      </c>
    </row>
    <row r="1643" spans="1:10" x14ac:dyDescent="0.25">
      <c r="A1643" t="s">
        <v>49</v>
      </c>
      <c r="B1643" t="s">
        <v>15</v>
      </c>
      <c r="C1643" t="s">
        <v>18</v>
      </c>
      <c r="D1643" s="1">
        <v>45107</v>
      </c>
      <c r="E1643" s="2">
        <v>3272.68</v>
      </c>
      <c r="F1643">
        <v>32</v>
      </c>
      <c r="G1643" s="2">
        <f t="shared" si="100"/>
        <v>102.27124999999999</v>
      </c>
      <c r="H1643" t="str">
        <f t="shared" si="101"/>
        <v>June</v>
      </c>
      <c r="I1643" t="str">
        <f t="shared" si="102"/>
        <v>Q2</v>
      </c>
      <c r="J1643" t="str">
        <f t="shared" si="103"/>
        <v>Large</v>
      </c>
    </row>
    <row r="1644" spans="1:10" x14ac:dyDescent="0.25">
      <c r="A1644" t="s">
        <v>54</v>
      </c>
      <c r="B1644" t="s">
        <v>15</v>
      </c>
      <c r="C1644" t="s">
        <v>39</v>
      </c>
      <c r="D1644" s="1">
        <v>44943</v>
      </c>
      <c r="E1644" s="2">
        <v>8840.59</v>
      </c>
      <c r="F1644">
        <v>92</v>
      </c>
      <c r="G1644" s="2">
        <f t="shared" si="100"/>
        <v>96.093369565217387</v>
      </c>
      <c r="H1644" t="str">
        <f t="shared" si="101"/>
        <v>January</v>
      </c>
      <c r="I1644" t="str">
        <f t="shared" si="102"/>
        <v>Q1</v>
      </c>
      <c r="J1644" t="str">
        <f t="shared" si="103"/>
        <v>Large</v>
      </c>
    </row>
    <row r="1645" spans="1:10" x14ac:dyDescent="0.25">
      <c r="A1645" t="s">
        <v>23</v>
      </c>
      <c r="B1645" t="s">
        <v>26</v>
      </c>
      <c r="C1645" t="s">
        <v>37</v>
      </c>
      <c r="D1645" s="1">
        <v>45114</v>
      </c>
      <c r="E1645" s="2">
        <v>14460.51</v>
      </c>
      <c r="F1645">
        <v>124</v>
      </c>
      <c r="G1645" s="2">
        <f t="shared" si="100"/>
        <v>116.61701612903227</v>
      </c>
      <c r="H1645" t="str">
        <f t="shared" si="101"/>
        <v>July</v>
      </c>
      <c r="I1645" t="str">
        <f t="shared" si="102"/>
        <v>Q3</v>
      </c>
      <c r="J1645" t="str">
        <f t="shared" si="103"/>
        <v>Large</v>
      </c>
    </row>
    <row r="1646" spans="1:10" x14ac:dyDescent="0.25">
      <c r="A1646" t="s">
        <v>28</v>
      </c>
      <c r="B1646" t="s">
        <v>21</v>
      </c>
      <c r="C1646" t="s">
        <v>8</v>
      </c>
      <c r="D1646" s="1">
        <v>44957</v>
      </c>
      <c r="E1646" s="2">
        <v>1461.99</v>
      </c>
      <c r="F1646">
        <v>109</v>
      </c>
      <c r="G1646" s="2">
        <f t="shared" si="100"/>
        <v>13.412752293577983</v>
      </c>
      <c r="H1646" t="str">
        <f t="shared" si="101"/>
        <v>January</v>
      </c>
      <c r="I1646" t="str">
        <f t="shared" si="102"/>
        <v>Q1</v>
      </c>
      <c r="J1646" t="str">
        <f t="shared" si="103"/>
        <v>Large</v>
      </c>
    </row>
    <row r="1647" spans="1:10" x14ac:dyDescent="0.25">
      <c r="A1647" t="s">
        <v>34</v>
      </c>
      <c r="B1647" t="s">
        <v>7</v>
      </c>
      <c r="C1647" t="s">
        <v>18</v>
      </c>
      <c r="D1647" s="1">
        <v>45148</v>
      </c>
      <c r="E1647" s="2">
        <v>3701.6</v>
      </c>
      <c r="F1647">
        <v>131</v>
      </c>
      <c r="G1647" s="2">
        <f t="shared" si="100"/>
        <v>28.256488549618322</v>
      </c>
      <c r="H1647" t="str">
        <f t="shared" si="101"/>
        <v>August</v>
      </c>
      <c r="I1647" t="str">
        <f t="shared" si="102"/>
        <v>Q3</v>
      </c>
      <c r="J1647" t="str">
        <f t="shared" si="103"/>
        <v>Large</v>
      </c>
    </row>
    <row r="1648" spans="1:10" x14ac:dyDescent="0.25">
      <c r="A1648" t="s">
        <v>34</v>
      </c>
      <c r="B1648" t="s">
        <v>26</v>
      </c>
      <c r="C1648" t="s">
        <v>13</v>
      </c>
      <c r="D1648" s="1">
        <v>45156</v>
      </c>
      <c r="E1648" s="2">
        <v>13951.32</v>
      </c>
      <c r="F1648">
        <v>329</v>
      </c>
      <c r="G1648" s="2">
        <f t="shared" si="100"/>
        <v>42.405227963525832</v>
      </c>
      <c r="H1648" t="str">
        <f t="shared" si="101"/>
        <v>August</v>
      </c>
      <c r="I1648" t="str">
        <f t="shared" si="102"/>
        <v>Q3</v>
      </c>
      <c r="J1648" t="str">
        <f t="shared" si="103"/>
        <v>Large</v>
      </c>
    </row>
    <row r="1649" spans="1:10" x14ac:dyDescent="0.25">
      <c r="A1649" t="s">
        <v>23</v>
      </c>
      <c r="B1649" t="s">
        <v>21</v>
      </c>
      <c r="C1649" t="s">
        <v>44</v>
      </c>
      <c r="D1649" s="1">
        <v>45092</v>
      </c>
      <c r="E1649" s="2">
        <v>5774.92</v>
      </c>
      <c r="F1649">
        <v>325</v>
      </c>
      <c r="G1649" s="2">
        <f t="shared" si="100"/>
        <v>17.768984615384614</v>
      </c>
      <c r="H1649" t="str">
        <f t="shared" si="101"/>
        <v>June</v>
      </c>
      <c r="I1649" t="str">
        <f t="shared" si="102"/>
        <v>Q2</v>
      </c>
      <c r="J1649" t="str">
        <f t="shared" si="103"/>
        <v>Large</v>
      </c>
    </row>
    <row r="1650" spans="1:10" x14ac:dyDescent="0.25">
      <c r="A1650" t="s">
        <v>33</v>
      </c>
      <c r="B1650" t="s">
        <v>26</v>
      </c>
      <c r="C1650" t="s">
        <v>56</v>
      </c>
      <c r="D1650" s="1">
        <v>44952</v>
      </c>
      <c r="E1650" s="2">
        <v>9718.8700000000008</v>
      </c>
      <c r="F1650">
        <v>10</v>
      </c>
      <c r="G1650" s="2">
        <f t="shared" si="100"/>
        <v>971.88700000000006</v>
      </c>
      <c r="H1650" t="str">
        <f t="shared" si="101"/>
        <v>January</v>
      </c>
      <c r="I1650" t="str">
        <f t="shared" si="102"/>
        <v>Q1</v>
      </c>
      <c r="J1650" t="str">
        <f t="shared" si="103"/>
        <v>Large</v>
      </c>
    </row>
    <row r="1651" spans="1:10" x14ac:dyDescent="0.25">
      <c r="A1651" t="s">
        <v>49</v>
      </c>
      <c r="B1651" t="s">
        <v>26</v>
      </c>
      <c r="C1651" t="s">
        <v>39</v>
      </c>
      <c r="D1651" s="1">
        <v>45045</v>
      </c>
      <c r="E1651" s="2">
        <v>87.52</v>
      </c>
      <c r="F1651">
        <v>69</v>
      </c>
      <c r="G1651" s="2">
        <f t="shared" si="100"/>
        <v>1.2684057971014493</v>
      </c>
      <c r="H1651" t="str">
        <f t="shared" si="101"/>
        <v>April</v>
      </c>
      <c r="I1651" t="str">
        <f t="shared" si="102"/>
        <v>Q2</v>
      </c>
      <c r="J1651" t="str">
        <f t="shared" si="103"/>
        <v>Small</v>
      </c>
    </row>
    <row r="1652" spans="1:10" x14ac:dyDescent="0.25">
      <c r="A1652" t="s">
        <v>28</v>
      </c>
      <c r="B1652" t="s">
        <v>29</v>
      </c>
      <c r="C1652" t="s">
        <v>44</v>
      </c>
      <c r="D1652" s="1">
        <v>44988</v>
      </c>
      <c r="E1652" s="2">
        <v>3398.51</v>
      </c>
      <c r="F1652">
        <v>74</v>
      </c>
      <c r="G1652" s="2">
        <f t="shared" si="100"/>
        <v>45.925810810810816</v>
      </c>
      <c r="H1652" t="str">
        <f t="shared" si="101"/>
        <v>March</v>
      </c>
      <c r="I1652" t="str">
        <f t="shared" si="102"/>
        <v>Q1</v>
      </c>
      <c r="J1652" t="str">
        <f t="shared" si="103"/>
        <v>Large</v>
      </c>
    </row>
    <row r="1653" spans="1:10" x14ac:dyDescent="0.25">
      <c r="A1653" t="s">
        <v>41</v>
      </c>
      <c r="B1653" t="s">
        <v>15</v>
      </c>
      <c r="C1653" t="s">
        <v>47</v>
      </c>
      <c r="D1653" s="1">
        <v>44979</v>
      </c>
      <c r="E1653" s="2">
        <v>4371.7700000000004</v>
      </c>
      <c r="F1653">
        <v>375</v>
      </c>
      <c r="G1653" s="2">
        <f t="shared" si="100"/>
        <v>11.658053333333335</v>
      </c>
      <c r="H1653" t="str">
        <f t="shared" si="101"/>
        <v>February</v>
      </c>
      <c r="I1653" t="str">
        <f t="shared" si="102"/>
        <v>Q1</v>
      </c>
      <c r="J1653" t="str">
        <f t="shared" si="103"/>
        <v>Large</v>
      </c>
    </row>
    <row r="1654" spans="1:10" x14ac:dyDescent="0.25">
      <c r="A1654" t="s">
        <v>17</v>
      </c>
      <c r="B1654" t="s">
        <v>26</v>
      </c>
      <c r="C1654" t="s">
        <v>16</v>
      </c>
      <c r="D1654" s="1">
        <v>44989</v>
      </c>
      <c r="E1654" s="2">
        <v>3632.32</v>
      </c>
      <c r="F1654">
        <v>169</v>
      </c>
      <c r="G1654" s="2">
        <f t="shared" si="100"/>
        <v>21.49301775147929</v>
      </c>
      <c r="H1654" t="str">
        <f t="shared" si="101"/>
        <v>March</v>
      </c>
      <c r="I1654" t="str">
        <f t="shared" si="102"/>
        <v>Q1</v>
      </c>
      <c r="J1654" t="str">
        <f t="shared" si="103"/>
        <v>Large</v>
      </c>
    </row>
    <row r="1655" spans="1:10" x14ac:dyDescent="0.25">
      <c r="A1655" t="s">
        <v>43</v>
      </c>
      <c r="B1655" t="s">
        <v>10</v>
      </c>
      <c r="C1655" t="s">
        <v>16</v>
      </c>
      <c r="D1655" s="1">
        <v>45114</v>
      </c>
      <c r="E1655" s="2">
        <v>3343.85</v>
      </c>
      <c r="F1655">
        <v>10</v>
      </c>
      <c r="G1655" s="2">
        <f t="shared" si="100"/>
        <v>334.38499999999999</v>
      </c>
      <c r="H1655" t="str">
        <f t="shared" si="101"/>
        <v>July</v>
      </c>
      <c r="I1655" t="str">
        <f t="shared" si="102"/>
        <v>Q3</v>
      </c>
      <c r="J1655" t="str">
        <f t="shared" si="103"/>
        <v>Large</v>
      </c>
    </row>
    <row r="1656" spans="1:10" x14ac:dyDescent="0.25">
      <c r="A1656" t="s">
        <v>50</v>
      </c>
      <c r="B1656" t="s">
        <v>21</v>
      </c>
      <c r="C1656" t="s">
        <v>57</v>
      </c>
      <c r="D1656" s="1">
        <v>45094</v>
      </c>
      <c r="E1656" s="2">
        <v>4400.28</v>
      </c>
      <c r="F1656">
        <v>364</v>
      </c>
      <c r="G1656" s="2">
        <f t="shared" si="100"/>
        <v>12.088681318681317</v>
      </c>
      <c r="H1656" t="str">
        <f t="shared" si="101"/>
        <v>June</v>
      </c>
      <c r="I1656" t="str">
        <f t="shared" si="102"/>
        <v>Q2</v>
      </c>
      <c r="J1656" t="str">
        <f t="shared" si="103"/>
        <v>Large</v>
      </c>
    </row>
    <row r="1657" spans="1:10" x14ac:dyDescent="0.25">
      <c r="A1657" t="s">
        <v>14</v>
      </c>
      <c r="B1657" t="s">
        <v>29</v>
      </c>
      <c r="C1657" t="s">
        <v>57</v>
      </c>
      <c r="D1657" s="1">
        <v>45140</v>
      </c>
      <c r="E1657" s="2">
        <v>10802.13</v>
      </c>
      <c r="F1657">
        <v>124</v>
      </c>
      <c r="G1657" s="2">
        <f t="shared" si="100"/>
        <v>87.113951612903222</v>
      </c>
      <c r="H1657" t="str">
        <f t="shared" si="101"/>
        <v>August</v>
      </c>
      <c r="I1657" t="str">
        <f t="shared" si="102"/>
        <v>Q3</v>
      </c>
      <c r="J1657" t="str">
        <f t="shared" si="103"/>
        <v>Large</v>
      </c>
    </row>
    <row r="1658" spans="1:10" x14ac:dyDescent="0.25">
      <c r="A1658" t="s">
        <v>17</v>
      </c>
      <c r="B1658" t="s">
        <v>26</v>
      </c>
      <c r="C1658" t="s">
        <v>56</v>
      </c>
      <c r="D1658" s="1">
        <v>45150</v>
      </c>
      <c r="E1658" s="2">
        <v>9154.17</v>
      </c>
      <c r="F1658">
        <v>123</v>
      </c>
      <c r="G1658" s="2">
        <f t="shared" si="100"/>
        <v>74.424146341463413</v>
      </c>
      <c r="H1658" t="str">
        <f t="shared" si="101"/>
        <v>August</v>
      </c>
      <c r="I1658" t="str">
        <f t="shared" si="102"/>
        <v>Q3</v>
      </c>
      <c r="J1658" t="str">
        <f t="shared" si="103"/>
        <v>Large</v>
      </c>
    </row>
    <row r="1659" spans="1:10" x14ac:dyDescent="0.25">
      <c r="A1659" t="s">
        <v>53</v>
      </c>
      <c r="B1659" t="s">
        <v>21</v>
      </c>
      <c r="C1659" t="s">
        <v>13</v>
      </c>
      <c r="D1659" s="1">
        <v>44954</v>
      </c>
      <c r="E1659" s="2">
        <v>5360.89</v>
      </c>
      <c r="F1659">
        <v>340</v>
      </c>
      <c r="G1659" s="2">
        <f t="shared" si="100"/>
        <v>15.767323529411765</v>
      </c>
      <c r="H1659" t="str">
        <f t="shared" si="101"/>
        <v>January</v>
      </c>
      <c r="I1659" t="str">
        <f t="shared" si="102"/>
        <v>Q1</v>
      </c>
      <c r="J1659" t="str">
        <f t="shared" si="103"/>
        <v>Large</v>
      </c>
    </row>
    <row r="1660" spans="1:10" x14ac:dyDescent="0.25">
      <c r="A1660" t="s">
        <v>49</v>
      </c>
      <c r="B1660" t="s">
        <v>15</v>
      </c>
      <c r="C1660" t="s">
        <v>27</v>
      </c>
      <c r="D1660" s="1">
        <v>45045</v>
      </c>
      <c r="E1660" s="2">
        <v>11597.46</v>
      </c>
      <c r="F1660">
        <v>462</v>
      </c>
      <c r="G1660" s="2">
        <f t="shared" si="100"/>
        <v>25.102727272727272</v>
      </c>
      <c r="H1660" t="str">
        <f t="shared" si="101"/>
        <v>April</v>
      </c>
      <c r="I1660" t="str">
        <f t="shared" si="102"/>
        <v>Q2</v>
      </c>
      <c r="J1660" t="str">
        <f t="shared" si="103"/>
        <v>Large</v>
      </c>
    </row>
    <row r="1661" spans="1:10" x14ac:dyDescent="0.25">
      <c r="A1661" t="s">
        <v>33</v>
      </c>
      <c r="B1661" t="s">
        <v>15</v>
      </c>
      <c r="C1661" t="s">
        <v>45</v>
      </c>
      <c r="D1661" s="1">
        <v>45021</v>
      </c>
      <c r="E1661" s="2">
        <v>14939.24</v>
      </c>
      <c r="F1661">
        <v>238</v>
      </c>
      <c r="G1661" s="2">
        <f t="shared" si="100"/>
        <v>62.769915966386556</v>
      </c>
      <c r="H1661" t="str">
        <f t="shared" si="101"/>
        <v>April</v>
      </c>
      <c r="I1661" t="str">
        <f t="shared" si="102"/>
        <v>Q2</v>
      </c>
      <c r="J1661" t="str">
        <f t="shared" si="103"/>
        <v>Large</v>
      </c>
    </row>
    <row r="1662" spans="1:10" x14ac:dyDescent="0.25">
      <c r="A1662" t="s">
        <v>41</v>
      </c>
      <c r="B1662" t="s">
        <v>29</v>
      </c>
      <c r="C1662" t="s">
        <v>45</v>
      </c>
      <c r="D1662" s="1">
        <v>44944</v>
      </c>
      <c r="E1662" s="2">
        <v>10845.85</v>
      </c>
      <c r="F1662">
        <v>146</v>
      </c>
      <c r="G1662" s="2">
        <f t="shared" si="100"/>
        <v>74.286643835616445</v>
      </c>
      <c r="H1662" t="str">
        <f t="shared" si="101"/>
        <v>January</v>
      </c>
      <c r="I1662" t="str">
        <f t="shared" si="102"/>
        <v>Q1</v>
      </c>
      <c r="J1662" t="str">
        <f t="shared" si="103"/>
        <v>Large</v>
      </c>
    </row>
    <row r="1663" spans="1:10" x14ac:dyDescent="0.25">
      <c r="A1663" t="s">
        <v>6</v>
      </c>
      <c r="B1663" t="s">
        <v>7</v>
      </c>
      <c r="C1663" t="s">
        <v>56</v>
      </c>
      <c r="D1663" s="1">
        <v>45062</v>
      </c>
      <c r="E1663" s="2">
        <v>2832.78</v>
      </c>
      <c r="F1663">
        <v>104</v>
      </c>
      <c r="G1663" s="2">
        <f t="shared" si="100"/>
        <v>27.238269230769234</v>
      </c>
      <c r="H1663" t="str">
        <f t="shared" si="101"/>
        <v>May</v>
      </c>
      <c r="I1663" t="str">
        <f t="shared" si="102"/>
        <v>Q2</v>
      </c>
      <c r="J1663" t="str">
        <f t="shared" si="103"/>
        <v>Large</v>
      </c>
    </row>
    <row r="1664" spans="1:10" x14ac:dyDescent="0.25">
      <c r="A1664" t="s">
        <v>49</v>
      </c>
      <c r="B1664" t="s">
        <v>15</v>
      </c>
      <c r="C1664" t="s">
        <v>44</v>
      </c>
      <c r="D1664" s="1">
        <v>45162</v>
      </c>
      <c r="E1664" s="2">
        <v>8879.7199999999993</v>
      </c>
      <c r="F1664">
        <v>177</v>
      </c>
      <c r="G1664" s="2">
        <f t="shared" si="100"/>
        <v>50.167909604519771</v>
      </c>
      <c r="H1664" t="str">
        <f t="shared" si="101"/>
        <v>August</v>
      </c>
      <c r="I1664" t="str">
        <f t="shared" si="102"/>
        <v>Q3</v>
      </c>
      <c r="J1664" t="str">
        <f t="shared" si="103"/>
        <v>Large</v>
      </c>
    </row>
    <row r="1665" spans="1:10" x14ac:dyDescent="0.25">
      <c r="A1665" t="s">
        <v>38</v>
      </c>
      <c r="B1665" t="s">
        <v>10</v>
      </c>
      <c r="C1665" t="s">
        <v>11</v>
      </c>
      <c r="D1665" s="1">
        <v>44944</v>
      </c>
      <c r="E1665" s="2">
        <v>298.33999999999997</v>
      </c>
      <c r="F1665">
        <v>399</v>
      </c>
      <c r="G1665" s="2">
        <f t="shared" si="100"/>
        <v>0.74771929824561401</v>
      </c>
      <c r="H1665" t="str">
        <f t="shared" si="101"/>
        <v>January</v>
      </c>
      <c r="I1665" t="str">
        <f t="shared" si="102"/>
        <v>Q1</v>
      </c>
      <c r="J1665" t="str">
        <f t="shared" si="103"/>
        <v>Small</v>
      </c>
    </row>
    <row r="1666" spans="1:10" x14ac:dyDescent="0.25">
      <c r="A1666" t="s">
        <v>41</v>
      </c>
      <c r="B1666" t="s">
        <v>26</v>
      </c>
      <c r="C1666" t="s">
        <v>30</v>
      </c>
      <c r="D1666" s="1">
        <v>45160</v>
      </c>
      <c r="E1666" s="2">
        <v>7799.51</v>
      </c>
      <c r="F1666">
        <v>10</v>
      </c>
      <c r="G1666" s="2">
        <f t="shared" si="100"/>
        <v>779.95100000000002</v>
      </c>
      <c r="H1666" t="str">
        <f t="shared" si="101"/>
        <v>August</v>
      </c>
      <c r="I1666" t="str">
        <f t="shared" si="102"/>
        <v>Q3</v>
      </c>
      <c r="J1666" t="str">
        <f t="shared" si="103"/>
        <v>Large</v>
      </c>
    </row>
    <row r="1667" spans="1:10" x14ac:dyDescent="0.25">
      <c r="A1667" t="s">
        <v>19</v>
      </c>
      <c r="B1667" t="s">
        <v>7</v>
      </c>
      <c r="C1667" t="s">
        <v>18</v>
      </c>
      <c r="D1667" s="1">
        <v>44992</v>
      </c>
      <c r="E1667" s="2">
        <v>8.0399999999999991</v>
      </c>
      <c r="F1667">
        <v>85</v>
      </c>
      <c r="G1667" s="2">
        <f t="shared" ref="G1667:G1730" si="104">E1667/F1667</f>
        <v>9.458823529411764E-2</v>
      </c>
      <c r="H1667" t="str">
        <f t="shared" ref="H1667:H1730" si="105">TEXT(D1667, "mmmm")</f>
        <v>March</v>
      </c>
      <c r="I1667" t="str">
        <f t="shared" ref="I1667:I1730" si="106">"Q" &amp; ROUNDUP(MONTH(D1667)/3,0)</f>
        <v>Q1</v>
      </c>
      <c r="J1667" t="str">
        <f t="shared" ref="J1667:J1730" si="107">IF(E1667 &gt; 500, "Large", "Small")</f>
        <v>Small</v>
      </c>
    </row>
    <row r="1668" spans="1:10" x14ac:dyDescent="0.25">
      <c r="A1668" t="s">
        <v>34</v>
      </c>
      <c r="B1668" t="s">
        <v>7</v>
      </c>
      <c r="C1668" t="s">
        <v>52</v>
      </c>
      <c r="D1668" s="1">
        <v>44989</v>
      </c>
      <c r="E1668" s="2">
        <v>3212.35</v>
      </c>
      <c r="F1668">
        <v>66</v>
      </c>
      <c r="G1668" s="2">
        <f t="shared" si="104"/>
        <v>48.671969696969697</v>
      </c>
      <c r="H1668" t="str">
        <f t="shared" si="105"/>
        <v>March</v>
      </c>
      <c r="I1668" t="str">
        <f t="shared" si="106"/>
        <v>Q1</v>
      </c>
      <c r="J1668" t="str">
        <f t="shared" si="107"/>
        <v>Large</v>
      </c>
    </row>
    <row r="1669" spans="1:10" x14ac:dyDescent="0.25">
      <c r="A1669" t="s">
        <v>54</v>
      </c>
      <c r="B1669" t="s">
        <v>29</v>
      </c>
      <c r="C1669" t="s">
        <v>45</v>
      </c>
      <c r="D1669" s="1">
        <v>45038</v>
      </c>
      <c r="E1669" s="2">
        <v>12048.56</v>
      </c>
      <c r="F1669">
        <v>113</v>
      </c>
      <c r="G1669" s="2">
        <f t="shared" si="104"/>
        <v>106.62442477876105</v>
      </c>
      <c r="H1669" t="str">
        <f t="shared" si="105"/>
        <v>April</v>
      </c>
      <c r="I1669" t="str">
        <f t="shared" si="106"/>
        <v>Q2</v>
      </c>
      <c r="J1669" t="str">
        <f t="shared" si="107"/>
        <v>Large</v>
      </c>
    </row>
    <row r="1670" spans="1:10" x14ac:dyDescent="0.25">
      <c r="A1670" t="s">
        <v>41</v>
      </c>
      <c r="B1670" t="s">
        <v>15</v>
      </c>
      <c r="C1670" t="s">
        <v>37</v>
      </c>
      <c r="D1670" s="1">
        <v>45086</v>
      </c>
      <c r="E1670" s="2">
        <v>4499.6400000000003</v>
      </c>
      <c r="F1670">
        <v>91</v>
      </c>
      <c r="G1670" s="2">
        <f t="shared" si="104"/>
        <v>49.446593406593408</v>
      </c>
      <c r="H1670" t="str">
        <f t="shared" si="105"/>
        <v>June</v>
      </c>
      <c r="I1670" t="str">
        <f t="shared" si="106"/>
        <v>Q2</v>
      </c>
      <c r="J1670" t="str">
        <f t="shared" si="107"/>
        <v>Large</v>
      </c>
    </row>
    <row r="1671" spans="1:10" x14ac:dyDescent="0.25">
      <c r="A1671" t="s">
        <v>14</v>
      </c>
      <c r="B1671" t="s">
        <v>29</v>
      </c>
      <c r="C1671" t="s">
        <v>42</v>
      </c>
      <c r="D1671" s="1">
        <v>45132</v>
      </c>
      <c r="E1671" s="2">
        <v>9984.16</v>
      </c>
      <c r="F1671">
        <v>207</v>
      </c>
      <c r="G1671" s="2">
        <f t="shared" si="104"/>
        <v>48.232657004830919</v>
      </c>
      <c r="H1671" t="str">
        <f t="shared" si="105"/>
        <v>July</v>
      </c>
      <c r="I1671" t="str">
        <f t="shared" si="106"/>
        <v>Q3</v>
      </c>
      <c r="J1671" t="str">
        <f t="shared" si="107"/>
        <v>Large</v>
      </c>
    </row>
    <row r="1672" spans="1:10" x14ac:dyDescent="0.25">
      <c r="A1672" t="s">
        <v>14</v>
      </c>
      <c r="B1672" t="s">
        <v>10</v>
      </c>
      <c r="C1672" t="s">
        <v>16</v>
      </c>
      <c r="D1672" s="1">
        <v>45141</v>
      </c>
      <c r="E1672" s="2">
        <v>11867.83</v>
      </c>
      <c r="F1672">
        <v>95</v>
      </c>
      <c r="G1672" s="2">
        <f t="shared" si="104"/>
        <v>124.92452631578948</v>
      </c>
      <c r="H1672" t="str">
        <f t="shared" si="105"/>
        <v>August</v>
      </c>
      <c r="I1672" t="str">
        <f t="shared" si="106"/>
        <v>Q3</v>
      </c>
      <c r="J1672" t="str">
        <f t="shared" si="107"/>
        <v>Large</v>
      </c>
    </row>
    <row r="1673" spans="1:10" x14ac:dyDescent="0.25">
      <c r="A1673" t="s">
        <v>24</v>
      </c>
      <c r="B1673" t="s">
        <v>15</v>
      </c>
      <c r="C1673" t="s">
        <v>45</v>
      </c>
      <c r="D1673" s="1">
        <v>45141</v>
      </c>
      <c r="E1673" s="2">
        <v>4806.6499999999996</v>
      </c>
      <c r="F1673">
        <v>132</v>
      </c>
      <c r="G1673" s="2">
        <f t="shared" si="104"/>
        <v>36.414015151515152</v>
      </c>
      <c r="H1673" t="str">
        <f t="shared" si="105"/>
        <v>August</v>
      </c>
      <c r="I1673" t="str">
        <f t="shared" si="106"/>
        <v>Q3</v>
      </c>
      <c r="J1673" t="str">
        <f t="shared" si="107"/>
        <v>Large</v>
      </c>
    </row>
    <row r="1674" spans="1:10" x14ac:dyDescent="0.25">
      <c r="A1674" t="s">
        <v>6</v>
      </c>
      <c r="B1674" t="s">
        <v>7</v>
      </c>
      <c r="C1674" t="s">
        <v>37</v>
      </c>
      <c r="D1674" s="1">
        <v>45049</v>
      </c>
      <c r="E1674" s="2">
        <v>13420.93</v>
      </c>
      <c r="F1674">
        <v>232</v>
      </c>
      <c r="G1674" s="2">
        <f t="shared" si="104"/>
        <v>57.84883620689655</v>
      </c>
      <c r="H1674" t="str">
        <f t="shared" si="105"/>
        <v>May</v>
      </c>
      <c r="I1674" t="str">
        <f t="shared" si="106"/>
        <v>Q2</v>
      </c>
      <c r="J1674" t="str">
        <f t="shared" si="107"/>
        <v>Large</v>
      </c>
    </row>
    <row r="1675" spans="1:10" x14ac:dyDescent="0.25">
      <c r="A1675" t="s">
        <v>40</v>
      </c>
      <c r="B1675" t="s">
        <v>29</v>
      </c>
      <c r="C1675" t="s">
        <v>20</v>
      </c>
      <c r="D1675" s="1">
        <v>44945</v>
      </c>
      <c r="E1675" s="2">
        <v>10407.51</v>
      </c>
      <c r="F1675">
        <v>301</v>
      </c>
      <c r="G1675" s="2">
        <f t="shared" si="104"/>
        <v>34.576445182724257</v>
      </c>
      <c r="H1675" t="str">
        <f t="shared" si="105"/>
        <v>January</v>
      </c>
      <c r="I1675" t="str">
        <f t="shared" si="106"/>
        <v>Q1</v>
      </c>
      <c r="J1675" t="str">
        <f t="shared" si="107"/>
        <v>Large</v>
      </c>
    </row>
    <row r="1676" spans="1:10" x14ac:dyDescent="0.25">
      <c r="A1676" t="s">
        <v>36</v>
      </c>
      <c r="B1676" t="s">
        <v>26</v>
      </c>
      <c r="C1676" t="s">
        <v>22</v>
      </c>
      <c r="D1676" s="1">
        <v>44968</v>
      </c>
      <c r="E1676" s="2">
        <v>10849.39</v>
      </c>
      <c r="F1676">
        <v>330</v>
      </c>
      <c r="G1676" s="2">
        <f t="shared" si="104"/>
        <v>32.876939393939395</v>
      </c>
      <c r="H1676" t="str">
        <f t="shared" si="105"/>
        <v>February</v>
      </c>
      <c r="I1676" t="str">
        <f t="shared" si="106"/>
        <v>Q1</v>
      </c>
      <c r="J1676" t="str">
        <f t="shared" si="107"/>
        <v>Large</v>
      </c>
    </row>
    <row r="1677" spans="1:10" x14ac:dyDescent="0.25">
      <c r="A1677" t="s">
        <v>9</v>
      </c>
      <c r="B1677" t="s">
        <v>10</v>
      </c>
      <c r="C1677" t="s">
        <v>47</v>
      </c>
      <c r="D1677" s="1">
        <v>45091</v>
      </c>
      <c r="E1677" s="2">
        <v>7247.29</v>
      </c>
      <c r="F1677">
        <v>402</v>
      </c>
      <c r="G1677" s="2">
        <f t="shared" si="104"/>
        <v>18.028084577114427</v>
      </c>
      <c r="H1677" t="str">
        <f t="shared" si="105"/>
        <v>June</v>
      </c>
      <c r="I1677" t="str">
        <f t="shared" si="106"/>
        <v>Q2</v>
      </c>
      <c r="J1677" t="str">
        <f t="shared" si="107"/>
        <v>Large</v>
      </c>
    </row>
    <row r="1678" spans="1:10" x14ac:dyDescent="0.25">
      <c r="A1678" t="s">
        <v>49</v>
      </c>
      <c r="B1678" t="s">
        <v>26</v>
      </c>
      <c r="C1678" t="s">
        <v>22</v>
      </c>
      <c r="D1678" s="1">
        <v>45008</v>
      </c>
      <c r="E1678" s="2">
        <v>6387.65</v>
      </c>
      <c r="F1678">
        <v>227</v>
      </c>
      <c r="G1678" s="2">
        <f t="shared" si="104"/>
        <v>28.139427312775329</v>
      </c>
      <c r="H1678" t="str">
        <f t="shared" si="105"/>
        <v>March</v>
      </c>
      <c r="I1678" t="str">
        <f t="shared" si="106"/>
        <v>Q1</v>
      </c>
      <c r="J1678" t="str">
        <f t="shared" si="107"/>
        <v>Large</v>
      </c>
    </row>
    <row r="1679" spans="1:10" x14ac:dyDescent="0.25">
      <c r="A1679" t="s">
        <v>53</v>
      </c>
      <c r="B1679" t="s">
        <v>29</v>
      </c>
      <c r="C1679" t="s">
        <v>11</v>
      </c>
      <c r="D1679" s="1">
        <v>44974</v>
      </c>
      <c r="E1679" s="2">
        <v>8373.42</v>
      </c>
      <c r="F1679">
        <v>108</v>
      </c>
      <c r="G1679" s="2">
        <f t="shared" si="104"/>
        <v>77.531666666666666</v>
      </c>
      <c r="H1679" t="str">
        <f t="shared" si="105"/>
        <v>February</v>
      </c>
      <c r="I1679" t="str">
        <f t="shared" si="106"/>
        <v>Q1</v>
      </c>
      <c r="J1679" t="str">
        <f t="shared" si="107"/>
        <v>Large</v>
      </c>
    </row>
    <row r="1680" spans="1:10" x14ac:dyDescent="0.25">
      <c r="A1680" t="s">
        <v>43</v>
      </c>
      <c r="B1680" t="s">
        <v>29</v>
      </c>
      <c r="C1680" t="s">
        <v>16</v>
      </c>
      <c r="D1680" s="1">
        <v>45002</v>
      </c>
      <c r="E1680" s="2">
        <v>1887.19</v>
      </c>
      <c r="F1680">
        <v>488</v>
      </c>
      <c r="G1680" s="2">
        <f t="shared" si="104"/>
        <v>3.86719262295082</v>
      </c>
      <c r="H1680" t="str">
        <f t="shared" si="105"/>
        <v>March</v>
      </c>
      <c r="I1680" t="str">
        <f t="shared" si="106"/>
        <v>Q1</v>
      </c>
      <c r="J1680" t="str">
        <f t="shared" si="107"/>
        <v>Large</v>
      </c>
    </row>
    <row r="1681" spans="1:10" x14ac:dyDescent="0.25">
      <c r="A1681" t="s">
        <v>28</v>
      </c>
      <c r="B1681" t="s">
        <v>15</v>
      </c>
      <c r="C1681" t="s">
        <v>39</v>
      </c>
      <c r="D1681" s="1">
        <v>45106</v>
      </c>
      <c r="E1681" s="2">
        <v>6054.04</v>
      </c>
      <c r="F1681">
        <v>287</v>
      </c>
      <c r="G1681" s="2">
        <f t="shared" si="104"/>
        <v>21.094216027874566</v>
      </c>
      <c r="H1681" t="str">
        <f t="shared" si="105"/>
        <v>June</v>
      </c>
      <c r="I1681" t="str">
        <f t="shared" si="106"/>
        <v>Q2</v>
      </c>
      <c r="J1681" t="str">
        <f t="shared" si="107"/>
        <v>Large</v>
      </c>
    </row>
    <row r="1682" spans="1:10" x14ac:dyDescent="0.25">
      <c r="A1682" t="s">
        <v>55</v>
      </c>
      <c r="B1682" t="s">
        <v>29</v>
      </c>
      <c r="C1682" t="s">
        <v>52</v>
      </c>
      <c r="D1682" s="1">
        <v>45162</v>
      </c>
      <c r="E1682" s="2">
        <v>16254.61</v>
      </c>
      <c r="F1682">
        <v>268</v>
      </c>
      <c r="G1682" s="2">
        <f t="shared" si="104"/>
        <v>60.651529850746272</v>
      </c>
      <c r="H1682" t="str">
        <f t="shared" si="105"/>
        <v>August</v>
      </c>
      <c r="I1682" t="str">
        <f t="shared" si="106"/>
        <v>Q3</v>
      </c>
      <c r="J1682" t="str">
        <f t="shared" si="107"/>
        <v>Large</v>
      </c>
    </row>
    <row r="1683" spans="1:10" x14ac:dyDescent="0.25">
      <c r="A1683" t="s">
        <v>12</v>
      </c>
      <c r="B1683" t="s">
        <v>29</v>
      </c>
      <c r="C1683" t="s">
        <v>39</v>
      </c>
      <c r="D1683" s="1">
        <v>45111</v>
      </c>
      <c r="E1683" s="2">
        <v>13173.56</v>
      </c>
      <c r="F1683">
        <v>301</v>
      </c>
      <c r="G1683" s="2">
        <f t="shared" si="104"/>
        <v>43.765980066445181</v>
      </c>
      <c r="H1683" t="str">
        <f t="shared" si="105"/>
        <v>July</v>
      </c>
      <c r="I1683" t="str">
        <f t="shared" si="106"/>
        <v>Q3</v>
      </c>
      <c r="J1683" t="str">
        <f t="shared" si="107"/>
        <v>Large</v>
      </c>
    </row>
    <row r="1684" spans="1:10" x14ac:dyDescent="0.25">
      <c r="A1684" t="s">
        <v>36</v>
      </c>
      <c r="B1684" t="s">
        <v>21</v>
      </c>
      <c r="C1684" t="s">
        <v>47</v>
      </c>
      <c r="D1684" s="1">
        <v>45013</v>
      </c>
      <c r="E1684" s="2">
        <v>2721.46</v>
      </c>
      <c r="F1684">
        <v>72</v>
      </c>
      <c r="G1684" s="2">
        <f t="shared" si="104"/>
        <v>37.798055555555557</v>
      </c>
      <c r="H1684" t="str">
        <f t="shared" si="105"/>
        <v>March</v>
      </c>
      <c r="I1684" t="str">
        <f t="shared" si="106"/>
        <v>Q1</v>
      </c>
      <c r="J1684" t="str">
        <f t="shared" si="107"/>
        <v>Large</v>
      </c>
    </row>
    <row r="1685" spans="1:10" x14ac:dyDescent="0.25">
      <c r="A1685" t="s">
        <v>38</v>
      </c>
      <c r="B1685" t="s">
        <v>10</v>
      </c>
      <c r="C1685" t="s">
        <v>16</v>
      </c>
      <c r="D1685" s="1">
        <v>45035</v>
      </c>
      <c r="E1685" s="2">
        <v>19283.64</v>
      </c>
      <c r="F1685">
        <v>139</v>
      </c>
      <c r="G1685" s="2">
        <f t="shared" si="104"/>
        <v>138.73122302158274</v>
      </c>
      <c r="H1685" t="str">
        <f t="shared" si="105"/>
        <v>April</v>
      </c>
      <c r="I1685" t="str">
        <f t="shared" si="106"/>
        <v>Q2</v>
      </c>
      <c r="J1685" t="str">
        <f t="shared" si="107"/>
        <v>Large</v>
      </c>
    </row>
    <row r="1686" spans="1:10" x14ac:dyDescent="0.25">
      <c r="A1686" t="s">
        <v>55</v>
      </c>
      <c r="B1686" t="s">
        <v>21</v>
      </c>
      <c r="C1686" t="s">
        <v>8</v>
      </c>
      <c r="D1686" s="1">
        <v>44944</v>
      </c>
      <c r="E1686" s="2">
        <v>9327.52</v>
      </c>
      <c r="F1686">
        <v>232</v>
      </c>
      <c r="G1686" s="2">
        <f t="shared" si="104"/>
        <v>40.204827586206896</v>
      </c>
      <c r="H1686" t="str">
        <f t="shared" si="105"/>
        <v>January</v>
      </c>
      <c r="I1686" t="str">
        <f t="shared" si="106"/>
        <v>Q1</v>
      </c>
      <c r="J1686" t="str">
        <f t="shared" si="107"/>
        <v>Large</v>
      </c>
    </row>
    <row r="1687" spans="1:10" x14ac:dyDescent="0.25">
      <c r="A1687" t="s">
        <v>9</v>
      </c>
      <c r="B1687" t="s">
        <v>21</v>
      </c>
      <c r="C1687" t="s">
        <v>42</v>
      </c>
      <c r="D1687" s="1">
        <v>44943</v>
      </c>
      <c r="E1687" s="2">
        <v>3184.03</v>
      </c>
      <c r="F1687">
        <v>85</v>
      </c>
      <c r="G1687" s="2">
        <f t="shared" si="104"/>
        <v>37.45917647058824</v>
      </c>
      <c r="H1687" t="str">
        <f t="shared" si="105"/>
        <v>January</v>
      </c>
      <c r="I1687" t="str">
        <f t="shared" si="106"/>
        <v>Q1</v>
      </c>
      <c r="J1687" t="str">
        <f t="shared" si="107"/>
        <v>Large</v>
      </c>
    </row>
    <row r="1688" spans="1:10" x14ac:dyDescent="0.25">
      <c r="A1688" t="s">
        <v>48</v>
      </c>
      <c r="B1688" t="s">
        <v>21</v>
      </c>
      <c r="C1688" t="s">
        <v>8</v>
      </c>
      <c r="D1688" s="1">
        <v>44972</v>
      </c>
      <c r="E1688" s="2">
        <v>9738.74</v>
      </c>
      <c r="F1688">
        <v>209</v>
      </c>
      <c r="G1688" s="2">
        <f t="shared" si="104"/>
        <v>46.596842105263157</v>
      </c>
      <c r="H1688" t="str">
        <f t="shared" si="105"/>
        <v>February</v>
      </c>
      <c r="I1688" t="str">
        <f t="shared" si="106"/>
        <v>Q1</v>
      </c>
      <c r="J1688" t="str">
        <f t="shared" si="107"/>
        <v>Large</v>
      </c>
    </row>
    <row r="1689" spans="1:10" x14ac:dyDescent="0.25">
      <c r="A1689" t="s">
        <v>48</v>
      </c>
      <c r="B1689" t="s">
        <v>7</v>
      </c>
      <c r="C1689" t="s">
        <v>37</v>
      </c>
      <c r="D1689" s="1">
        <v>44968</v>
      </c>
      <c r="E1689" s="2">
        <v>16486.650000000001</v>
      </c>
      <c r="F1689">
        <v>314</v>
      </c>
      <c r="G1689" s="2">
        <f t="shared" si="104"/>
        <v>52.505254777070071</v>
      </c>
      <c r="H1689" t="str">
        <f t="shared" si="105"/>
        <v>February</v>
      </c>
      <c r="I1689" t="str">
        <f t="shared" si="106"/>
        <v>Q1</v>
      </c>
      <c r="J1689" t="str">
        <f t="shared" si="107"/>
        <v>Large</v>
      </c>
    </row>
    <row r="1690" spans="1:10" x14ac:dyDescent="0.25">
      <c r="A1690" t="s">
        <v>50</v>
      </c>
      <c r="B1690" t="s">
        <v>26</v>
      </c>
      <c r="C1690" t="s">
        <v>45</v>
      </c>
      <c r="D1690" s="1">
        <v>45006</v>
      </c>
      <c r="E1690" s="2">
        <v>16792.23</v>
      </c>
      <c r="F1690">
        <v>184</v>
      </c>
      <c r="G1690" s="2">
        <f t="shared" si="104"/>
        <v>91.26211956521739</v>
      </c>
      <c r="H1690" t="str">
        <f t="shared" si="105"/>
        <v>March</v>
      </c>
      <c r="I1690" t="str">
        <f t="shared" si="106"/>
        <v>Q1</v>
      </c>
      <c r="J1690" t="str">
        <f t="shared" si="107"/>
        <v>Large</v>
      </c>
    </row>
    <row r="1691" spans="1:10" x14ac:dyDescent="0.25">
      <c r="A1691" t="s">
        <v>19</v>
      </c>
      <c r="B1691" t="s">
        <v>21</v>
      </c>
      <c r="C1691" t="s">
        <v>47</v>
      </c>
      <c r="D1691" s="1">
        <v>44931</v>
      </c>
      <c r="E1691" s="2">
        <v>5752.62</v>
      </c>
      <c r="F1691">
        <v>125</v>
      </c>
      <c r="G1691" s="2">
        <f t="shared" si="104"/>
        <v>46.020960000000002</v>
      </c>
      <c r="H1691" t="str">
        <f t="shared" si="105"/>
        <v>January</v>
      </c>
      <c r="I1691" t="str">
        <f t="shared" si="106"/>
        <v>Q1</v>
      </c>
      <c r="J1691" t="str">
        <f t="shared" si="107"/>
        <v>Large</v>
      </c>
    </row>
    <row r="1692" spans="1:10" x14ac:dyDescent="0.25">
      <c r="A1692" t="s">
        <v>23</v>
      </c>
      <c r="B1692" t="s">
        <v>10</v>
      </c>
      <c r="C1692" t="s">
        <v>51</v>
      </c>
      <c r="D1692" s="1">
        <v>45076</v>
      </c>
      <c r="E1692" s="2">
        <v>6833.28</v>
      </c>
      <c r="F1692">
        <v>157</v>
      </c>
      <c r="G1692" s="2">
        <f t="shared" si="104"/>
        <v>43.524076433121017</v>
      </c>
      <c r="H1692" t="str">
        <f t="shared" si="105"/>
        <v>May</v>
      </c>
      <c r="I1692" t="str">
        <f t="shared" si="106"/>
        <v>Q2</v>
      </c>
      <c r="J1692" t="str">
        <f t="shared" si="107"/>
        <v>Large</v>
      </c>
    </row>
    <row r="1693" spans="1:10" x14ac:dyDescent="0.25">
      <c r="A1693" t="s">
        <v>6</v>
      </c>
      <c r="B1693" t="s">
        <v>26</v>
      </c>
      <c r="C1693" t="s">
        <v>18</v>
      </c>
      <c r="D1693" s="1">
        <v>44930</v>
      </c>
      <c r="E1693" s="2">
        <v>2815.72</v>
      </c>
      <c r="F1693">
        <v>222</v>
      </c>
      <c r="G1693" s="2">
        <f t="shared" si="104"/>
        <v>12.683423423423422</v>
      </c>
      <c r="H1693" t="str">
        <f t="shared" si="105"/>
        <v>January</v>
      </c>
      <c r="I1693" t="str">
        <f t="shared" si="106"/>
        <v>Q1</v>
      </c>
      <c r="J1693" t="str">
        <f t="shared" si="107"/>
        <v>Large</v>
      </c>
    </row>
    <row r="1694" spans="1:10" x14ac:dyDescent="0.25">
      <c r="A1694" t="s">
        <v>34</v>
      </c>
      <c r="B1694" t="s">
        <v>15</v>
      </c>
      <c r="C1694" t="s">
        <v>42</v>
      </c>
      <c r="D1694" s="1">
        <v>45038</v>
      </c>
      <c r="E1694" s="2">
        <v>1545.36</v>
      </c>
      <c r="F1694">
        <v>269</v>
      </c>
      <c r="G1694" s="2">
        <f t="shared" si="104"/>
        <v>5.7448327137546462</v>
      </c>
      <c r="H1694" t="str">
        <f t="shared" si="105"/>
        <v>April</v>
      </c>
      <c r="I1694" t="str">
        <f t="shared" si="106"/>
        <v>Q2</v>
      </c>
      <c r="J1694" t="str">
        <f t="shared" si="107"/>
        <v>Large</v>
      </c>
    </row>
    <row r="1695" spans="1:10" x14ac:dyDescent="0.25">
      <c r="A1695" t="s">
        <v>12</v>
      </c>
      <c r="B1695" t="s">
        <v>29</v>
      </c>
      <c r="C1695" t="s">
        <v>37</v>
      </c>
      <c r="D1695" s="1">
        <v>44967</v>
      </c>
      <c r="E1695" s="2">
        <v>3432.73</v>
      </c>
      <c r="F1695">
        <v>120</v>
      </c>
      <c r="G1695" s="2">
        <f t="shared" si="104"/>
        <v>28.606083333333334</v>
      </c>
      <c r="H1695" t="str">
        <f t="shared" si="105"/>
        <v>February</v>
      </c>
      <c r="I1695" t="str">
        <f t="shared" si="106"/>
        <v>Q1</v>
      </c>
      <c r="J1695" t="str">
        <f t="shared" si="107"/>
        <v>Large</v>
      </c>
    </row>
    <row r="1696" spans="1:10" x14ac:dyDescent="0.25">
      <c r="A1696" t="s">
        <v>54</v>
      </c>
      <c r="B1696" t="s">
        <v>10</v>
      </c>
      <c r="C1696" t="s">
        <v>39</v>
      </c>
      <c r="D1696" s="1">
        <v>45150</v>
      </c>
      <c r="E1696" s="2">
        <v>1001.99</v>
      </c>
      <c r="F1696">
        <v>217</v>
      </c>
      <c r="G1696" s="2">
        <f t="shared" si="104"/>
        <v>4.6174654377880184</v>
      </c>
      <c r="H1696" t="str">
        <f t="shared" si="105"/>
        <v>August</v>
      </c>
      <c r="I1696" t="str">
        <f t="shared" si="106"/>
        <v>Q3</v>
      </c>
      <c r="J1696" t="str">
        <f t="shared" si="107"/>
        <v>Large</v>
      </c>
    </row>
    <row r="1697" spans="1:10" x14ac:dyDescent="0.25">
      <c r="A1697" t="s">
        <v>19</v>
      </c>
      <c r="B1697" t="s">
        <v>26</v>
      </c>
      <c r="C1697" t="s">
        <v>35</v>
      </c>
      <c r="D1697" s="1">
        <v>45148</v>
      </c>
      <c r="E1697" s="2">
        <v>2494.19</v>
      </c>
      <c r="F1697">
        <v>315</v>
      </c>
      <c r="G1697" s="2">
        <f t="shared" si="104"/>
        <v>7.9180634920634922</v>
      </c>
      <c r="H1697" t="str">
        <f t="shared" si="105"/>
        <v>August</v>
      </c>
      <c r="I1697" t="str">
        <f t="shared" si="106"/>
        <v>Q3</v>
      </c>
      <c r="J1697" t="str">
        <f t="shared" si="107"/>
        <v>Large</v>
      </c>
    </row>
    <row r="1698" spans="1:10" x14ac:dyDescent="0.25">
      <c r="A1698" t="s">
        <v>49</v>
      </c>
      <c r="B1698" t="s">
        <v>15</v>
      </c>
      <c r="C1698" t="s">
        <v>51</v>
      </c>
      <c r="D1698" s="1">
        <v>45084</v>
      </c>
      <c r="E1698" s="2">
        <v>770.25</v>
      </c>
      <c r="F1698">
        <v>61</v>
      </c>
      <c r="G1698" s="2">
        <f t="shared" si="104"/>
        <v>12.627049180327869</v>
      </c>
      <c r="H1698" t="str">
        <f t="shared" si="105"/>
        <v>June</v>
      </c>
      <c r="I1698" t="str">
        <f t="shared" si="106"/>
        <v>Q2</v>
      </c>
      <c r="J1698" t="str">
        <f t="shared" si="107"/>
        <v>Large</v>
      </c>
    </row>
    <row r="1699" spans="1:10" x14ac:dyDescent="0.25">
      <c r="A1699" t="s">
        <v>6</v>
      </c>
      <c r="B1699" t="s">
        <v>10</v>
      </c>
      <c r="C1699" t="s">
        <v>56</v>
      </c>
      <c r="D1699" s="1">
        <v>45083</v>
      </c>
      <c r="E1699" s="2">
        <v>2261.98</v>
      </c>
      <c r="F1699">
        <v>73</v>
      </c>
      <c r="G1699" s="2">
        <f t="shared" si="104"/>
        <v>30.986027397260273</v>
      </c>
      <c r="H1699" t="str">
        <f t="shared" si="105"/>
        <v>June</v>
      </c>
      <c r="I1699" t="str">
        <f t="shared" si="106"/>
        <v>Q2</v>
      </c>
      <c r="J1699" t="str">
        <f t="shared" si="107"/>
        <v>Large</v>
      </c>
    </row>
    <row r="1700" spans="1:10" x14ac:dyDescent="0.25">
      <c r="A1700" t="s">
        <v>31</v>
      </c>
      <c r="B1700" t="s">
        <v>21</v>
      </c>
      <c r="C1700" t="s">
        <v>56</v>
      </c>
      <c r="D1700" s="1">
        <v>45021</v>
      </c>
      <c r="E1700" s="2">
        <v>5667.58</v>
      </c>
      <c r="F1700">
        <v>204</v>
      </c>
      <c r="G1700" s="2">
        <f t="shared" si="104"/>
        <v>27.782254901960783</v>
      </c>
      <c r="H1700" t="str">
        <f t="shared" si="105"/>
        <v>April</v>
      </c>
      <c r="I1700" t="str">
        <f t="shared" si="106"/>
        <v>Q2</v>
      </c>
      <c r="J1700" t="str">
        <f t="shared" si="107"/>
        <v>Large</v>
      </c>
    </row>
    <row r="1701" spans="1:10" x14ac:dyDescent="0.25">
      <c r="A1701" t="s">
        <v>46</v>
      </c>
      <c r="B1701" t="s">
        <v>26</v>
      </c>
      <c r="C1701" t="s">
        <v>22</v>
      </c>
      <c r="D1701" s="1">
        <v>45034</v>
      </c>
      <c r="E1701" s="2">
        <v>4738.71</v>
      </c>
      <c r="F1701">
        <v>125</v>
      </c>
      <c r="G1701" s="2">
        <f t="shared" si="104"/>
        <v>37.909680000000002</v>
      </c>
      <c r="H1701" t="str">
        <f t="shared" si="105"/>
        <v>April</v>
      </c>
      <c r="I1701" t="str">
        <f t="shared" si="106"/>
        <v>Q2</v>
      </c>
      <c r="J1701" t="str">
        <f t="shared" si="107"/>
        <v>Large</v>
      </c>
    </row>
    <row r="1702" spans="1:10" x14ac:dyDescent="0.25">
      <c r="A1702" t="s">
        <v>48</v>
      </c>
      <c r="B1702" t="s">
        <v>10</v>
      </c>
      <c r="C1702" t="s">
        <v>22</v>
      </c>
      <c r="D1702" s="1">
        <v>44957</v>
      </c>
      <c r="E1702" s="2">
        <v>13661.89</v>
      </c>
      <c r="F1702">
        <v>15</v>
      </c>
      <c r="G1702" s="2">
        <f t="shared" si="104"/>
        <v>910.79266666666661</v>
      </c>
      <c r="H1702" t="str">
        <f t="shared" si="105"/>
        <v>January</v>
      </c>
      <c r="I1702" t="str">
        <f t="shared" si="106"/>
        <v>Q1</v>
      </c>
      <c r="J1702" t="str">
        <f t="shared" si="107"/>
        <v>Large</v>
      </c>
    </row>
    <row r="1703" spans="1:10" x14ac:dyDescent="0.25">
      <c r="A1703" t="s">
        <v>53</v>
      </c>
      <c r="B1703" t="s">
        <v>26</v>
      </c>
      <c r="C1703" t="s">
        <v>56</v>
      </c>
      <c r="D1703" s="1">
        <v>45160</v>
      </c>
      <c r="E1703" s="2">
        <v>6067.19</v>
      </c>
      <c r="F1703">
        <v>151</v>
      </c>
      <c r="G1703" s="2">
        <f t="shared" si="104"/>
        <v>40.180066225165561</v>
      </c>
      <c r="H1703" t="str">
        <f t="shared" si="105"/>
        <v>August</v>
      </c>
      <c r="I1703" t="str">
        <f t="shared" si="106"/>
        <v>Q3</v>
      </c>
      <c r="J1703" t="str">
        <f t="shared" si="107"/>
        <v>Large</v>
      </c>
    </row>
    <row r="1704" spans="1:10" x14ac:dyDescent="0.25">
      <c r="A1704" t="s">
        <v>6</v>
      </c>
      <c r="B1704" t="s">
        <v>15</v>
      </c>
      <c r="C1704" t="s">
        <v>18</v>
      </c>
      <c r="D1704" s="1">
        <v>44982</v>
      </c>
      <c r="E1704" s="2">
        <v>11720.99</v>
      </c>
      <c r="F1704">
        <v>204</v>
      </c>
      <c r="G1704" s="2">
        <f t="shared" si="104"/>
        <v>57.455833333333331</v>
      </c>
      <c r="H1704" t="str">
        <f t="shared" si="105"/>
        <v>February</v>
      </c>
      <c r="I1704" t="str">
        <f t="shared" si="106"/>
        <v>Q1</v>
      </c>
      <c r="J1704" t="str">
        <f t="shared" si="107"/>
        <v>Large</v>
      </c>
    </row>
    <row r="1705" spans="1:10" x14ac:dyDescent="0.25">
      <c r="A1705" t="s">
        <v>14</v>
      </c>
      <c r="B1705" t="s">
        <v>15</v>
      </c>
      <c r="C1705" t="s">
        <v>8</v>
      </c>
      <c r="D1705" s="1">
        <v>44979</v>
      </c>
      <c r="E1705" s="2">
        <v>19999.55</v>
      </c>
      <c r="F1705">
        <v>106</v>
      </c>
      <c r="G1705" s="2">
        <f t="shared" si="104"/>
        <v>188.67499999999998</v>
      </c>
      <c r="H1705" t="str">
        <f t="shared" si="105"/>
        <v>February</v>
      </c>
      <c r="I1705" t="str">
        <f t="shared" si="106"/>
        <v>Q1</v>
      </c>
      <c r="J1705" t="str">
        <f t="shared" si="107"/>
        <v>Large</v>
      </c>
    </row>
    <row r="1706" spans="1:10" x14ac:dyDescent="0.25">
      <c r="A1706" t="s">
        <v>17</v>
      </c>
      <c r="B1706" t="s">
        <v>21</v>
      </c>
      <c r="C1706" t="s">
        <v>37</v>
      </c>
      <c r="D1706" s="1">
        <v>44938</v>
      </c>
      <c r="E1706" s="2">
        <v>4484.03</v>
      </c>
      <c r="F1706">
        <v>201</v>
      </c>
      <c r="G1706" s="2">
        <f t="shared" si="104"/>
        <v>22.308606965174128</v>
      </c>
      <c r="H1706" t="str">
        <f t="shared" si="105"/>
        <v>January</v>
      </c>
      <c r="I1706" t="str">
        <f t="shared" si="106"/>
        <v>Q1</v>
      </c>
      <c r="J1706" t="str">
        <f t="shared" si="107"/>
        <v>Large</v>
      </c>
    </row>
    <row r="1707" spans="1:10" x14ac:dyDescent="0.25">
      <c r="A1707" t="s">
        <v>23</v>
      </c>
      <c r="B1707" t="s">
        <v>7</v>
      </c>
      <c r="C1707" t="s">
        <v>47</v>
      </c>
      <c r="D1707" s="1">
        <v>45071</v>
      </c>
      <c r="E1707" s="2">
        <v>107.24</v>
      </c>
      <c r="F1707">
        <v>129</v>
      </c>
      <c r="G1707" s="2">
        <f t="shared" si="104"/>
        <v>0.83131782945736432</v>
      </c>
      <c r="H1707" t="str">
        <f t="shared" si="105"/>
        <v>May</v>
      </c>
      <c r="I1707" t="str">
        <f t="shared" si="106"/>
        <v>Q2</v>
      </c>
      <c r="J1707" t="str">
        <f t="shared" si="107"/>
        <v>Small</v>
      </c>
    </row>
    <row r="1708" spans="1:10" x14ac:dyDescent="0.25">
      <c r="A1708" t="s">
        <v>49</v>
      </c>
      <c r="B1708" t="s">
        <v>10</v>
      </c>
      <c r="C1708" t="s">
        <v>16</v>
      </c>
      <c r="D1708" s="1">
        <v>44958</v>
      </c>
      <c r="E1708" s="2">
        <v>2525.98</v>
      </c>
      <c r="F1708">
        <v>8</v>
      </c>
      <c r="G1708" s="2">
        <f t="shared" si="104"/>
        <v>315.7475</v>
      </c>
      <c r="H1708" t="str">
        <f t="shared" si="105"/>
        <v>February</v>
      </c>
      <c r="I1708" t="str">
        <f t="shared" si="106"/>
        <v>Q1</v>
      </c>
      <c r="J1708" t="str">
        <f t="shared" si="107"/>
        <v>Large</v>
      </c>
    </row>
    <row r="1709" spans="1:10" x14ac:dyDescent="0.25">
      <c r="A1709" t="s">
        <v>24</v>
      </c>
      <c r="B1709" t="s">
        <v>7</v>
      </c>
      <c r="C1709" t="s">
        <v>30</v>
      </c>
      <c r="D1709" s="1">
        <v>45043</v>
      </c>
      <c r="E1709" s="2">
        <v>1577.84</v>
      </c>
      <c r="F1709">
        <v>67</v>
      </c>
      <c r="G1709" s="2">
        <f t="shared" si="104"/>
        <v>23.549850746268657</v>
      </c>
      <c r="H1709" t="str">
        <f t="shared" si="105"/>
        <v>April</v>
      </c>
      <c r="I1709" t="str">
        <f t="shared" si="106"/>
        <v>Q2</v>
      </c>
      <c r="J1709" t="str">
        <f t="shared" si="107"/>
        <v>Large</v>
      </c>
    </row>
    <row r="1710" spans="1:10" x14ac:dyDescent="0.25">
      <c r="A1710" t="s">
        <v>12</v>
      </c>
      <c r="B1710" t="s">
        <v>26</v>
      </c>
      <c r="C1710" t="s">
        <v>16</v>
      </c>
      <c r="D1710" s="1">
        <v>45129</v>
      </c>
      <c r="E1710" s="2">
        <v>2972.07</v>
      </c>
      <c r="F1710">
        <v>129</v>
      </c>
      <c r="G1710" s="2">
        <f t="shared" si="104"/>
        <v>23.039302325581396</v>
      </c>
      <c r="H1710" t="str">
        <f t="shared" si="105"/>
        <v>July</v>
      </c>
      <c r="I1710" t="str">
        <f t="shared" si="106"/>
        <v>Q3</v>
      </c>
      <c r="J1710" t="str">
        <f t="shared" si="107"/>
        <v>Large</v>
      </c>
    </row>
    <row r="1711" spans="1:10" x14ac:dyDescent="0.25">
      <c r="A1711" t="s">
        <v>38</v>
      </c>
      <c r="B1711" t="s">
        <v>21</v>
      </c>
      <c r="C1711" t="s">
        <v>8</v>
      </c>
      <c r="D1711" s="1">
        <v>44952</v>
      </c>
      <c r="E1711" s="2">
        <v>3691.63</v>
      </c>
      <c r="F1711">
        <v>284</v>
      </c>
      <c r="G1711" s="2">
        <f t="shared" si="104"/>
        <v>12.998697183098592</v>
      </c>
      <c r="H1711" t="str">
        <f t="shared" si="105"/>
        <v>January</v>
      </c>
      <c r="I1711" t="str">
        <f t="shared" si="106"/>
        <v>Q1</v>
      </c>
      <c r="J1711" t="str">
        <f t="shared" si="107"/>
        <v>Large</v>
      </c>
    </row>
    <row r="1712" spans="1:10" x14ac:dyDescent="0.25">
      <c r="A1712" t="s">
        <v>38</v>
      </c>
      <c r="B1712" t="s">
        <v>26</v>
      </c>
      <c r="C1712" t="s">
        <v>8</v>
      </c>
      <c r="D1712" s="1">
        <v>45162</v>
      </c>
      <c r="E1712" s="2">
        <v>5188.8900000000003</v>
      </c>
      <c r="F1712">
        <v>293</v>
      </c>
      <c r="G1712" s="2">
        <f t="shared" si="104"/>
        <v>17.709522184300344</v>
      </c>
      <c r="H1712" t="str">
        <f t="shared" si="105"/>
        <v>August</v>
      </c>
      <c r="I1712" t="str">
        <f t="shared" si="106"/>
        <v>Q3</v>
      </c>
      <c r="J1712" t="str">
        <f t="shared" si="107"/>
        <v>Large</v>
      </c>
    </row>
    <row r="1713" spans="1:10" x14ac:dyDescent="0.25">
      <c r="A1713" t="s">
        <v>53</v>
      </c>
      <c r="B1713" t="s">
        <v>21</v>
      </c>
      <c r="C1713" t="s">
        <v>42</v>
      </c>
      <c r="D1713" s="1">
        <v>44944</v>
      </c>
      <c r="E1713" s="2">
        <v>5766.51</v>
      </c>
      <c r="F1713">
        <v>21</v>
      </c>
      <c r="G1713" s="2">
        <f t="shared" si="104"/>
        <v>274.59571428571428</v>
      </c>
      <c r="H1713" t="str">
        <f t="shared" si="105"/>
        <v>January</v>
      </c>
      <c r="I1713" t="str">
        <f t="shared" si="106"/>
        <v>Q1</v>
      </c>
      <c r="J1713" t="str">
        <f t="shared" si="107"/>
        <v>Large</v>
      </c>
    </row>
    <row r="1714" spans="1:10" x14ac:dyDescent="0.25">
      <c r="A1714" t="s">
        <v>31</v>
      </c>
      <c r="B1714" t="s">
        <v>10</v>
      </c>
      <c r="C1714" t="s">
        <v>11</v>
      </c>
      <c r="D1714" s="1">
        <v>45015</v>
      </c>
      <c r="E1714" s="2">
        <v>1036.77</v>
      </c>
      <c r="F1714">
        <v>82</v>
      </c>
      <c r="G1714" s="2">
        <f t="shared" si="104"/>
        <v>12.643536585365853</v>
      </c>
      <c r="H1714" t="str">
        <f t="shared" si="105"/>
        <v>March</v>
      </c>
      <c r="I1714" t="str">
        <f t="shared" si="106"/>
        <v>Q1</v>
      </c>
      <c r="J1714" t="str">
        <f t="shared" si="107"/>
        <v>Large</v>
      </c>
    </row>
    <row r="1715" spans="1:10" x14ac:dyDescent="0.25">
      <c r="A1715" t="s">
        <v>55</v>
      </c>
      <c r="B1715" t="s">
        <v>15</v>
      </c>
      <c r="C1715" t="s">
        <v>57</v>
      </c>
      <c r="D1715" s="1">
        <v>44943</v>
      </c>
      <c r="E1715" s="2">
        <v>10033.52</v>
      </c>
      <c r="F1715">
        <v>163</v>
      </c>
      <c r="G1715" s="2">
        <f t="shared" si="104"/>
        <v>61.555337423312885</v>
      </c>
      <c r="H1715" t="str">
        <f t="shared" si="105"/>
        <v>January</v>
      </c>
      <c r="I1715" t="str">
        <f t="shared" si="106"/>
        <v>Q1</v>
      </c>
      <c r="J1715" t="str">
        <f t="shared" si="107"/>
        <v>Large</v>
      </c>
    </row>
    <row r="1716" spans="1:10" x14ac:dyDescent="0.25">
      <c r="A1716" t="s">
        <v>49</v>
      </c>
      <c r="B1716" t="s">
        <v>26</v>
      </c>
      <c r="C1716" t="s">
        <v>42</v>
      </c>
      <c r="D1716" s="1">
        <v>44974</v>
      </c>
      <c r="E1716" s="2">
        <v>5220.6899999999996</v>
      </c>
      <c r="F1716">
        <v>154</v>
      </c>
      <c r="G1716" s="2">
        <f t="shared" si="104"/>
        <v>33.900584415584412</v>
      </c>
      <c r="H1716" t="str">
        <f t="shared" si="105"/>
        <v>February</v>
      </c>
      <c r="I1716" t="str">
        <f t="shared" si="106"/>
        <v>Q1</v>
      </c>
      <c r="J1716" t="str">
        <f t="shared" si="107"/>
        <v>Large</v>
      </c>
    </row>
    <row r="1717" spans="1:10" x14ac:dyDescent="0.25">
      <c r="A1717" t="s">
        <v>49</v>
      </c>
      <c r="B1717" t="s">
        <v>29</v>
      </c>
      <c r="C1717" t="s">
        <v>13</v>
      </c>
      <c r="D1717" s="1">
        <v>45024</v>
      </c>
      <c r="E1717" s="2">
        <v>8106.62</v>
      </c>
      <c r="F1717">
        <v>47</v>
      </c>
      <c r="G1717" s="2">
        <f t="shared" si="104"/>
        <v>172.48127659574467</v>
      </c>
      <c r="H1717" t="str">
        <f t="shared" si="105"/>
        <v>April</v>
      </c>
      <c r="I1717" t="str">
        <f t="shared" si="106"/>
        <v>Q2</v>
      </c>
      <c r="J1717" t="str">
        <f t="shared" si="107"/>
        <v>Large</v>
      </c>
    </row>
    <row r="1718" spans="1:10" x14ac:dyDescent="0.25">
      <c r="A1718" t="s">
        <v>12</v>
      </c>
      <c r="B1718" t="s">
        <v>29</v>
      </c>
      <c r="C1718" t="s">
        <v>32</v>
      </c>
      <c r="D1718" s="1">
        <v>45113</v>
      </c>
      <c r="E1718" s="2">
        <v>3934.09</v>
      </c>
      <c r="F1718">
        <v>86</v>
      </c>
      <c r="G1718" s="2">
        <f t="shared" si="104"/>
        <v>45.745232558139534</v>
      </c>
      <c r="H1718" t="str">
        <f t="shared" si="105"/>
        <v>July</v>
      </c>
      <c r="I1718" t="str">
        <f t="shared" si="106"/>
        <v>Q3</v>
      </c>
      <c r="J1718" t="str">
        <f t="shared" si="107"/>
        <v>Large</v>
      </c>
    </row>
    <row r="1719" spans="1:10" x14ac:dyDescent="0.25">
      <c r="A1719" t="s">
        <v>40</v>
      </c>
      <c r="B1719" t="s">
        <v>10</v>
      </c>
      <c r="C1719" t="s">
        <v>42</v>
      </c>
      <c r="D1719" s="1">
        <v>45020</v>
      </c>
      <c r="E1719" s="2">
        <v>4508.93</v>
      </c>
      <c r="F1719">
        <v>231</v>
      </c>
      <c r="G1719" s="2">
        <f t="shared" si="104"/>
        <v>19.519177489177491</v>
      </c>
      <c r="H1719" t="str">
        <f t="shared" si="105"/>
        <v>April</v>
      </c>
      <c r="I1719" t="str">
        <f t="shared" si="106"/>
        <v>Q2</v>
      </c>
      <c r="J1719" t="str">
        <f t="shared" si="107"/>
        <v>Large</v>
      </c>
    </row>
    <row r="1720" spans="1:10" x14ac:dyDescent="0.25">
      <c r="A1720" t="s">
        <v>14</v>
      </c>
      <c r="B1720" t="s">
        <v>21</v>
      </c>
      <c r="C1720" t="s">
        <v>35</v>
      </c>
      <c r="D1720" s="1">
        <v>44987</v>
      </c>
      <c r="E1720" s="2">
        <v>1921.57</v>
      </c>
      <c r="F1720">
        <v>226</v>
      </c>
      <c r="G1720" s="2">
        <f t="shared" si="104"/>
        <v>8.5025221238938045</v>
      </c>
      <c r="H1720" t="str">
        <f t="shared" si="105"/>
        <v>March</v>
      </c>
      <c r="I1720" t="str">
        <f t="shared" si="106"/>
        <v>Q1</v>
      </c>
      <c r="J1720" t="str">
        <f t="shared" si="107"/>
        <v>Large</v>
      </c>
    </row>
    <row r="1721" spans="1:10" x14ac:dyDescent="0.25">
      <c r="A1721" t="s">
        <v>12</v>
      </c>
      <c r="B1721" t="s">
        <v>21</v>
      </c>
      <c r="C1721" t="s">
        <v>51</v>
      </c>
      <c r="D1721" s="1">
        <v>45147</v>
      </c>
      <c r="E1721" s="2">
        <v>1161.31</v>
      </c>
      <c r="F1721">
        <v>181</v>
      </c>
      <c r="G1721" s="2">
        <f t="shared" si="104"/>
        <v>6.416077348066298</v>
      </c>
      <c r="H1721" t="str">
        <f t="shared" si="105"/>
        <v>August</v>
      </c>
      <c r="I1721" t="str">
        <f t="shared" si="106"/>
        <v>Q3</v>
      </c>
      <c r="J1721" t="str">
        <f t="shared" si="107"/>
        <v>Large</v>
      </c>
    </row>
    <row r="1722" spans="1:10" x14ac:dyDescent="0.25">
      <c r="A1722" t="s">
        <v>43</v>
      </c>
      <c r="B1722" t="s">
        <v>15</v>
      </c>
      <c r="C1722" t="s">
        <v>37</v>
      </c>
      <c r="D1722" s="1">
        <v>45086</v>
      </c>
      <c r="E1722" s="2">
        <v>11389.29</v>
      </c>
      <c r="F1722">
        <v>282</v>
      </c>
      <c r="G1722" s="2">
        <f t="shared" si="104"/>
        <v>40.387553191489367</v>
      </c>
      <c r="H1722" t="str">
        <f t="shared" si="105"/>
        <v>June</v>
      </c>
      <c r="I1722" t="str">
        <f t="shared" si="106"/>
        <v>Q2</v>
      </c>
      <c r="J1722" t="str">
        <f t="shared" si="107"/>
        <v>Large</v>
      </c>
    </row>
    <row r="1723" spans="1:10" x14ac:dyDescent="0.25">
      <c r="A1723" t="s">
        <v>55</v>
      </c>
      <c r="B1723" t="s">
        <v>7</v>
      </c>
      <c r="C1723" t="s">
        <v>57</v>
      </c>
      <c r="D1723" s="1">
        <v>45079</v>
      </c>
      <c r="E1723" s="2">
        <v>3032.3</v>
      </c>
      <c r="F1723">
        <v>313</v>
      </c>
      <c r="G1723" s="2">
        <f t="shared" si="104"/>
        <v>9.6878594249201289</v>
      </c>
      <c r="H1723" t="str">
        <f t="shared" si="105"/>
        <v>June</v>
      </c>
      <c r="I1723" t="str">
        <f t="shared" si="106"/>
        <v>Q2</v>
      </c>
      <c r="J1723" t="str">
        <f t="shared" si="107"/>
        <v>Large</v>
      </c>
    </row>
    <row r="1724" spans="1:10" x14ac:dyDescent="0.25">
      <c r="A1724" t="s">
        <v>9</v>
      </c>
      <c r="B1724" t="s">
        <v>26</v>
      </c>
      <c r="C1724" t="s">
        <v>42</v>
      </c>
      <c r="D1724" s="1">
        <v>45112</v>
      </c>
      <c r="E1724" s="2">
        <v>6871.55</v>
      </c>
      <c r="F1724">
        <v>238</v>
      </c>
      <c r="G1724" s="2">
        <f t="shared" si="104"/>
        <v>28.872058823529411</v>
      </c>
      <c r="H1724" t="str">
        <f t="shared" si="105"/>
        <v>July</v>
      </c>
      <c r="I1724" t="str">
        <f t="shared" si="106"/>
        <v>Q3</v>
      </c>
      <c r="J1724" t="str">
        <f t="shared" si="107"/>
        <v>Large</v>
      </c>
    </row>
    <row r="1725" spans="1:10" x14ac:dyDescent="0.25">
      <c r="A1725" t="s">
        <v>48</v>
      </c>
      <c r="B1725" t="s">
        <v>29</v>
      </c>
      <c r="C1725" t="s">
        <v>30</v>
      </c>
      <c r="D1725" s="1">
        <v>45149</v>
      </c>
      <c r="E1725" s="2">
        <v>339.99</v>
      </c>
      <c r="F1725">
        <v>124</v>
      </c>
      <c r="G1725" s="2">
        <f t="shared" si="104"/>
        <v>2.7418548387096773</v>
      </c>
      <c r="H1725" t="str">
        <f t="shared" si="105"/>
        <v>August</v>
      </c>
      <c r="I1725" t="str">
        <f t="shared" si="106"/>
        <v>Q3</v>
      </c>
      <c r="J1725" t="str">
        <f t="shared" si="107"/>
        <v>Small</v>
      </c>
    </row>
    <row r="1726" spans="1:10" x14ac:dyDescent="0.25">
      <c r="A1726" t="s">
        <v>53</v>
      </c>
      <c r="B1726" t="s">
        <v>10</v>
      </c>
      <c r="C1726" t="s">
        <v>52</v>
      </c>
      <c r="D1726" s="1">
        <v>44968</v>
      </c>
      <c r="E1726" s="2">
        <v>3720.22</v>
      </c>
      <c r="F1726">
        <v>141</v>
      </c>
      <c r="G1726" s="2">
        <f t="shared" si="104"/>
        <v>26.384539007092197</v>
      </c>
      <c r="H1726" t="str">
        <f t="shared" si="105"/>
        <v>February</v>
      </c>
      <c r="I1726" t="str">
        <f t="shared" si="106"/>
        <v>Q1</v>
      </c>
      <c r="J1726" t="str">
        <f t="shared" si="107"/>
        <v>Large</v>
      </c>
    </row>
    <row r="1727" spans="1:10" x14ac:dyDescent="0.25">
      <c r="A1727" t="s">
        <v>49</v>
      </c>
      <c r="B1727" t="s">
        <v>21</v>
      </c>
      <c r="C1727" t="s">
        <v>39</v>
      </c>
      <c r="D1727" s="1">
        <v>45149</v>
      </c>
      <c r="E1727" s="2">
        <v>731.19</v>
      </c>
      <c r="F1727">
        <v>69</v>
      </c>
      <c r="G1727" s="2">
        <f t="shared" si="104"/>
        <v>10.596956521739131</v>
      </c>
      <c r="H1727" t="str">
        <f t="shared" si="105"/>
        <v>August</v>
      </c>
      <c r="I1727" t="str">
        <f t="shared" si="106"/>
        <v>Q3</v>
      </c>
      <c r="J1727" t="str">
        <f t="shared" si="107"/>
        <v>Large</v>
      </c>
    </row>
    <row r="1728" spans="1:10" x14ac:dyDescent="0.25">
      <c r="A1728" t="s">
        <v>36</v>
      </c>
      <c r="B1728" t="s">
        <v>15</v>
      </c>
      <c r="C1728" t="s">
        <v>32</v>
      </c>
      <c r="D1728" s="1">
        <v>45058</v>
      </c>
      <c r="E1728" s="2">
        <v>13288.65</v>
      </c>
      <c r="F1728">
        <v>112</v>
      </c>
      <c r="G1728" s="2">
        <f t="shared" si="104"/>
        <v>118.64866071428571</v>
      </c>
      <c r="H1728" t="str">
        <f t="shared" si="105"/>
        <v>May</v>
      </c>
      <c r="I1728" t="str">
        <f t="shared" si="106"/>
        <v>Q2</v>
      </c>
      <c r="J1728" t="str">
        <f t="shared" si="107"/>
        <v>Large</v>
      </c>
    </row>
    <row r="1729" spans="1:10" x14ac:dyDescent="0.25">
      <c r="A1729" t="s">
        <v>46</v>
      </c>
      <c r="B1729" t="s">
        <v>26</v>
      </c>
      <c r="C1729" t="s">
        <v>37</v>
      </c>
      <c r="D1729" s="1">
        <v>45122</v>
      </c>
      <c r="E1729" s="2">
        <v>5332.79</v>
      </c>
      <c r="F1729">
        <v>101</v>
      </c>
      <c r="G1729" s="2">
        <f t="shared" si="104"/>
        <v>52.799900990099012</v>
      </c>
      <c r="H1729" t="str">
        <f t="shared" si="105"/>
        <v>July</v>
      </c>
      <c r="I1729" t="str">
        <f t="shared" si="106"/>
        <v>Q3</v>
      </c>
      <c r="J1729" t="str">
        <f t="shared" si="107"/>
        <v>Large</v>
      </c>
    </row>
    <row r="1730" spans="1:10" x14ac:dyDescent="0.25">
      <c r="A1730" t="s">
        <v>48</v>
      </c>
      <c r="B1730" t="s">
        <v>10</v>
      </c>
      <c r="C1730" t="s">
        <v>35</v>
      </c>
      <c r="D1730" s="1">
        <v>44944</v>
      </c>
      <c r="E1730" s="2">
        <v>3971.78</v>
      </c>
      <c r="F1730">
        <v>131</v>
      </c>
      <c r="G1730" s="2">
        <f t="shared" si="104"/>
        <v>30.318931297709923</v>
      </c>
      <c r="H1730" t="str">
        <f t="shared" si="105"/>
        <v>January</v>
      </c>
      <c r="I1730" t="str">
        <f t="shared" si="106"/>
        <v>Q1</v>
      </c>
      <c r="J1730" t="str">
        <f t="shared" si="107"/>
        <v>Large</v>
      </c>
    </row>
    <row r="1731" spans="1:10" x14ac:dyDescent="0.25">
      <c r="A1731" t="s">
        <v>53</v>
      </c>
      <c r="B1731" t="s">
        <v>7</v>
      </c>
      <c r="C1731" t="s">
        <v>42</v>
      </c>
      <c r="D1731" s="1">
        <v>44931</v>
      </c>
      <c r="E1731" s="2">
        <v>9538.2099999999991</v>
      </c>
      <c r="F1731">
        <v>198</v>
      </c>
      <c r="G1731" s="2">
        <f t="shared" ref="G1731:G1794" si="108">E1731/F1731</f>
        <v>48.172777777777775</v>
      </c>
      <c r="H1731" t="str">
        <f t="shared" ref="H1731:H1794" si="109">TEXT(D1731, "mmmm")</f>
        <v>January</v>
      </c>
      <c r="I1731" t="str">
        <f t="shared" ref="I1731:I1794" si="110">"Q" &amp; ROUNDUP(MONTH(D1731)/3,0)</f>
        <v>Q1</v>
      </c>
      <c r="J1731" t="str">
        <f t="shared" ref="J1731:J1794" si="111">IF(E1731 &gt; 500, "Large", "Small")</f>
        <v>Large</v>
      </c>
    </row>
    <row r="1732" spans="1:10" x14ac:dyDescent="0.25">
      <c r="A1732" t="s">
        <v>38</v>
      </c>
      <c r="B1732" t="s">
        <v>15</v>
      </c>
      <c r="C1732" t="s">
        <v>22</v>
      </c>
      <c r="D1732" s="1">
        <v>45106</v>
      </c>
      <c r="E1732" s="2">
        <v>547.85</v>
      </c>
      <c r="F1732">
        <v>221</v>
      </c>
      <c r="G1732" s="2">
        <f t="shared" si="108"/>
        <v>2.4789592760180996</v>
      </c>
      <c r="H1732" t="str">
        <f t="shared" si="109"/>
        <v>June</v>
      </c>
      <c r="I1732" t="str">
        <f t="shared" si="110"/>
        <v>Q2</v>
      </c>
      <c r="J1732" t="str">
        <f t="shared" si="111"/>
        <v>Large</v>
      </c>
    </row>
    <row r="1733" spans="1:10" x14ac:dyDescent="0.25">
      <c r="A1733" t="s">
        <v>23</v>
      </c>
      <c r="B1733" t="s">
        <v>29</v>
      </c>
      <c r="C1733" t="s">
        <v>51</v>
      </c>
      <c r="D1733" s="1">
        <v>45091</v>
      </c>
      <c r="E1733" s="2">
        <v>2994.76</v>
      </c>
      <c r="F1733">
        <v>47</v>
      </c>
      <c r="G1733" s="2">
        <f t="shared" si="108"/>
        <v>63.718297872340429</v>
      </c>
      <c r="H1733" t="str">
        <f t="shared" si="109"/>
        <v>June</v>
      </c>
      <c r="I1733" t="str">
        <f t="shared" si="110"/>
        <v>Q2</v>
      </c>
      <c r="J1733" t="str">
        <f t="shared" si="111"/>
        <v>Large</v>
      </c>
    </row>
    <row r="1734" spans="1:10" x14ac:dyDescent="0.25">
      <c r="A1734" t="s">
        <v>19</v>
      </c>
      <c r="B1734" t="s">
        <v>10</v>
      </c>
      <c r="C1734" t="s">
        <v>8</v>
      </c>
      <c r="D1734" s="1">
        <v>45146</v>
      </c>
      <c r="E1734" s="2">
        <v>4451.38</v>
      </c>
      <c r="F1734">
        <v>71</v>
      </c>
      <c r="G1734" s="2">
        <f t="shared" si="108"/>
        <v>62.695492957746481</v>
      </c>
      <c r="H1734" t="str">
        <f t="shared" si="109"/>
        <v>August</v>
      </c>
      <c r="I1734" t="str">
        <f t="shared" si="110"/>
        <v>Q3</v>
      </c>
      <c r="J1734" t="str">
        <f t="shared" si="111"/>
        <v>Large</v>
      </c>
    </row>
    <row r="1735" spans="1:10" x14ac:dyDescent="0.25">
      <c r="A1735" t="s">
        <v>43</v>
      </c>
      <c r="B1735" t="s">
        <v>10</v>
      </c>
      <c r="C1735" t="s">
        <v>8</v>
      </c>
      <c r="D1735" s="1">
        <v>45008</v>
      </c>
      <c r="E1735" s="2">
        <v>14691.77</v>
      </c>
      <c r="F1735">
        <v>143</v>
      </c>
      <c r="G1735" s="2">
        <f t="shared" si="108"/>
        <v>102.73965034965035</v>
      </c>
      <c r="H1735" t="str">
        <f t="shared" si="109"/>
        <v>March</v>
      </c>
      <c r="I1735" t="str">
        <f t="shared" si="110"/>
        <v>Q1</v>
      </c>
      <c r="J1735" t="str">
        <f t="shared" si="111"/>
        <v>Large</v>
      </c>
    </row>
    <row r="1736" spans="1:10" x14ac:dyDescent="0.25">
      <c r="A1736" t="s">
        <v>25</v>
      </c>
      <c r="B1736" t="s">
        <v>10</v>
      </c>
      <c r="C1736" t="s">
        <v>57</v>
      </c>
      <c r="D1736" s="1">
        <v>44930</v>
      </c>
      <c r="E1736" s="2">
        <v>7042.98</v>
      </c>
      <c r="F1736">
        <v>107</v>
      </c>
      <c r="G1736" s="2">
        <f t="shared" si="108"/>
        <v>65.822242990654203</v>
      </c>
      <c r="H1736" t="str">
        <f t="shared" si="109"/>
        <v>January</v>
      </c>
      <c r="I1736" t="str">
        <f t="shared" si="110"/>
        <v>Q1</v>
      </c>
      <c r="J1736" t="str">
        <f t="shared" si="111"/>
        <v>Large</v>
      </c>
    </row>
    <row r="1737" spans="1:10" x14ac:dyDescent="0.25">
      <c r="A1737" t="s">
        <v>23</v>
      </c>
      <c r="B1737" t="s">
        <v>10</v>
      </c>
      <c r="C1737" t="s">
        <v>37</v>
      </c>
      <c r="D1737" s="1">
        <v>44979</v>
      </c>
      <c r="E1737" s="2">
        <v>15583</v>
      </c>
      <c r="F1737">
        <v>248</v>
      </c>
      <c r="G1737" s="2">
        <f t="shared" si="108"/>
        <v>62.83467741935484</v>
      </c>
      <c r="H1737" t="str">
        <f t="shared" si="109"/>
        <v>February</v>
      </c>
      <c r="I1737" t="str">
        <f t="shared" si="110"/>
        <v>Q1</v>
      </c>
      <c r="J1737" t="str">
        <f t="shared" si="111"/>
        <v>Large</v>
      </c>
    </row>
    <row r="1738" spans="1:10" x14ac:dyDescent="0.25">
      <c r="A1738" t="s">
        <v>34</v>
      </c>
      <c r="B1738" t="s">
        <v>7</v>
      </c>
      <c r="C1738" t="s">
        <v>39</v>
      </c>
      <c r="D1738" s="1">
        <v>44974</v>
      </c>
      <c r="E1738" s="2">
        <v>9059.82</v>
      </c>
      <c r="F1738">
        <v>268</v>
      </c>
      <c r="G1738" s="2">
        <f t="shared" si="108"/>
        <v>33.805298507462687</v>
      </c>
      <c r="H1738" t="str">
        <f t="shared" si="109"/>
        <v>February</v>
      </c>
      <c r="I1738" t="str">
        <f t="shared" si="110"/>
        <v>Q1</v>
      </c>
      <c r="J1738" t="str">
        <f t="shared" si="111"/>
        <v>Large</v>
      </c>
    </row>
    <row r="1739" spans="1:10" x14ac:dyDescent="0.25">
      <c r="A1739" t="s">
        <v>25</v>
      </c>
      <c r="B1739" t="s">
        <v>26</v>
      </c>
      <c r="C1739" t="s">
        <v>47</v>
      </c>
      <c r="D1739" s="1">
        <v>44960</v>
      </c>
      <c r="E1739" s="2">
        <v>430.59</v>
      </c>
      <c r="F1739">
        <v>85</v>
      </c>
      <c r="G1739" s="2">
        <f t="shared" si="108"/>
        <v>5.0657647058823523</v>
      </c>
      <c r="H1739" t="str">
        <f t="shared" si="109"/>
        <v>February</v>
      </c>
      <c r="I1739" t="str">
        <f t="shared" si="110"/>
        <v>Q1</v>
      </c>
      <c r="J1739" t="str">
        <f t="shared" si="111"/>
        <v>Small</v>
      </c>
    </row>
    <row r="1740" spans="1:10" x14ac:dyDescent="0.25">
      <c r="A1740" t="s">
        <v>9</v>
      </c>
      <c r="B1740" t="s">
        <v>29</v>
      </c>
      <c r="C1740" t="s">
        <v>51</v>
      </c>
      <c r="D1740" s="1">
        <v>45002</v>
      </c>
      <c r="E1740" s="2">
        <v>1264.25</v>
      </c>
      <c r="F1740">
        <v>137</v>
      </c>
      <c r="G1740" s="2">
        <f t="shared" si="108"/>
        <v>9.2281021897810227</v>
      </c>
      <c r="H1740" t="str">
        <f t="shared" si="109"/>
        <v>March</v>
      </c>
      <c r="I1740" t="str">
        <f t="shared" si="110"/>
        <v>Q1</v>
      </c>
      <c r="J1740" t="str">
        <f t="shared" si="111"/>
        <v>Large</v>
      </c>
    </row>
    <row r="1741" spans="1:10" x14ac:dyDescent="0.25">
      <c r="A1741" t="s">
        <v>46</v>
      </c>
      <c r="B1741" t="s">
        <v>15</v>
      </c>
      <c r="C1741" t="s">
        <v>56</v>
      </c>
      <c r="D1741" s="1">
        <v>44951</v>
      </c>
      <c r="E1741" s="2">
        <v>2995.47</v>
      </c>
      <c r="F1741">
        <v>156</v>
      </c>
      <c r="G1741" s="2">
        <f t="shared" si="108"/>
        <v>19.201730769230767</v>
      </c>
      <c r="H1741" t="str">
        <f t="shared" si="109"/>
        <v>January</v>
      </c>
      <c r="I1741" t="str">
        <f t="shared" si="110"/>
        <v>Q1</v>
      </c>
      <c r="J1741" t="str">
        <f t="shared" si="111"/>
        <v>Large</v>
      </c>
    </row>
    <row r="1742" spans="1:10" x14ac:dyDescent="0.25">
      <c r="A1742" t="s">
        <v>23</v>
      </c>
      <c r="B1742" t="s">
        <v>15</v>
      </c>
      <c r="C1742" t="s">
        <v>37</v>
      </c>
      <c r="D1742" s="1">
        <v>45134</v>
      </c>
      <c r="E1742" s="2">
        <v>2117.8200000000002</v>
      </c>
      <c r="F1742">
        <v>56</v>
      </c>
      <c r="G1742" s="2">
        <f t="shared" si="108"/>
        <v>37.818214285714291</v>
      </c>
      <c r="H1742" t="str">
        <f t="shared" si="109"/>
        <v>July</v>
      </c>
      <c r="I1742" t="str">
        <f t="shared" si="110"/>
        <v>Q3</v>
      </c>
      <c r="J1742" t="str">
        <f t="shared" si="111"/>
        <v>Large</v>
      </c>
    </row>
    <row r="1743" spans="1:10" x14ac:dyDescent="0.25">
      <c r="A1743" t="s">
        <v>40</v>
      </c>
      <c r="B1743" t="s">
        <v>15</v>
      </c>
      <c r="C1743" t="s">
        <v>42</v>
      </c>
      <c r="D1743" s="1">
        <v>44954</v>
      </c>
      <c r="E1743" s="2">
        <v>8081.79</v>
      </c>
      <c r="F1743">
        <v>54</v>
      </c>
      <c r="G1743" s="2">
        <f t="shared" si="108"/>
        <v>149.66277777777779</v>
      </c>
      <c r="H1743" t="str">
        <f t="shared" si="109"/>
        <v>January</v>
      </c>
      <c r="I1743" t="str">
        <f t="shared" si="110"/>
        <v>Q1</v>
      </c>
      <c r="J1743" t="str">
        <f t="shared" si="111"/>
        <v>Large</v>
      </c>
    </row>
    <row r="1744" spans="1:10" x14ac:dyDescent="0.25">
      <c r="A1744" t="s">
        <v>53</v>
      </c>
      <c r="B1744" t="s">
        <v>15</v>
      </c>
      <c r="C1744" t="s">
        <v>35</v>
      </c>
      <c r="D1744" s="1">
        <v>45112</v>
      </c>
      <c r="E1744" s="2">
        <v>11542.54</v>
      </c>
      <c r="F1744">
        <v>49</v>
      </c>
      <c r="G1744" s="2">
        <f t="shared" si="108"/>
        <v>235.56204081632654</v>
      </c>
      <c r="H1744" t="str">
        <f t="shared" si="109"/>
        <v>July</v>
      </c>
      <c r="I1744" t="str">
        <f t="shared" si="110"/>
        <v>Q3</v>
      </c>
      <c r="J1744" t="str">
        <f t="shared" si="111"/>
        <v>Large</v>
      </c>
    </row>
    <row r="1745" spans="1:10" x14ac:dyDescent="0.25">
      <c r="A1745" t="s">
        <v>9</v>
      </c>
      <c r="B1745" t="s">
        <v>10</v>
      </c>
      <c r="C1745" t="s">
        <v>44</v>
      </c>
      <c r="D1745" s="1">
        <v>45000</v>
      </c>
      <c r="E1745" s="2">
        <v>2183.6799999999998</v>
      </c>
      <c r="F1745">
        <v>46</v>
      </c>
      <c r="G1745" s="2">
        <f t="shared" si="108"/>
        <v>47.471304347826084</v>
      </c>
      <c r="H1745" t="str">
        <f t="shared" si="109"/>
        <v>March</v>
      </c>
      <c r="I1745" t="str">
        <f t="shared" si="110"/>
        <v>Q1</v>
      </c>
      <c r="J1745" t="str">
        <f t="shared" si="111"/>
        <v>Large</v>
      </c>
    </row>
    <row r="1746" spans="1:10" x14ac:dyDescent="0.25">
      <c r="A1746" t="s">
        <v>19</v>
      </c>
      <c r="B1746" t="s">
        <v>29</v>
      </c>
      <c r="C1746" t="s">
        <v>20</v>
      </c>
      <c r="D1746" s="1">
        <v>45142</v>
      </c>
      <c r="E1746" s="2">
        <v>3125.34</v>
      </c>
      <c r="F1746">
        <v>191</v>
      </c>
      <c r="G1746" s="2">
        <f t="shared" si="108"/>
        <v>16.36303664921466</v>
      </c>
      <c r="H1746" t="str">
        <f t="shared" si="109"/>
        <v>August</v>
      </c>
      <c r="I1746" t="str">
        <f t="shared" si="110"/>
        <v>Q3</v>
      </c>
      <c r="J1746" t="str">
        <f t="shared" si="111"/>
        <v>Large</v>
      </c>
    </row>
    <row r="1747" spans="1:10" x14ac:dyDescent="0.25">
      <c r="A1747" t="s">
        <v>14</v>
      </c>
      <c r="B1747" t="s">
        <v>26</v>
      </c>
      <c r="C1747" t="s">
        <v>42</v>
      </c>
      <c r="D1747" s="1">
        <v>45104</v>
      </c>
      <c r="E1747" s="2">
        <v>4891.8599999999997</v>
      </c>
      <c r="F1747">
        <v>380</v>
      </c>
      <c r="G1747" s="2">
        <f t="shared" si="108"/>
        <v>12.873315789473683</v>
      </c>
      <c r="H1747" t="str">
        <f t="shared" si="109"/>
        <v>June</v>
      </c>
      <c r="I1747" t="str">
        <f t="shared" si="110"/>
        <v>Q2</v>
      </c>
      <c r="J1747" t="str">
        <f t="shared" si="111"/>
        <v>Large</v>
      </c>
    </row>
    <row r="1748" spans="1:10" x14ac:dyDescent="0.25">
      <c r="A1748" t="s">
        <v>14</v>
      </c>
      <c r="B1748" t="s">
        <v>29</v>
      </c>
      <c r="C1748" t="s">
        <v>20</v>
      </c>
      <c r="D1748" s="1">
        <v>45120</v>
      </c>
      <c r="E1748" s="2">
        <v>4881.32</v>
      </c>
      <c r="F1748">
        <v>183</v>
      </c>
      <c r="G1748" s="2">
        <f t="shared" si="108"/>
        <v>26.673879781420762</v>
      </c>
      <c r="H1748" t="str">
        <f t="shared" si="109"/>
        <v>July</v>
      </c>
      <c r="I1748" t="str">
        <f t="shared" si="110"/>
        <v>Q3</v>
      </c>
      <c r="J1748" t="str">
        <f t="shared" si="111"/>
        <v>Large</v>
      </c>
    </row>
    <row r="1749" spans="1:10" x14ac:dyDescent="0.25">
      <c r="A1749" t="s">
        <v>25</v>
      </c>
      <c r="B1749" t="s">
        <v>21</v>
      </c>
      <c r="C1749" t="s">
        <v>45</v>
      </c>
      <c r="D1749" s="1">
        <v>44981</v>
      </c>
      <c r="E1749" s="2">
        <v>5917.62</v>
      </c>
      <c r="F1749">
        <v>238</v>
      </c>
      <c r="G1749" s="2">
        <f t="shared" si="108"/>
        <v>24.863949579831932</v>
      </c>
      <c r="H1749" t="str">
        <f t="shared" si="109"/>
        <v>February</v>
      </c>
      <c r="I1749" t="str">
        <f t="shared" si="110"/>
        <v>Q1</v>
      </c>
      <c r="J1749" t="str">
        <f t="shared" si="111"/>
        <v>Large</v>
      </c>
    </row>
    <row r="1750" spans="1:10" x14ac:dyDescent="0.25">
      <c r="A1750" t="s">
        <v>31</v>
      </c>
      <c r="B1750" t="s">
        <v>21</v>
      </c>
      <c r="C1750" t="s">
        <v>11</v>
      </c>
      <c r="D1750" s="1">
        <v>45105</v>
      </c>
      <c r="E1750" s="2">
        <v>6312.53</v>
      </c>
      <c r="F1750">
        <v>60</v>
      </c>
      <c r="G1750" s="2">
        <f t="shared" si="108"/>
        <v>105.20883333333333</v>
      </c>
      <c r="H1750" t="str">
        <f t="shared" si="109"/>
        <v>June</v>
      </c>
      <c r="I1750" t="str">
        <f t="shared" si="110"/>
        <v>Q2</v>
      </c>
      <c r="J1750" t="str">
        <f t="shared" si="111"/>
        <v>Large</v>
      </c>
    </row>
    <row r="1751" spans="1:10" x14ac:dyDescent="0.25">
      <c r="A1751" t="s">
        <v>17</v>
      </c>
      <c r="B1751" t="s">
        <v>15</v>
      </c>
      <c r="C1751" t="s">
        <v>11</v>
      </c>
      <c r="D1751" s="1">
        <v>45107</v>
      </c>
      <c r="E1751" s="2">
        <v>7956.28</v>
      </c>
      <c r="F1751">
        <v>27</v>
      </c>
      <c r="G1751" s="2">
        <f t="shared" si="108"/>
        <v>294.67703703703705</v>
      </c>
      <c r="H1751" t="str">
        <f t="shared" si="109"/>
        <v>June</v>
      </c>
      <c r="I1751" t="str">
        <f t="shared" si="110"/>
        <v>Q2</v>
      </c>
      <c r="J1751" t="str">
        <f t="shared" si="111"/>
        <v>Large</v>
      </c>
    </row>
    <row r="1752" spans="1:10" x14ac:dyDescent="0.25">
      <c r="A1752" t="s">
        <v>38</v>
      </c>
      <c r="B1752" t="s">
        <v>29</v>
      </c>
      <c r="C1752" t="s">
        <v>52</v>
      </c>
      <c r="D1752" s="1">
        <v>45156</v>
      </c>
      <c r="E1752" s="2">
        <v>5895.88</v>
      </c>
      <c r="F1752">
        <v>7</v>
      </c>
      <c r="G1752" s="2">
        <f t="shared" si="108"/>
        <v>842.26857142857148</v>
      </c>
      <c r="H1752" t="str">
        <f t="shared" si="109"/>
        <v>August</v>
      </c>
      <c r="I1752" t="str">
        <f t="shared" si="110"/>
        <v>Q3</v>
      </c>
      <c r="J1752" t="str">
        <f t="shared" si="111"/>
        <v>Large</v>
      </c>
    </row>
    <row r="1753" spans="1:10" x14ac:dyDescent="0.25">
      <c r="A1753" t="s">
        <v>41</v>
      </c>
      <c r="B1753" t="s">
        <v>10</v>
      </c>
      <c r="C1753" t="s">
        <v>58</v>
      </c>
      <c r="D1753" s="1">
        <v>44950</v>
      </c>
      <c r="E1753" s="2">
        <v>13535.7</v>
      </c>
      <c r="F1753">
        <v>296</v>
      </c>
      <c r="G1753" s="2">
        <f t="shared" si="108"/>
        <v>45.72871621621622</v>
      </c>
      <c r="H1753" t="str">
        <f t="shared" si="109"/>
        <v>January</v>
      </c>
      <c r="I1753" t="str">
        <f t="shared" si="110"/>
        <v>Q1</v>
      </c>
      <c r="J1753" t="str">
        <f t="shared" si="111"/>
        <v>Large</v>
      </c>
    </row>
    <row r="1754" spans="1:10" x14ac:dyDescent="0.25">
      <c r="A1754" t="s">
        <v>34</v>
      </c>
      <c r="B1754" t="s">
        <v>26</v>
      </c>
      <c r="C1754" t="s">
        <v>44</v>
      </c>
      <c r="D1754" s="1">
        <v>44996</v>
      </c>
      <c r="E1754" s="2">
        <v>5639.9</v>
      </c>
      <c r="F1754">
        <v>129</v>
      </c>
      <c r="G1754" s="2">
        <f t="shared" si="108"/>
        <v>43.720155038759685</v>
      </c>
      <c r="H1754" t="str">
        <f t="shared" si="109"/>
        <v>March</v>
      </c>
      <c r="I1754" t="str">
        <f t="shared" si="110"/>
        <v>Q1</v>
      </c>
      <c r="J1754" t="str">
        <f t="shared" si="111"/>
        <v>Large</v>
      </c>
    </row>
    <row r="1755" spans="1:10" x14ac:dyDescent="0.25">
      <c r="A1755" t="s">
        <v>55</v>
      </c>
      <c r="B1755" t="s">
        <v>21</v>
      </c>
      <c r="C1755" t="s">
        <v>20</v>
      </c>
      <c r="D1755" s="1">
        <v>45100</v>
      </c>
      <c r="E1755" s="2">
        <v>5813.44</v>
      </c>
      <c r="F1755">
        <v>356</v>
      </c>
      <c r="G1755" s="2">
        <f t="shared" si="108"/>
        <v>16.329887640449439</v>
      </c>
      <c r="H1755" t="str">
        <f t="shared" si="109"/>
        <v>June</v>
      </c>
      <c r="I1755" t="str">
        <f t="shared" si="110"/>
        <v>Q2</v>
      </c>
      <c r="J1755" t="str">
        <f t="shared" si="111"/>
        <v>Large</v>
      </c>
    </row>
    <row r="1756" spans="1:10" x14ac:dyDescent="0.25">
      <c r="A1756" t="s">
        <v>40</v>
      </c>
      <c r="B1756" t="s">
        <v>10</v>
      </c>
      <c r="C1756" t="s">
        <v>39</v>
      </c>
      <c r="D1756" s="1">
        <v>45160</v>
      </c>
      <c r="E1756" s="2">
        <v>2514.8200000000002</v>
      </c>
      <c r="F1756">
        <v>32</v>
      </c>
      <c r="G1756" s="2">
        <f t="shared" si="108"/>
        <v>78.588125000000005</v>
      </c>
      <c r="H1756" t="str">
        <f t="shared" si="109"/>
        <v>August</v>
      </c>
      <c r="I1756" t="str">
        <f t="shared" si="110"/>
        <v>Q3</v>
      </c>
      <c r="J1756" t="str">
        <f t="shared" si="111"/>
        <v>Large</v>
      </c>
    </row>
    <row r="1757" spans="1:10" x14ac:dyDescent="0.25">
      <c r="A1757" t="s">
        <v>19</v>
      </c>
      <c r="B1757" t="s">
        <v>29</v>
      </c>
      <c r="C1757" t="s">
        <v>22</v>
      </c>
      <c r="D1757" s="1">
        <v>44930</v>
      </c>
      <c r="E1757" s="2">
        <v>3044.01</v>
      </c>
      <c r="F1757">
        <v>22</v>
      </c>
      <c r="G1757" s="2">
        <f t="shared" si="108"/>
        <v>138.36409090909092</v>
      </c>
      <c r="H1757" t="str">
        <f t="shared" si="109"/>
        <v>January</v>
      </c>
      <c r="I1757" t="str">
        <f t="shared" si="110"/>
        <v>Q1</v>
      </c>
      <c r="J1757" t="str">
        <f t="shared" si="111"/>
        <v>Large</v>
      </c>
    </row>
    <row r="1758" spans="1:10" x14ac:dyDescent="0.25">
      <c r="A1758" t="s">
        <v>38</v>
      </c>
      <c r="B1758" t="s">
        <v>10</v>
      </c>
      <c r="C1758" t="s">
        <v>37</v>
      </c>
      <c r="D1758" s="1">
        <v>45021</v>
      </c>
      <c r="E1758" s="2">
        <v>3902.04</v>
      </c>
      <c r="F1758">
        <v>214</v>
      </c>
      <c r="G1758" s="2">
        <f t="shared" si="108"/>
        <v>18.233831775700935</v>
      </c>
      <c r="H1758" t="str">
        <f t="shared" si="109"/>
        <v>April</v>
      </c>
      <c r="I1758" t="str">
        <f t="shared" si="110"/>
        <v>Q2</v>
      </c>
      <c r="J1758" t="str">
        <f t="shared" si="111"/>
        <v>Large</v>
      </c>
    </row>
    <row r="1759" spans="1:10" x14ac:dyDescent="0.25">
      <c r="A1759" t="s">
        <v>34</v>
      </c>
      <c r="B1759" t="s">
        <v>10</v>
      </c>
      <c r="C1759" t="s">
        <v>37</v>
      </c>
      <c r="D1759" s="1">
        <v>45031</v>
      </c>
      <c r="E1759" s="2">
        <v>1928.74</v>
      </c>
      <c r="F1759">
        <v>354</v>
      </c>
      <c r="G1759" s="2">
        <f t="shared" si="108"/>
        <v>5.4484180790960455</v>
      </c>
      <c r="H1759" t="str">
        <f t="shared" si="109"/>
        <v>April</v>
      </c>
      <c r="I1759" t="str">
        <f t="shared" si="110"/>
        <v>Q2</v>
      </c>
      <c r="J1759" t="str">
        <f t="shared" si="111"/>
        <v>Large</v>
      </c>
    </row>
    <row r="1760" spans="1:10" x14ac:dyDescent="0.25">
      <c r="A1760" t="s">
        <v>40</v>
      </c>
      <c r="B1760" t="s">
        <v>15</v>
      </c>
      <c r="C1760" t="s">
        <v>44</v>
      </c>
      <c r="D1760" s="1">
        <v>45057</v>
      </c>
      <c r="E1760" s="2">
        <v>3251.53</v>
      </c>
      <c r="F1760">
        <v>241</v>
      </c>
      <c r="G1760" s="2">
        <f t="shared" si="108"/>
        <v>13.49182572614108</v>
      </c>
      <c r="H1760" t="str">
        <f t="shared" si="109"/>
        <v>May</v>
      </c>
      <c r="I1760" t="str">
        <f t="shared" si="110"/>
        <v>Q2</v>
      </c>
      <c r="J1760" t="str">
        <f t="shared" si="111"/>
        <v>Large</v>
      </c>
    </row>
    <row r="1761" spans="1:10" x14ac:dyDescent="0.25">
      <c r="A1761" t="s">
        <v>48</v>
      </c>
      <c r="B1761" t="s">
        <v>29</v>
      </c>
      <c r="C1761" t="s">
        <v>45</v>
      </c>
      <c r="D1761" s="1">
        <v>45128</v>
      </c>
      <c r="E1761" s="2">
        <v>5031.9399999999996</v>
      </c>
      <c r="F1761">
        <v>495</v>
      </c>
      <c r="G1761" s="2">
        <f t="shared" si="108"/>
        <v>10.165535353535352</v>
      </c>
      <c r="H1761" t="str">
        <f t="shared" si="109"/>
        <v>July</v>
      </c>
      <c r="I1761" t="str">
        <f t="shared" si="110"/>
        <v>Q3</v>
      </c>
      <c r="J1761" t="str">
        <f t="shared" si="111"/>
        <v>Large</v>
      </c>
    </row>
    <row r="1762" spans="1:10" x14ac:dyDescent="0.25">
      <c r="A1762" t="s">
        <v>14</v>
      </c>
      <c r="B1762" t="s">
        <v>21</v>
      </c>
      <c r="C1762" t="s">
        <v>27</v>
      </c>
      <c r="D1762" s="1">
        <v>44968</v>
      </c>
      <c r="E1762" s="2">
        <v>1350.26</v>
      </c>
      <c r="F1762">
        <v>89</v>
      </c>
      <c r="G1762" s="2">
        <f t="shared" si="108"/>
        <v>15.171460674157304</v>
      </c>
      <c r="H1762" t="str">
        <f t="shared" si="109"/>
        <v>February</v>
      </c>
      <c r="I1762" t="str">
        <f t="shared" si="110"/>
        <v>Q1</v>
      </c>
      <c r="J1762" t="str">
        <f t="shared" si="111"/>
        <v>Large</v>
      </c>
    </row>
    <row r="1763" spans="1:10" x14ac:dyDescent="0.25">
      <c r="A1763" t="s">
        <v>48</v>
      </c>
      <c r="B1763" t="s">
        <v>29</v>
      </c>
      <c r="C1763" t="s">
        <v>16</v>
      </c>
      <c r="D1763" s="1">
        <v>45115</v>
      </c>
      <c r="E1763" s="2">
        <v>1187.71</v>
      </c>
      <c r="F1763">
        <v>75</v>
      </c>
      <c r="G1763" s="2">
        <f t="shared" si="108"/>
        <v>15.836133333333335</v>
      </c>
      <c r="H1763" t="str">
        <f t="shared" si="109"/>
        <v>July</v>
      </c>
      <c r="I1763" t="str">
        <f t="shared" si="110"/>
        <v>Q3</v>
      </c>
      <c r="J1763" t="str">
        <f t="shared" si="111"/>
        <v>Large</v>
      </c>
    </row>
    <row r="1764" spans="1:10" x14ac:dyDescent="0.25">
      <c r="A1764" t="s">
        <v>19</v>
      </c>
      <c r="B1764" t="s">
        <v>7</v>
      </c>
      <c r="C1764" t="s">
        <v>51</v>
      </c>
      <c r="D1764" s="1">
        <v>45149</v>
      </c>
      <c r="E1764" s="2">
        <v>7055.38</v>
      </c>
      <c r="F1764">
        <v>334</v>
      </c>
      <c r="G1764" s="2">
        <f t="shared" si="108"/>
        <v>21.123892215568862</v>
      </c>
      <c r="H1764" t="str">
        <f t="shared" si="109"/>
        <v>August</v>
      </c>
      <c r="I1764" t="str">
        <f t="shared" si="110"/>
        <v>Q3</v>
      </c>
      <c r="J1764" t="str">
        <f t="shared" si="111"/>
        <v>Large</v>
      </c>
    </row>
    <row r="1765" spans="1:10" x14ac:dyDescent="0.25">
      <c r="A1765" t="s">
        <v>40</v>
      </c>
      <c r="B1765" t="s">
        <v>21</v>
      </c>
      <c r="C1765" t="s">
        <v>20</v>
      </c>
      <c r="D1765" s="1">
        <v>45142</v>
      </c>
      <c r="E1765" s="2">
        <v>7231.89</v>
      </c>
      <c r="F1765">
        <v>8</v>
      </c>
      <c r="G1765" s="2">
        <f t="shared" si="108"/>
        <v>903.98625000000004</v>
      </c>
      <c r="H1765" t="str">
        <f t="shared" si="109"/>
        <v>August</v>
      </c>
      <c r="I1765" t="str">
        <f t="shared" si="110"/>
        <v>Q3</v>
      </c>
      <c r="J1765" t="str">
        <f t="shared" si="111"/>
        <v>Large</v>
      </c>
    </row>
    <row r="1766" spans="1:10" x14ac:dyDescent="0.25">
      <c r="A1766" t="s">
        <v>48</v>
      </c>
      <c r="B1766" t="s">
        <v>21</v>
      </c>
      <c r="C1766" t="s">
        <v>27</v>
      </c>
      <c r="D1766" s="1">
        <v>45091</v>
      </c>
      <c r="E1766" s="2">
        <v>9295.83</v>
      </c>
      <c r="F1766">
        <v>93</v>
      </c>
      <c r="G1766" s="2">
        <f t="shared" si="108"/>
        <v>99.955161290322579</v>
      </c>
      <c r="H1766" t="str">
        <f t="shared" si="109"/>
        <v>June</v>
      </c>
      <c r="I1766" t="str">
        <f t="shared" si="110"/>
        <v>Q2</v>
      </c>
      <c r="J1766" t="str">
        <f t="shared" si="111"/>
        <v>Large</v>
      </c>
    </row>
    <row r="1767" spans="1:10" x14ac:dyDescent="0.25">
      <c r="A1767" t="s">
        <v>43</v>
      </c>
      <c r="B1767" t="s">
        <v>7</v>
      </c>
      <c r="C1767" t="s">
        <v>56</v>
      </c>
      <c r="D1767" s="1">
        <v>44943</v>
      </c>
      <c r="E1767" s="2">
        <v>2276.94</v>
      </c>
      <c r="F1767">
        <v>296</v>
      </c>
      <c r="G1767" s="2">
        <f t="shared" si="108"/>
        <v>7.6923648648648655</v>
      </c>
      <c r="H1767" t="str">
        <f t="shared" si="109"/>
        <v>January</v>
      </c>
      <c r="I1767" t="str">
        <f t="shared" si="110"/>
        <v>Q1</v>
      </c>
      <c r="J1767" t="str">
        <f t="shared" si="111"/>
        <v>Large</v>
      </c>
    </row>
    <row r="1768" spans="1:10" x14ac:dyDescent="0.25">
      <c r="A1768" t="s">
        <v>6</v>
      </c>
      <c r="B1768" t="s">
        <v>29</v>
      </c>
      <c r="C1768" t="s">
        <v>27</v>
      </c>
      <c r="D1768" s="1">
        <v>45100</v>
      </c>
      <c r="E1768" s="2">
        <v>4229.79</v>
      </c>
      <c r="F1768">
        <v>548</v>
      </c>
      <c r="G1768" s="2">
        <f t="shared" si="108"/>
        <v>7.7185948905109489</v>
      </c>
      <c r="H1768" t="str">
        <f t="shared" si="109"/>
        <v>June</v>
      </c>
      <c r="I1768" t="str">
        <f t="shared" si="110"/>
        <v>Q2</v>
      </c>
      <c r="J1768" t="str">
        <f t="shared" si="111"/>
        <v>Large</v>
      </c>
    </row>
    <row r="1769" spans="1:10" x14ac:dyDescent="0.25">
      <c r="A1769" t="s">
        <v>6</v>
      </c>
      <c r="B1769" t="s">
        <v>7</v>
      </c>
      <c r="C1769" t="s">
        <v>16</v>
      </c>
      <c r="D1769" s="1">
        <v>45162</v>
      </c>
      <c r="E1769" s="2">
        <v>1640.53</v>
      </c>
      <c r="F1769">
        <v>119</v>
      </c>
      <c r="G1769" s="2">
        <f t="shared" si="108"/>
        <v>13.785966386554621</v>
      </c>
      <c r="H1769" t="str">
        <f t="shared" si="109"/>
        <v>August</v>
      </c>
      <c r="I1769" t="str">
        <f t="shared" si="110"/>
        <v>Q3</v>
      </c>
      <c r="J1769" t="str">
        <f t="shared" si="111"/>
        <v>Large</v>
      </c>
    </row>
    <row r="1770" spans="1:10" x14ac:dyDescent="0.25">
      <c r="A1770" t="s">
        <v>48</v>
      </c>
      <c r="B1770" t="s">
        <v>7</v>
      </c>
      <c r="C1770" t="s">
        <v>57</v>
      </c>
      <c r="D1770" s="1">
        <v>45084</v>
      </c>
      <c r="E1770" s="2">
        <v>8234.5</v>
      </c>
      <c r="F1770">
        <v>294</v>
      </c>
      <c r="G1770" s="2">
        <f t="shared" si="108"/>
        <v>28.008503401360546</v>
      </c>
      <c r="H1770" t="str">
        <f t="shared" si="109"/>
        <v>June</v>
      </c>
      <c r="I1770" t="str">
        <f t="shared" si="110"/>
        <v>Q2</v>
      </c>
      <c r="J1770" t="str">
        <f t="shared" si="111"/>
        <v>Large</v>
      </c>
    </row>
    <row r="1771" spans="1:10" x14ac:dyDescent="0.25">
      <c r="A1771" t="s">
        <v>14</v>
      </c>
      <c r="B1771" t="s">
        <v>7</v>
      </c>
      <c r="C1771" t="s">
        <v>44</v>
      </c>
      <c r="D1771" s="1">
        <v>45099</v>
      </c>
      <c r="E1771" s="2">
        <v>10087.040000000001</v>
      </c>
      <c r="F1771">
        <v>46</v>
      </c>
      <c r="G1771" s="2">
        <f t="shared" si="108"/>
        <v>219.28347826086957</v>
      </c>
      <c r="H1771" t="str">
        <f t="shared" si="109"/>
        <v>June</v>
      </c>
      <c r="I1771" t="str">
        <f t="shared" si="110"/>
        <v>Q2</v>
      </c>
      <c r="J1771" t="str">
        <f t="shared" si="111"/>
        <v>Large</v>
      </c>
    </row>
    <row r="1772" spans="1:10" x14ac:dyDescent="0.25">
      <c r="A1772" t="s">
        <v>54</v>
      </c>
      <c r="B1772" t="s">
        <v>26</v>
      </c>
      <c r="C1772" t="s">
        <v>42</v>
      </c>
      <c r="D1772" s="1">
        <v>45120</v>
      </c>
      <c r="E1772" s="2">
        <v>3169.26</v>
      </c>
      <c r="F1772">
        <v>281</v>
      </c>
      <c r="G1772" s="2">
        <f t="shared" si="108"/>
        <v>11.278505338078293</v>
      </c>
      <c r="H1772" t="str">
        <f t="shared" si="109"/>
        <v>July</v>
      </c>
      <c r="I1772" t="str">
        <f t="shared" si="110"/>
        <v>Q3</v>
      </c>
      <c r="J1772" t="str">
        <f t="shared" si="111"/>
        <v>Large</v>
      </c>
    </row>
    <row r="1773" spans="1:10" x14ac:dyDescent="0.25">
      <c r="A1773" t="s">
        <v>49</v>
      </c>
      <c r="B1773" t="s">
        <v>7</v>
      </c>
      <c r="C1773" t="s">
        <v>52</v>
      </c>
      <c r="D1773" s="1">
        <v>45070</v>
      </c>
      <c r="E1773" s="2">
        <v>10355.42</v>
      </c>
      <c r="F1773">
        <v>215</v>
      </c>
      <c r="G1773" s="2">
        <f t="shared" si="108"/>
        <v>48.164744186046512</v>
      </c>
      <c r="H1773" t="str">
        <f t="shared" si="109"/>
        <v>May</v>
      </c>
      <c r="I1773" t="str">
        <f t="shared" si="110"/>
        <v>Q2</v>
      </c>
      <c r="J1773" t="str">
        <f t="shared" si="111"/>
        <v>Large</v>
      </c>
    </row>
    <row r="1774" spans="1:10" x14ac:dyDescent="0.25">
      <c r="A1774" t="s">
        <v>19</v>
      </c>
      <c r="B1774" t="s">
        <v>21</v>
      </c>
      <c r="C1774" t="s">
        <v>20</v>
      </c>
      <c r="D1774" s="1">
        <v>45147</v>
      </c>
      <c r="E1774" s="2">
        <v>7772.63</v>
      </c>
      <c r="F1774">
        <v>140</v>
      </c>
      <c r="G1774" s="2">
        <f t="shared" si="108"/>
        <v>55.518785714285713</v>
      </c>
      <c r="H1774" t="str">
        <f t="shared" si="109"/>
        <v>August</v>
      </c>
      <c r="I1774" t="str">
        <f t="shared" si="110"/>
        <v>Q3</v>
      </c>
      <c r="J1774" t="str">
        <f t="shared" si="111"/>
        <v>Large</v>
      </c>
    </row>
    <row r="1775" spans="1:10" x14ac:dyDescent="0.25">
      <c r="A1775" t="s">
        <v>41</v>
      </c>
      <c r="B1775" t="s">
        <v>29</v>
      </c>
      <c r="C1775" t="s">
        <v>11</v>
      </c>
      <c r="D1775" s="1">
        <v>45022</v>
      </c>
      <c r="E1775" s="2">
        <v>1992.77</v>
      </c>
      <c r="F1775">
        <v>31</v>
      </c>
      <c r="G1775" s="2">
        <f t="shared" si="108"/>
        <v>64.28290322580645</v>
      </c>
      <c r="H1775" t="str">
        <f t="shared" si="109"/>
        <v>April</v>
      </c>
      <c r="I1775" t="str">
        <f t="shared" si="110"/>
        <v>Q2</v>
      </c>
      <c r="J1775" t="str">
        <f t="shared" si="111"/>
        <v>Large</v>
      </c>
    </row>
    <row r="1776" spans="1:10" x14ac:dyDescent="0.25">
      <c r="A1776" t="s">
        <v>14</v>
      </c>
      <c r="B1776" t="s">
        <v>21</v>
      </c>
      <c r="C1776" t="s">
        <v>45</v>
      </c>
      <c r="D1776" s="1">
        <v>45135</v>
      </c>
      <c r="E1776" s="2">
        <v>1815.56</v>
      </c>
      <c r="F1776">
        <v>266</v>
      </c>
      <c r="G1776" s="2">
        <f t="shared" si="108"/>
        <v>6.8254135338345865</v>
      </c>
      <c r="H1776" t="str">
        <f t="shared" si="109"/>
        <v>July</v>
      </c>
      <c r="I1776" t="str">
        <f t="shared" si="110"/>
        <v>Q3</v>
      </c>
      <c r="J1776" t="str">
        <f t="shared" si="111"/>
        <v>Large</v>
      </c>
    </row>
    <row r="1777" spans="1:10" x14ac:dyDescent="0.25">
      <c r="A1777" t="s">
        <v>19</v>
      </c>
      <c r="B1777" t="s">
        <v>21</v>
      </c>
      <c r="C1777" t="s">
        <v>51</v>
      </c>
      <c r="D1777" s="1">
        <v>45162</v>
      </c>
      <c r="E1777" s="2">
        <v>727.11</v>
      </c>
      <c r="F1777">
        <v>50</v>
      </c>
      <c r="G1777" s="2">
        <f t="shared" si="108"/>
        <v>14.542200000000001</v>
      </c>
      <c r="H1777" t="str">
        <f t="shared" si="109"/>
        <v>August</v>
      </c>
      <c r="I1777" t="str">
        <f t="shared" si="110"/>
        <v>Q3</v>
      </c>
      <c r="J1777" t="str">
        <f t="shared" si="111"/>
        <v>Large</v>
      </c>
    </row>
    <row r="1778" spans="1:10" x14ac:dyDescent="0.25">
      <c r="A1778" t="s">
        <v>9</v>
      </c>
      <c r="B1778" t="s">
        <v>15</v>
      </c>
      <c r="C1778" t="s">
        <v>18</v>
      </c>
      <c r="D1778" s="1">
        <v>44943</v>
      </c>
      <c r="E1778" s="2">
        <v>114.96</v>
      </c>
      <c r="F1778">
        <v>132</v>
      </c>
      <c r="G1778" s="2">
        <f t="shared" si="108"/>
        <v>0.87090909090909085</v>
      </c>
      <c r="H1778" t="str">
        <f t="shared" si="109"/>
        <v>January</v>
      </c>
      <c r="I1778" t="str">
        <f t="shared" si="110"/>
        <v>Q1</v>
      </c>
      <c r="J1778" t="str">
        <f t="shared" si="111"/>
        <v>Small</v>
      </c>
    </row>
    <row r="1779" spans="1:10" x14ac:dyDescent="0.25">
      <c r="A1779" t="s">
        <v>38</v>
      </c>
      <c r="B1779" t="s">
        <v>26</v>
      </c>
      <c r="C1779" t="s">
        <v>32</v>
      </c>
      <c r="D1779" s="1">
        <v>44964</v>
      </c>
      <c r="E1779" s="2">
        <v>5378.09</v>
      </c>
      <c r="F1779">
        <v>142</v>
      </c>
      <c r="G1779" s="2">
        <f t="shared" si="108"/>
        <v>37.87387323943662</v>
      </c>
      <c r="H1779" t="str">
        <f t="shared" si="109"/>
        <v>February</v>
      </c>
      <c r="I1779" t="str">
        <f t="shared" si="110"/>
        <v>Q1</v>
      </c>
      <c r="J1779" t="str">
        <f t="shared" si="111"/>
        <v>Large</v>
      </c>
    </row>
    <row r="1780" spans="1:10" x14ac:dyDescent="0.25">
      <c r="A1780" t="s">
        <v>23</v>
      </c>
      <c r="B1780" t="s">
        <v>15</v>
      </c>
      <c r="C1780" t="s">
        <v>39</v>
      </c>
      <c r="D1780" s="1">
        <v>45055</v>
      </c>
      <c r="E1780" s="2">
        <v>6707.63</v>
      </c>
      <c r="F1780">
        <v>269</v>
      </c>
      <c r="G1780" s="2">
        <f t="shared" si="108"/>
        <v>24.935427509293682</v>
      </c>
      <c r="H1780" t="str">
        <f t="shared" si="109"/>
        <v>May</v>
      </c>
      <c r="I1780" t="str">
        <f t="shared" si="110"/>
        <v>Q2</v>
      </c>
      <c r="J1780" t="str">
        <f t="shared" si="111"/>
        <v>Large</v>
      </c>
    </row>
    <row r="1781" spans="1:10" x14ac:dyDescent="0.25">
      <c r="A1781" t="s">
        <v>28</v>
      </c>
      <c r="B1781" t="s">
        <v>21</v>
      </c>
      <c r="C1781" t="s">
        <v>11</v>
      </c>
      <c r="D1781" s="1">
        <v>45083</v>
      </c>
      <c r="E1781" s="2">
        <v>8167.18</v>
      </c>
      <c r="F1781">
        <v>102</v>
      </c>
      <c r="G1781" s="2">
        <f t="shared" si="108"/>
        <v>80.070392156862752</v>
      </c>
      <c r="H1781" t="str">
        <f t="shared" si="109"/>
        <v>June</v>
      </c>
      <c r="I1781" t="str">
        <f t="shared" si="110"/>
        <v>Q2</v>
      </c>
      <c r="J1781" t="str">
        <f t="shared" si="111"/>
        <v>Large</v>
      </c>
    </row>
    <row r="1782" spans="1:10" x14ac:dyDescent="0.25">
      <c r="A1782" t="s">
        <v>46</v>
      </c>
      <c r="B1782" t="s">
        <v>26</v>
      </c>
      <c r="C1782" t="s">
        <v>52</v>
      </c>
      <c r="D1782" s="1">
        <v>45083</v>
      </c>
      <c r="E1782" s="2">
        <v>9950.14</v>
      </c>
      <c r="F1782">
        <v>6</v>
      </c>
      <c r="G1782" s="2">
        <f t="shared" si="108"/>
        <v>1658.3566666666666</v>
      </c>
      <c r="H1782" t="str">
        <f t="shared" si="109"/>
        <v>June</v>
      </c>
      <c r="I1782" t="str">
        <f t="shared" si="110"/>
        <v>Q2</v>
      </c>
      <c r="J1782" t="str">
        <f t="shared" si="111"/>
        <v>Large</v>
      </c>
    </row>
    <row r="1783" spans="1:10" x14ac:dyDescent="0.25">
      <c r="A1783" t="s">
        <v>34</v>
      </c>
      <c r="B1783" t="s">
        <v>21</v>
      </c>
      <c r="C1783" t="s">
        <v>35</v>
      </c>
      <c r="D1783" s="1">
        <v>45070</v>
      </c>
      <c r="E1783" s="2">
        <v>7229.26</v>
      </c>
      <c r="F1783">
        <v>215</v>
      </c>
      <c r="G1783" s="2">
        <f t="shared" si="108"/>
        <v>33.624465116279069</v>
      </c>
      <c r="H1783" t="str">
        <f t="shared" si="109"/>
        <v>May</v>
      </c>
      <c r="I1783" t="str">
        <f t="shared" si="110"/>
        <v>Q2</v>
      </c>
      <c r="J1783" t="str">
        <f t="shared" si="111"/>
        <v>Large</v>
      </c>
    </row>
    <row r="1784" spans="1:10" x14ac:dyDescent="0.25">
      <c r="A1784" t="s">
        <v>19</v>
      </c>
      <c r="B1784" t="s">
        <v>7</v>
      </c>
      <c r="C1784" t="s">
        <v>22</v>
      </c>
      <c r="D1784" s="1">
        <v>44939</v>
      </c>
      <c r="E1784" s="2">
        <v>2260.21</v>
      </c>
      <c r="F1784">
        <v>128</v>
      </c>
      <c r="G1784" s="2">
        <f t="shared" si="108"/>
        <v>17.657890625</v>
      </c>
      <c r="H1784" t="str">
        <f t="shared" si="109"/>
        <v>January</v>
      </c>
      <c r="I1784" t="str">
        <f t="shared" si="110"/>
        <v>Q1</v>
      </c>
      <c r="J1784" t="str">
        <f t="shared" si="111"/>
        <v>Large</v>
      </c>
    </row>
    <row r="1785" spans="1:10" x14ac:dyDescent="0.25">
      <c r="A1785" t="s">
        <v>33</v>
      </c>
      <c r="B1785" t="s">
        <v>26</v>
      </c>
      <c r="C1785" t="s">
        <v>51</v>
      </c>
      <c r="D1785" s="1">
        <v>45069</v>
      </c>
      <c r="E1785" s="2">
        <v>6206.9</v>
      </c>
      <c r="F1785">
        <v>149</v>
      </c>
      <c r="G1785" s="2">
        <f t="shared" si="108"/>
        <v>41.657046979865768</v>
      </c>
      <c r="H1785" t="str">
        <f t="shared" si="109"/>
        <v>May</v>
      </c>
      <c r="I1785" t="str">
        <f t="shared" si="110"/>
        <v>Q2</v>
      </c>
      <c r="J1785" t="str">
        <f t="shared" si="111"/>
        <v>Large</v>
      </c>
    </row>
    <row r="1786" spans="1:10" x14ac:dyDescent="0.25">
      <c r="A1786" t="s">
        <v>6</v>
      </c>
      <c r="B1786" t="s">
        <v>7</v>
      </c>
      <c r="C1786" t="s">
        <v>44</v>
      </c>
      <c r="D1786" s="1">
        <v>45106</v>
      </c>
      <c r="E1786" s="2">
        <v>1889.83</v>
      </c>
      <c r="F1786">
        <v>286</v>
      </c>
      <c r="G1786" s="2">
        <f t="shared" si="108"/>
        <v>6.6077972027972027</v>
      </c>
      <c r="H1786" t="str">
        <f t="shared" si="109"/>
        <v>June</v>
      </c>
      <c r="I1786" t="str">
        <f t="shared" si="110"/>
        <v>Q2</v>
      </c>
      <c r="J1786" t="str">
        <f t="shared" si="111"/>
        <v>Large</v>
      </c>
    </row>
    <row r="1787" spans="1:10" x14ac:dyDescent="0.25">
      <c r="A1787" t="s">
        <v>6</v>
      </c>
      <c r="B1787" t="s">
        <v>21</v>
      </c>
      <c r="C1787" t="s">
        <v>11</v>
      </c>
      <c r="D1787" s="1">
        <v>44996</v>
      </c>
      <c r="E1787" s="2">
        <v>7797.24</v>
      </c>
      <c r="F1787">
        <v>88</v>
      </c>
      <c r="G1787" s="2">
        <f t="shared" si="108"/>
        <v>88.605000000000004</v>
      </c>
      <c r="H1787" t="str">
        <f t="shared" si="109"/>
        <v>March</v>
      </c>
      <c r="I1787" t="str">
        <f t="shared" si="110"/>
        <v>Q1</v>
      </c>
      <c r="J1787" t="str">
        <f t="shared" si="111"/>
        <v>Large</v>
      </c>
    </row>
    <row r="1788" spans="1:10" x14ac:dyDescent="0.25">
      <c r="A1788" t="s">
        <v>54</v>
      </c>
      <c r="B1788" t="s">
        <v>26</v>
      </c>
      <c r="C1788" t="s">
        <v>11</v>
      </c>
      <c r="D1788" s="1">
        <v>45041</v>
      </c>
      <c r="E1788" s="2">
        <v>11644.92</v>
      </c>
      <c r="F1788">
        <v>536</v>
      </c>
      <c r="G1788" s="2">
        <f t="shared" si="108"/>
        <v>21.725597014925373</v>
      </c>
      <c r="H1788" t="str">
        <f t="shared" si="109"/>
        <v>April</v>
      </c>
      <c r="I1788" t="str">
        <f t="shared" si="110"/>
        <v>Q2</v>
      </c>
      <c r="J1788" t="str">
        <f t="shared" si="111"/>
        <v>Large</v>
      </c>
    </row>
    <row r="1789" spans="1:10" x14ac:dyDescent="0.25">
      <c r="A1789" t="s">
        <v>24</v>
      </c>
      <c r="B1789" t="s">
        <v>15</v>
      </c>
      <c r="C1789" t="s">
        <v>16</v>
      </c>
      <c r="D1789" s="1">
        <v>45076</v>
      </c>
      <c r="E1789" s="2">
        <v>4207.22</v>
      </c>
      <c r="F1789">
        <v>255</v>
      </c>
      <c r="G1789" s="2">
        <f t="shared" si="108"/>
        <v>16.498901960784316</v>
      </c>
      <c r="H1789" t="str">
        <f t="shared" si="109"/>
        <v>May</v>
      </c>
      <c r="I1789" t="str">
        <f t="shared" si="110"/>
        <v>Q2</v>
      </c>
      <c r="J1789" t="str">
        <f t="shared" si="111"/>
        <v>Large</v>
      </c>
    </row>
    <row r="1790" spans="1:10" x14ac:dyDescent="0.25">
      <c r="A1790" t="s">
        <v>38</v>
      </c>
      <c r="B1790" t="s">
        <v>10</v>
      </c>
      <c r="C1790" t="s">
        <v>45</v>
      </c>
      <c r="D1790" s="1">
        <v>45069</v>
      </c>
      <c r="E1790" s="2">
        <v>1683.88</v>
      </c>
      <c r="F1790">
        <v>169</v>
      </c>
      <c r="G1790" s="2">
        <f t="shared" si="108"/>
        <v>9.9637869822485214</v>
      </c>
      <c r="H1790" t="str">
        <f t="shared" si="109"/>
        <v>May</v>
      </c>
      <c r="I1790" t="str">
        <f t="shared" si="110"/>
        <v>Q2</v>
      </c>
      <c r="J1790" t="str">
        <f t="shared" si="111"/>
        <v>Large</v>
      </c>
    </row>
    <row r="1791" spans="1:10" x14ac:dyDescent="0.25">
      <c r="A1791" t="s">
        <v>28</v>
      </c>
      <c r="B1791" t="s">
        <v>26</v>
      </c>
      <c r="C1791" t="s">
        <v>13</v>
      </c>
      <c r="D1791" s="1">
        <v>45069</v>
      </c>
      <c r="E1791" s="2">
        <v>1337.36</v>
      </c>
      <c r="F1791">
        <v>18</v>
      </c>
      <c r="G1791" s="2">
        <f t="shared" si="108"/>
        <v>74.297777777777767</v>
      </c>
      <c r="H1791" t="str">
        <f t="shared" si="109"/>
        <v>May</v>
      </c>
      <c r="I1791" t="str">
        <f t="shared" si="110"/>
        <v>Q2</v>
      </c>
      <c r="J1791" t="str">
        <f t="shared" si="111"/>
        <v>Large</v>
      </c>
    </row>
    <row r="1792" spans="1:10" x14ac:dyDescent="0.25">
      <c r="A1792" t="s">
        <v>9</v>
      </c>
      <c r="B1792" t="s">
        <v>29</v>
      </c>
      <c r="C1792" t="s">
        <v>13</v>
      </c>
      <c r="D1792" s="1">
        <v>45101</v>
      </c>
      <c r="E1792" s="2">
        <v>7147.04</v>
      </c>
      <c r="F1792">
        <v>300</v>
      </c>
      <c r="G1792" s="2">
        <f t="shared" si="108"/>
        <v>23.823466666666665</v>
      </c>
      <c r="H1792" t="str">
        <f t="shared" si="109"/>
        <v>June</v>
      </c>
      <c r="I1792" t="str">
        <f t="shared" si="110"/>
        <v>Q2</v>
      </c>
      <c r="J1792" t="str">
        <f t="shared" si="111"/>
        <v>Large</v>
      </c>
    </row>
    <row r="1793" spans="1:10" x14ac:dyDescent="0.25">
      <c r="A1793" t="s">
        <v>49</v>
      </c>
      <c r="B1793" t="s">
        <v>21</v>
      </c>
      <c r="C1793" t="s">
        <v>16</v>
      </c>
      <c r="D1793" s="1">
        <v>44996</v>
      </c>
      <c r="E1793" s="2">
        <v>12030.46</v>
      </c>
      <c r="F1793">
        <v>296</v>
      </c>
      <c r="G1793" s="2">
        <f t="shared" si="108"/>
        <v>40.643445945945942</v>
      </c>
      <c r="H1793" t="str">
        <f t="shared" si="109"/>
        <v>March</v>
      </c>
      <c r="I1793" t="str">
        <f t="shared" si="110"/>
        <v>Q1</v>
      </c>
      <c r="J1793" t="str">
        <f t="shared" si="111"/>
        <v>Large</v>
      </c>
    </row>
    <row r="1794" spans="1:10" x14ac:dyDescent="0.25">
      <c r="A1794" t="s">
        <v>24</v>
      </c>
      <c r="B1794" t="s">
        <v>26</v>
      </c>
      <c r="C1794" t="s">
        <v>16</v>
      </c>
      <c r="D1794" s="1">
        <v>45134</v>
      </c>
      <c r="E1794" s="2">
        <v>15844.58</v>
      </c>
      <c r="F1794">
        <v>232</v>
      </c>
      <c r="G1794" s="2">
        <f t="shared" si="108"/>
        <v>68.295603448275855</v>
      </c>
      <c r="H1794" t="str">
        <f t="shared" si="109"/>
        <v>July</v>
      </c>
      <c r="I1794" t="str">
        <f t="shared" si="110"/>
        <v>Q3</v>
      </c>
      <c r="J1794" t="str">
        <f t="shared" si="111"/>
        <v>Large</v>
      </c>
    </row>
    <row r="1795" spans="1:10" x14ac:dyDescent="0.25">
      <c r="A1795" t="s">
        <v>24</v>
      </c>
      <c r="B1795" t="s">
        <v>26</v>
      </c>
      <c r="C1795" t="s">
        <v>44</v>
      </c>
      <c r="D1795" s="1">
        <v>45154</v>
      </c>
      <c r="E1795" s="2">
        <v>5025.84</v>
      </c>
      <c r="F1795">
        <v>133</v>
      </c>
      <c r="G1795" s="2">
        <f t="shared" ref="G1795:G1858" si="112">E1795/F1795</f>
        <v>37.788270676691731</v>
      </c>
      <c r="H1795" t="str">
        <f t="shared" ref="H1795:H1858" si="113">TEXT(D1795, "mmmm")</f>
        <v>August</v>
      </c>
      <c r="I1795" t="str">
        <f t="shared" ref="I1795:I1858" si="114">"Q" &amp; ROUNDUP(MONTH(D1795)/3,0)</f>
        <v>Q3</v>
      </c>
      <c r="J1795" t="str">
        <f t="shared" ref="J1795:J1858" si="115">IF(E1795 &gt; 500, "Large", "Small")</f>
        <v>Large</v>
      </c>
    </row>
    <row r="1796" spans="1:10" x14ac:dyDescent="0.25">
      <c r="A1796" t="s">
        <v>36</v>
      </c>
      <c r="B1796" t="s">
        <v>29</v>
      </c>
      <c r="C1796" t="s">
        <v>16</v>
      </c>
      <c r="D1796" s="1">
        <v>44992</v>
      </c>
      <c r="E1796" s="2">
        <v>9902.0300000000007</v>
      </c>
      <c r="F1796">
        <v>12</v>
      </c>
      <c r="G1796" s="2">
        <f t="shared" si="112"/>
        <v>825.16916666666668</v>
      </c>
      <c r="H1796" t="str">
        <f t="shared" si="113"/>
        <v>March</v>
      </c>
      <c r="I1796" t="str">
        <f t="shared" si="114"/>
        <v>Q1</v>
      </c>
      <c r="J1796" t="str">
        <f t="shared" si="115"/>
        <v>Large</v>
      </c>
    </row>
    <row r="1797" spans="1:10" x14ac:dyDescent="0.25">
      <c r="A1797" t="s">
        <v>38</v>
      </c>
      <c r="B1797" t="s">
        <v>21</v>
      </c>
      <c r="C1797" t="s">
        <v>20</v>
      </c>
      <c r="D1797" s="1">
        <v>45021</v>
      </c>
      <c r="E1797" s="2">
        <v>7944.07</v>
      </c>
      <c r="F1797">
        <v>33</v>
      </c>
      <c r="G1797" s="2">
        <f t="shared" si="112"/>
        <v>240.72939393939393</v>
      </c>
      <c r="H1797" t="str">
        <f t="shared" si="113"/>
        <v>April</v>
      </c>
      <c r="I1797" t="str">
        <f t="shared" si="114"/>
        <v>Q2</v>
      </c>
      <c r="J1797" t="str">
        <f t="shared" si="115"/>
        <v>Large</v>
      </c>
    </row>
    <row r="1798" spans="1:10" x14ac:dyDescent="0.25">
      <c r="A1798" t="s">
        <v>50</v>
      </c>
      <c r="B1798" t="s">
        <v>10</v>
      </c>
      <c r="C1798" t="s">
        <v>11</v>
      </c>
      <c r="D1798" s="1">
        <v>45050</v>
      </c>
      <c r="E1798" s="2">
        <v>9523.65</v>
      </c>
      <c r="F1798">
        <v>55</v>
      </c>
      <c r="G1798" s="2">
        <f t="shared" si="112"/>
        <v>173.15727272727273</v>
      </c>
      <c r="H1798" t="str">
        <f t="shared" si="113"/>
        <v>May</v>
      </c>
      <c r="I1798" t="str">
        <f t="shared" si="114"/>
        <v>Q2</v>
      </c>
      <c r="J1798" t="str">
        <f t="shared" si="115"/>
        <v>Large</v>
      </c>
    </row>
    <row r="1799" spans="1:10" x14ac:dyDescent="0.25">
      <c r="A1799" t="s">
        <v>55</v>
      </c>
      <c r="B1799" t="s">
        <v>26</v>
      </c>
      <c r="C1799" t="s">
        <v>52</v>
      </c>
      <c r="D1799" s="1">
        <v>44930</v>
      </c>
      <c r="E1799" s="2">
        <v>16240.71</v>
      </c>
      <c r="F1799">
        <v>93</v>
      </c>
      <c r="G1799" s="2">
        <f t="shared" si="112"/>
        <v>174.63129032258064</v>
      </c>
      <c r="H1799" t="str">
        <f t="shared" si="113"/>
        <v>January</v>
      </c>
      <c r="I1799" t="str">
        <f t="shared" si="114"/>
        <v>Q1</v>
      </c>
      <c r="J1799" t="str">
        <f t="shared" si="115"/>
        <v>Large</v>
      </c>
    </row>
    <row r="1800" spans="1:10" x14ac:dyDescent="0.25">
      <c r="A1800" t="s">
        <v>33</v>
      </c>
      <c r="B1800" t="s">
        <v>15</v>
      </c>
      <c r="C1800" t="s">
        <v>56</v>
      </c>
      <c r="D1800" s="1">
        <v>44939</v>
      </c>
      <c r="E1800" s="2">
        <v>5891.94</v>
      </c>
      <c r="F1800">
        <v>109</v>
      </c>
      <c r="G1800" s="2">
        <f t="shared" si="112"/>
        <v>54.054495412844034</v>
      </c>
      <c r="H1800" t="str">
        <f t="shared" si="113"/>
        <v>January</v>
      </c>
      <c r="I1800" t="str">
        <f t="shared" si="114"/>
        <v>Q1</v>
      </c>
      <c r="J1800" t="str">
        <f t="shared" si="115"/>
        <v>Large</v>
      </c>
    </row>
    <row r="1801" spans="1:10" x14ac:dyDescent="0.25">
      <c r="A1801" t="s">
        <v>46</v>
      </c>
      <c r="B1801" t="s">
        <v>21</v>
      </c>
      <c r="C1801" t="s">
        <v>42</v>
      </c>
      <c r="D1801" s="1">
        <v>45118</v>
      </c>
      <c r="E1801" s="2">
        <v>6924.52</v>
      </c>
      <c r="F1801">
        <v>94</v>
      </c>
      <c r="G1801" s="2">
        <f t="shared" si="112"/>
        <v>73.665106382978735</v>
      </c>
      <c r="H1801" t="str">
        <f t="shared" si="113"/>
        <v>July</v>
      </c>
      <c r="I1801" t="str">
        <f t="shared" si="114"/>
        <v>Q3</v>
      </c>
      <c r="J1801" t="str">
        <f t="shared" si="115"/>
        <v>Large</v>
      </c>
    </row>
    <row r="1802" spans="1:10" x14ac:dyDescent="0.25">
      <c r="A1802" t="s">
        <v>41</v>
      </c>
      <c r="B1802" t="s">
        <v>15</v>
      </c>
      <c r="C1802" t="s">
        <v>8</v>
      </c>
      <c r="D1802" s="1">
        <v>45063</v>
      </c>
      <c r="E1802" s="2">
        <v>4552.57</v>
      </c>
      <c r="F1802">
        <v>158</v>
      </c>
      <c r="G1802" s="2">
        <f t="shared" si="112"/>
        <v>28.813734177215188</v>
      </c>
      <c r="H1802" t="str">
        <f t="shared" si="113"/>
        <v>May</v>
      </c>
      <c r="I1802" t="str">
        <f t="shared" si="114"/>
        <v>Q2</v>
      </c>
      <c r="J1802" t="str">
        <f t="shared" si="115"/>
        <v>Large</v>
      </c>
    </row>
    <row r="1803" spans="1:10" x14ac:dyDescent="0.25">
      <c r="A1803" t="s">
        <v>50</v>
      </c>
      <c r="B1803" t="s">
        <v>21</v>
      </c>
      <c r="C1803" t="s">
        <v>13</v>
      </c>
      <c r="D1803" s="1">
        <v>45128</v>
      </c>
      <c r="E1803" s="2">
        <v>1724.91</v>
      </c>
      <c r="F1803">
        <v>60</v>
      </c>
      <c r="G1803" s="2">
        <f t="shared" si="112"/>
        <v>28.7485</v>
      </c>
      <c r="H1803" t="str">
        <f t="shared" si="113"/>
        <v>July</v>
      </c>
      <c r="I1803" t="str">
        <f t="shared" si="114"/>
        <v>Q3</v>
      </c>
      <c r="J1803" t="str">
        <f t="shared" si="115"/>
        <v>Large</v>
      </c>
    </row>
    <row r="1804" spans="1:10" x14ac:dyDescent="0.25">
      <c r="A1804" t="s">
        <v>38</v>
      </c>
      <c r="B1804" t="s">
        <v>29</v>
      </c>
      <c r="C1804" t="s">
        <v>35</v>
      </c>
      <c r="D1804" s="1">
        <v>44979</v>
      </c>
      <c r="E1804" s="2">
        <v>897.3</v>
      </c>
      <c r="F1804">
        <v>21</v>
      </c>
      <c r="G1804" s="2">
        <f t="shared" si="112"/>
        <v>42.728571428571428</v>
      </c>
      <c r="H1804" t="str">
        <f t="shared" si="113"/>
        <v>February</v>
      </c>
      <c r="I1804" t="str">
        <f t="shared" si="114"/>
        <v>Q1</v>
      </c>
      <c r="J1804" t="str">
        <f t="shared" si="115"/>
        <v>Large</v>
      </c>
    </row>
    <row r="1805" spans="1:10" x14ac:dyDescent="0.25">
      <c r="A1805" t="s">
        <v>14</v>
      </c>
      <c r="B1805" t="s">
        <v>10</v>
      </c>
      <c r="C1805" t="s">
        <v>18</v>
      </c>
      <c r="D1805" s="1">
        <v>45069</v>
      </c>
      <c r="E1805" s="2">
        <v>10283.9</v>
      </c>
      <c r="F1805">
        <v>178</v>
      </c>
      <c r="G1805" s="2">
        <f t="shared" si="112"/>
        <v>57.774719101123594</v>
      </c>
      <c r="H1805" t="str">
        <f t="shared" si="113"/>
        <v>May</v>
      </c>
      <c r="I1805" t="str">
        <f t="shared" si="114"/>
        <v>Q2</v>
      </c>
      <c r="J1805" t="str">
        <f t="shared" si="115"/>
        <v>Large</v>
      </c>
    </row>
    <row r="1806" spans="1:10" x14ac:dyDescent="0.25">
      <c r="A1806" t="s">
        <v>24</v>
      </c>
      <c r="B1806" t="s">
        <v>29</v>
      </c>
      <c r="C1806" t="s">
        <v>32</v>
      </c>
      <c r="D1806" s="1">
        <v>45119</v>
      </c>
      <c r="E1806" s="2">
        <v>10415.77</v>
      </c>
      <c r="F1806">
        <v>200</v>
      </c>
      <c r="G1806" s="2">
        <f t="shared" si="112"/>
        <v>52.078850000000003</v>
      </c>
      <c r="H1806" t="str">
        <f t="shared" si="113"/>
        <v>July</v>
      </c>
      <c r="I1806" t="str">
        <f t="shared" si="114"/>
        <v>Q3</v>
      </c>
      <c r="J1806" t="str">
        <f t="shared" si="115"/>
        <v>Large</v>
      </c>
    </row>
    <row r="1807" spans="1:10" x14ac:dyDescent="0.25">
      <c r="A1807" t="s">
        <v>14</v>
      </c>
      <c r="B1807" t="s">
        <v>7</v>
      </c>
      <c r="C1807" t="s">
        <v>27</v>
      </c>
      <c r="D1807" s="1">
        <v>45092</v>
      </c>
      <c r="E1807" s="2">
        <v>4220.83</v>
      </c>
      <c r="F1807">
        <v>193</v>
      </c>
      <c r="G1807" s="2">
        <f t="shared" si="112"/>
        <v>21.86958549222798</v>
      </c>
      <c r="H1807" t="str">
        <f t="shared" si="113"/>
        <v>June</v>
      </c>
      <c r="I1807" t="str">
        <f t="shared" si="114"/>
        <v>Q2</v>
      </c>
      <c r="J1807" t="str">
        <f t="shared" si="115"/>
        <v>Large</v>
      </c>
    </row>
    <row r="1808" spans="1:10" x14ac:dyDescent="0.25">
      <c r="A1808" t="s">
        <v>25</v>
      </c>
      <c r="B1808" t="s">
        <v>21</v>
      </c>
      <c r="C1808" t="s">
        <v>22</v>
      </c>
      <c r="D1808" s="1">
        <v>45100</v>
      </c>
      <c r="E1808" s="2">
        <v>4909.8599999999997</v>
      </c>
      <c r="F1808">
        <v>304</v>
      </c>
      <c r="G1808" s="2">
        <f t="shared" si="112"/>
        <v>16.150855263157894</v>
      </c>
      <c r="H1808" t="str">
        <f t="shared" si="113"/>
        <v>June</v>
      </c>
      <c r="I1808" t="str">
        <f t="shared" si="114"/>
        <v>Q2</v>
      </c>
      <c r="J1808" t="str">
        <f t="shared" si="115"/>
        <v>Large</v>
      </c>
    </row>
    <row r="1809" spans="1:10" x14ac:dyDescent="0.25">
      <c r="A1809" t="s">
        <v>38</v>
      </c>
      <c r="B1809" t="s">
        <v>15</v>
      </c>
      <c r="C1809" t="s">
        <v>30</v>
      </c>
      <c r="D1809" s="1">
        <v>45010</v>
      </c>
      <c r="E1809" s="2">
        <v>6549.62</v>
      </c>
      <c r="F1809">
        <v>53</v>
      </c>
      <c r="G1809" s="2">
        <f t="shared" si="112"/>
        <v>123.57773584905661</v>
      </c>
      <c r="H1809" t="str">
        <f t="shared" si="113"/>
        <v>March</v>
      </c>
      <c r="I1809" t="str">
        <f t="shared" si="114"/>
        <v>Q1</v>
      </c>
      <c r="J1809" t="str">
        <f t="shared" si="115"/>
        <v>Large</v>
      </c>
    </row>
    <row r="1810" spans="1:10" x14ac:dyDescent="0.25">
      <c r="A1810" t="s">
        <v>14</v>
      </c>
      <c r="B1810" t="s">
        <v>10</v>
      </c>
      <c r="C1810" t="s">
        <v>57</v>
      </c>
      <c r="D1810" s="1">
        <v>45111</v>
      </c>
      <c r="E1810" s="2">
        <v>88.72</v>
      </c>
      <c r="F1810">
        <v>165</v>
      </c>
      <c r="G1810" s="2">
        <f t="shared" si="112"/>
        <v>0.53769696969696967</v>
      </c>
      <c r="H1810" t="str">
        <f t="shared" si="113"/>
        <v>July</v>
      </c>
      <c r="I1810" t="str">
        <f t="shared" si="114"/>
        <v>Q3</v>
      </c>
      <c r="J1810" t="str">
        <f t="shared" si="115"/>
        <v>Small</v>
      </c>
    </row>
    <row r="1811" spans="1:10" x14ac:dyDescent="0.25">
      <c r="A1811" t="s">
        <v>48</v>
      </c>
      <c r="B1811" t="s">
        <v>7</v>
      </c>
      <c r="C1811" t="s">
        <v>44</v>
      </c>
      <c r="D1811" s="1">
        <v>45058</v>
      </c>
      <c r="E1811" s="2">
        <v>9793.16</v>
      </c>
      <c r="F1811">
        <v>110</v>
      </c>
      <c r="G1811" s="2">
        <f t="shared" si="112"/>
        <v>89.028727272727266</v>
      </c>
      <c r="H1811" t="str">
        <f t="shared" si="113"/>
        <v>May</v>
      </c>
      <c r="I1811" t="str">
        <f t="shared" si="114"/>
        <v>Q2</v>
      </c>
      <c r="J1811" t="str">
        <f t="shared" si="115"/>
        <v>Large</v>
      </c>
    </row>
    <row r="1812" spans="1:10" x14ac:dyDescent="0.25">
      <c r="A1812" t="s">
        <v>50</v>
      </c>
      <c r="B1812" t="s">
        <v>21</v>
      </c>
      <c r="C1812" t="s">
        <v>51</v>
      </c>
      <c r="D1812" s="1">
        <v>45020</v>
      </c>
      <c r="E1812" s="2">
        <v>4823.6499999999996</v>
      </c>
      <c r="F1812">
        <v>143</v>
      </c>
      <c r="G1812" s="2">
        <f t="shared" si="112"/>
        <v>33.731818181818177</v>
      </c>
      <c r="H1812" t="str">
        <f t="shared" si="113"/>
        <v>April</v>
      </c>
      <c r="I1812" t="str">
        <f t="shared" si="114"/>
        <v>Q2</v>
      </c>
      <c r="J1812" t="str">
        <f t="shared" si="115"/>
        <v>Large</v>
      </c>
    </row>
    <row r="1813" spans="1:10" x14ac:dyDescent="0.25">
      <c r="A1813" t="s">
        <v>53</v>
      </c>
      <c r="B1813" t="s">
        <v>15</v>
      </c>
      <c r="C1813" t="s">
        <v>27</v>
      </c>
      <c r="D1813" s="1">
        <v>45031</v>
      </c>
      <c r="E1813" s="2">
        <v>7556.55</v>
      </c>
      <c r="F1813">
        <v>404</v>
      </c>
      <c r="G1813" s="2">
        <f t="shared" si="112"/>
        <v>18.704331683168316</v>
      </c>
      <c r="H1813" t="str">
        <f t="shared" si="113"/>
        <v>April</v>
      </c>
      <c r="I1813" t="str">
        <f t="shared" si="114"/>
        <v>Q2</v>
      </c>
      <c r="J1813" t="str">
        <f t="shared" si="115"/>
        <v>Large</v>
      </c>
    </row>
    <row r="1814" spans="1:10" x14ac:dyDescent="0.25">
      <c r="A1814" t="s">
        <v>36</v>
      </c>
      <c r="B1814" t="s">
        <v>29</v>
      </c>
      <c r="C1814" t="s">
        <v>30</v>
      </c>
      <c r="D1814" s="1">
        <v>44993</v>
      </c>
      <c r="E1814" s="2">
        <v>7082.03</v>
      </c>
      <c r="F1814">
        <v>95</v>
      </c>
      <c r="G1814" s="2">
        <f t="shared" si="112"/>
        <v>74.547684210526313</v>
      </c>
      <c r="H1814" t="str">
        <f t="shared" si="113"/>
        <v>March</v>
      </c>
      <c r="I1814" t="str">
        <f t="shared" si="114"/>
        <v>Q1</v>
      </c>
      <c r="J1814" t="str">
        <f t="shared" si="115"/>
        <v>Large</v>
      </c>
    </row>
    <row r="1815" spans="1:10" x14ac:dyDescent="0.25">
      <c r="A1815" t="s">
        <v>31</v>
      </c>
      <c r="B1815" t="s">
        <v>10</v>
      </c>
      <c r="C1815" t="s">
        <v>44</v>
      </c>
      <c r="D1815" s="1">
        <v>44943</v>
      </c>
      <c r="E1815" s="2">
        <v>8361.4699999999993</v>
      </c>
      <c r="F1815">
        <v>231</v>
      </c>
      <c r="G1815" s="2">
        <f t="shared" si="112"/>
        <v>36.196839826839827</v>
      </c>
      <c r="H1815" t="str">
        <f t="shared" si="113"/>
        <v>January</v>
      </c>
      <c r="I1815" t="str">
        <f t="shared" si="114"/>
        <v>Q1</v>
      </c>
      <c r="J1815" t="str">
        <f t="shared" si="115"/>
        <v>Large</v>
      </c>
    </row>
    <row r="1816" spans="1:10" x14ac:dyDescent="0.25">
      <c r="A1816" t="s">
        <v>46</v>
      </c>
      <c r="B1816" t="s">
        <v>10</v>
      </c>
      <c r="C1816" t="s">
        <v>8</v>
      </c>
      <c r="D1816" s="1">
        <v>45160</v>
      </c>
      <c r="E1816" s="2">
        <v>1310.5</v>
      </c>
      <c r="F1816">
        <v>52</v>
      </c>
      <c r="G1816" s="2">
        <f t="shared" si="112"/>
        <v>25.201923076923077</v>
      </c>
      <c r="H1816" t="str">
        <f t="shared" si="113"/>
        <v>August</v>
      </c>
      <c r="I1816" t="str">
        <f t="shared" si="114"/>
        <v>Q3</v>
      </c>
      <c r="J1816" t="str">
        <f t="shared" si="115"/>
        <v>Large</v>
      </c>
    </row>
    <row r="1817" spans="1:10" x14ac:dyDescent="0.25">
      <c r="A1817" t="s">
        <v>48</v>
      </c>
      <c r="B1817" t="s">
        <v>7</v>
      </c>
      <c r="C1817" t="s">
        <v>18</v>
      </c>
      <c r="D1817" s="1">
        <v>45132</v>
      </c>
      <c r="E1817" s="2">
        <v>1288.0999999999999</v>
      </c>
      <c r="F1817">
        <v>67</v>
      </c>
      <c r="G1817" s="2">
        <f t="shared" si="112"/>
        <v>19.225373134328358</v>
      </c>
      <c r="H1817" t="str">
        <f t="shared" si="113"/>
        <v>July</v>
      </c>
      <c r="I1817" t="str">
        <f t="shared" si="114"/>
        <v>Q3</v>
      </c>
      <c r="J1817" t="str">
        <f t="shared" si="115"/>
        <v>Large</v>
      </c>
    </row>
    <row r="1818" spans="1:10" x14ac:dyDescent="0.25">
      <c r="A1818" t="s">
        <v>33</v>
      </c>
      <c r="B1818" t="s">
        <v>7</v>
      </c>
      <c r="C1818" t="s">
        <v>22</v>
      </c>
      <c r="D1818" s="1">
        <v>45091</v>
      </c>
      <c r="E1818" s="2">
        <v>3288.29</v>
      </c>
      <c r="F1818">
        <v>133</v>
      </c>
      <c r="G1818" s="2">
        <f t="shared" si="112"/>
        <v>24.723984962406014</v>
      </c>
      <c r="H1818" t="str">
        <f t="shared" si="113"/>
        <v>June</v>
      </c>
      <c r="I1818" t="str">
        <f t="shared" si="114"/>
        <v>Q2</v>
      </c>
      <c r="J1818" t="str">
        <f t="shared" si="115"/>
        <v>Large</v>
      </c>
    </row>
    <row r="1819" spans="1:10" x14ac:dyDescent="0.25">
      <c r="A1819" t="s">
        <v>55</v>
      </c>
      <c r="B1819" t="s">
        <v>10</v>
      </c>
      <c r="C1819" t="s">
        <v>52</v>
      </c>
      <c r="D1819" s="1">
        <v>45021</v>
      </c>
      <c r="E1819" s="2">
        <v>10669.09</v>
      </c>
      <c r="F1819">
        <v>85</v>
      </c>
      <c r="G1819" s="2">
        <f t="shared" si="112"/>
        <v>125.51870588235295</v>
      </c>
      <c r="H1819" t="str">
        <f t="shared" si="113"/>
        <v>April</v>
      </c>
      <c r="I1819" t="str">
        <f t="shared" si="114"/>
        <v>Q2</v>
      </c>
      <c r="J1819" t="str">
        <f t="shared" si="115"/>
        <v>Large</v>
      </c>
    </row>
    <row r="1820" spans="1:10" x14ac:dyDescent="0.25">
      <c r="A1820" t="s">
        <v>53</v>
      </c>
      <c r="B1820" t="s">
        <v>7</v>
      </c>
      <c r="C1820" t="s">
        <v>51</v>
      </c>
      <c r="D1820" s="1">
        <v>45164</v>
      </c>
      <c r="E1820" s="2">
        <v>7361.93</v>
      </c>
      <c r="F1820">
        <v>344</v>
      </c>
      <c r="G1820" s="2">
        <f t="shared" si="112"/>
        <v>21.400959302325582</v>
      </c>
      <c r="H1820" t="str">
        <f t="shared" si="113"/>
        <v>August</v>
      </c>
      <c r="I1820" t="str">
        <f t="shared" si="114"/>
        <v>Q3</v>
      </c>
      <c r="J1820" t="str">
        <f t="shared" si="115"/>
        <v>Large</v>
      </c>
    </row>
    <row r="1821" spans="1:10" x14ac:dyDescent="0.25">
      <c r="A1821" t="s">
        <v>46</v>
      </c>
      <c r="B1821" t="s">
        <v>15</v>
      </c>
      <c r="C1821" t="s">
        <v>22</v>
      </c>
      <c r="D1821" s="1">
        <v>45141</v>
      </c>
      <c r="E1821" s="2">
        <v>10336.219999999999</v>
      </c>
      <c r="F1821">
        <v>123</v>
      </c>
      <c r="G1821" s="2">
        <f t="shared" si="112"/>
        <v>84.034308943089428</v>
      </c>
      <c r="H1821" t="str">
        <f t="shared" si="113"/>
        <v>August</v>
      </c>
      <c r="I1821" t="str">
        <f t="shared" si="114"/>
        <v>Q3</v>
      </c>
      <c r="J1821" t="str">
        <f t="shared" si="115"/>
        <v>Large</v>
      </c>
    </row>
    <row r="1822" spans="1:10" x14ac:dyDescent="0.25">
      <c r="A1822" t="s">
        <v>12</v>
      </c>
      <c r="B1822" t="s">
        <v>29</v>
      </c>
      <c r="C1822" t="s">
        <v>44</v>
      </c>
      <c r="D1822" s="1">
        <v>45118</v>
      </c>
      <c r="E1822" s="2">
        <v>6985.95</v>
      </c>
      <c r="F1822">
        <v>4</v>
      </c>
      <c r="G1822" s="2">
        <f t="shared" si="112"/>
        <v>1746.4875</v>
      </c>
      <c r="H1822" t="str">
        <f t="shared" si="113"/>
        <v>July</v>
      </c>
      <c r="I1822" t="str">
        <f t="shared" si="114"/>
        <v>Q3</v>
      </c>
      <c r="J1822" t="str">
        <f t="shared" si="115"/>
        <v>Large</v>
      </c>
    </row>
    <row r="1823" spans="1:10" x14ac:dyDescent="0.25">
      <c r="A1823" t="s">
        <v>46</v>
      </c>
      <c r="B1823" t="s">
        <v>21</v>
      </c>
      <c r="C1823" t="s">
        <v>30</v>
      </c>
      <c r="D1823" s="1">
        <v>44996</v>
      </c>
      <c r="E1823" s="2">
        <v>3394.46</v>
      </c>
      <c r="F1823">
        <v>21</v>
      </c>
      <c r="G1823" s="2">
        <f t="shared" si="112"/>
        <v>161.64095238095237</v>
      </c>
      <c r="H1823" t="str">
        <f t="shared" si="113"/>
        <v>March</v>
      </c>
      <c r="I1823" t="str">
        <f t="shared" si="114"/>
        <v>Q1</v>
      </c>
      <c r="J1823" t="str">
        <f t="shared" si="115"/>
        <v>Large</v>
      </c>
    </row>
    <row r="1824" spans="1:10" x14ac:dyDescent="0.25">
      <c r="A1824" t="s">
        <v>23</v>
      </c>
      <c r="B1824" t="s">
        <v>7</v>
      </c>
      <c r="C1824" t="s">
        <v>13</v>
      </c>
      <c r="D1824" s="1">
        <v>44936</v>
      </c>
      <c r="E1824" s="2">
        <v>15337.23</v>
      </c>
      <c r="F1824">
        <v>31</v>
      </c>
      <c r="G1824" s="2">
        <f t="shared" si="112"/>
        <v>494.74935483870968</v>
      </c>
      <c r="H1824" t="str">
        <f t="shared" si="113"/>
        <v>January</v>
      </c>
      <c r="I1824" t="str">
        <f t="shared" si="114"/>
        <v>Q1</v>
      </c>
      <c r="J1824" t="str">
        <f t="shared" si="115"/>
        <v>Large</v>
      </c>
    </row>
    <row r="1825" spans="1:10" x14ac:dyDescent="0.25">
      <c r="A1825" t="s">
        <v>36</v>
      </c>
      <c r="B1825" t="s">
        <v>7</v>
      </c>
      <c r="C1825" t="s">
        <v>56</v>
      </c>
      <c r="D1825" s="1">
        <v>45020</v>
      </c>
      <c r="E1825" s="2">
        <v>15925.17</v>
      </c>
      <c r="F1825">
        <v>378</v>
      </c>
      <c r="G1825" s="2">
        <f t="shared" si="112"/>
        <v>42.130079365079368</v>
      </c>
      <c r="H1825" t="str">
        <f t="shared" si="113"/>
        <v>April</v>
      </c>
      <c r="I1825" t="str">
        <f t="shared" si="114"/>
        <v>Q2</v>
      </c>
      <c r="J1825" t="str">
        <f t="shared" si="115"/>
        <v>Large</v>
      </c>
    </row>
    <row r="1826" spans="1:10" x14ac:dyDescent="0.25">
      <c r="A1826" t="s">
        <v>31</v>
      </c>
      <c r="B1826" t="s">
        <v>15</v>
      </c>
      <c r="C1826" t="s">
        <v>22</v>
      </c>
      <c r="D1826" s="1">
        <v>44943</v>
      </c>
      <c r="E1826" s="2">
        <v>7355.77</v>
      </c>
      <c r="F1826">
        <v>772</v>
      </c>
      <c r="G1826" s="2">
        <f t="shared" si="112"/>
        <v>9.5281994818652862</v>
      </c>
      <c r="H1826" t="str">
        <f t="shared" si="113"/>
        <v>January</v>
      </c>
      <c r="I1826" t="str">
        <f t="shared" si="114"/>
        <v>Q1</v>
      </c>
      <c r="J1826" t="str">
        <f t="shared" si="115"/>
        <v>Large</v>
      </c>
    </row>
    <row r="1827" spans="1:10" x14ac:dyDescent="0.25">
      <c r="A1827" t="s">
        <v>33</v>
      </c>
      <c r="B1827" t="s">
        <v>21</v>
      </c>
      <c r="C1827" t="s">
        <v>35</v>
      </c>
      <c r="D1827" s="1">
        <v>45115</v>
      </c>
      <c r="E1827" s="2">
        <v>9489.27</v>
      </c>
      <c r="F1827">
        <v>54</v>
      </c>
      <c r="G1827" s="2">
        <f t="shared" si="112"/>
        <v>175.72722222222222</v>
      </c>
      <c r="H1827" t="str">
        <f t="shared" si="113"/>
        <v>July</v>
      </c>
      <c r="I1827" t="str">
        <f t="shared" si="114"/>
        <v>Q3</v>
      </c>
      <c r="J1827" t="str">
        <f t="shared" si="115"/>
        <v>Large</v>
      </c>
    </row>
    <row r="1828" spans="1:10" x14ac:dyDescent="0.25">
      <c r="A1828" t="s">
        <v>14</v>
      </c>
      <c r="B1828" t="s">
        <v>7</v>
      </c>
      <c r="C1828" t="s">
        <v>35</v>
      </c>
      <c r="D1828" s="1">
        <v>45028</v>
      </c>
      <c r="E1828" s="2">
        <v>1281.32</v>
      </c>
      <c r="F1828">
        <v>354</v>
      </c>
      <c r="G1828" s="2">
        <f t="shared" si="112"/>
        <v>3.6195480225988699</v>
      </c>
      <c r="H1828" t="str">
        <f t="shared" si="113"/>
        <v>April</v>
      </c>
      <c r="I1828" t="str">
        <f t="shared" si="114"/>
        <v>Q2</v>
      </c>
      <c r="J1828" t="str">
        <f t="shared" si="115"/>
        <v>Large</v>
      </c>
    </row>
    <row r="1829" spans="1:10" x14ac:dyDescent="0.25">
      <c r="A1829" t="s">
        <v>24</v>
      </c>
      <c r="B1829" t="s">
        <v>29</v>
      </c>
      <c r="C1829" t="s">
        <v>42</v>
      </c>
      <c r="D1829" s="1">
        <v>45162</v>
      </c>
      <c r="E1829" s="2">
        <v>518.07000000000005</v>
      </c>
      <c r="F1829">
        <v>192</v>
      </c>
      <c r="G1829" s="2">
        <f t="shared" si="112"/>
        <v>2.6982812500000004</v>
      </c>
      <c r="H1829" t="str">
        <f t="shared" si="113"/>
        <v>August</v>
      </c>
      <c r="I1829" t="str">
        <f t="shared" si="114"/>
        <v>Q3</v>
      </c>
      <c r="J1829" t="str">
        <f t="shared" si="115"/>
        <v>Large</v>
      </c>
    </row>
    <row r="1830" spans="1:10" x14ac:dyDescent="0.25">
      <c r="A1830" t="s">
        <v>55</v>
      </c>
      <c r="B1830" t="s">
        <v>7</v>
      </c>
      <c r="C1830" t="s">
        <v>52</v>
      </c>
      <c r="D1830" s="1">
        <v>45084</v>
      </c>
      <c r="E1830" s="2">
        <v>1933.56</v>
      </c>
      <c r="F1830">
        <v>239</v>
      </c>
      <c r="G1830" s="2">
        <f t="shared" si="112"/>
        <v>8.0902092050209209</v>
      </c>
      <c r="H1830" t="str">
        <f t="shared" si="113"/>
        <v>June</v>
      </c>
      <c r="I1830" t="str">
        <f t="shared" si="114"/>
        <v>Q2</v>
      </c>
      <c r="J1830" t="str">
        <f t="shared" si="115"/>
        <v>Large</v>
      </c>
    </row>
    <row r="1831" spans="1:10" x14ac:dyDescent="0.25">
      <c r="A1831" t="s">
        <v>19</v>
      </c>
      <c r="B1831" t="s">
        <v>29</v>
      </c>
      <c r="C1831" t="s">
        <v>47</v>
      </c>
      <c r="D1831" s="1">
        <v>45135</v>
      </c>
      <c r="E1831" s="2">
        <v>1308.52</v>
      </c>
      <c r="F1831">
        <v>30</v>
      </c>
      <c r="G1831" s="2">
        <f t="shared" si="112"/>
        <v>43.617333333333335</v>
      </c>
      <c r="H1831" t="str">
        <f t="shared" si="113"/>
        <v>July</v>
      </c>
      <c r="I1831" t="str">
        <f t="shared" si="114"/>
        <v>Q3</v>
      </c>
      <c r="J1831" t="str">
        <f t="shared" si="115"/>
        <v>Large</v>
      </c>
    </row>
    <row r="1832" spans="1:10" x14ac:dyDescent="0.25">
      <c r="A1832" t="s">
        <v>40</v>
      </c>
      <c r="B1832" t="s">
        <v>26</v>
      </c>
      <c r="C1832" t="s">
        <v>18</v>
      </c>
      <c r="D1832" s="1">
        <v>44978</v>
      </c>
      <c r="E1832" s="2">
        <v>9878.5</v>
      </c>
      <c r="F1832">
        <v>111</v>
      </c>
      <c r="G1832" s="2">
        <f t="shared" si="112"/>
        <v>88.99549549549549</v>
      </c>
      <c r="H1832" t="str">
        <f t="shared" si="113"/>
        <v>February</v>
      </c>
      <c r="I1832" t="str">
        <f t="shared" si="114"/>
        <v>Q1</v>
      </c>
      <c r="J1832" t="str">
        <f t="shared" si="115"/>
        <v>Large</v>
      </c>
    </row>
    <row r="1833" spans="1:10" x14ac:dyDescent="0.25">
      <c r="A1833" t="s">
        <v>43</v>
      </c>
      <c r="B1833" t="s">
        <v>29</v>
      </c>
      <c r="C1833" t="s">
        <v>8</v>
      </c>
      <c r="D1833" s="1">
        <v>45024</v>
      </c>
      <c r="E1833" s="2">
        <v>1943.7</v>
      </c>
      <c r="F1833">
        <v>297</v>
      </c>
      <c r="G1833" s="2">
        <f t="shared" si="112"/>
        <v>6.5444444444444443</v>
      </c>
      <c r="H1833" t="str">
        <f t="shared" si="113"/>
        <v>April</v>
      </c>
      <c r="I1833" t="str">
        <f t="shared" si="114"/>
        <v>Q2</v>
      </c>
      <c r="J1833" t="str">
        <f t="shared" si="115"/>
        <v>Large</v>
      </c>
    </row>
    <row r="1834" spans="1:10" x14ac:dyDescent="0.25">
      <c r="A1834" t="s">
        <v>23</v>
      </c>
      <c r="B1834" t="s">
        <v>7</v>
      </c>
      <c r="C1834" t="s">
        <v>45</v>
      </c>
      <c r="D1834" s="1">
        <v>45105</v>
      </c>
      <c r="E1834" s="2">
        <v>80.62</v>
      </c>
      <c r="F1834">
        <v>103</v>
      </c>
      <c r="G1834" s="2">
        <f t="shared" si="112"/>
        <v>0.78271844660194179</v>
      </c>
      <c r="H1834" t="str">
        <f t="shared" si="113"/>
        <v>June</v>
      </c>
      <c r="I1834" t="str">
        <f t="shared" si="114"/>
        <v>Q2</v>
      </c>
      <c r="J1834" t="str">
        <f t="shared" si="115"/>
        <v>Small</v>
      </c>
    </row>
    <row r="1835" spans="1:10" x14ac:dyDescent="0.25">
      <c r="A1835" t="s">
        <v>9</v>
      </c>
      <c r="B1835" t="s">
        <v>7</v>
      </c>
      <c r="C1835" t="s">
        <v>56</v>
      </c>
      <c r="D1835" s="1">
        <v>45009</v>
      </c>
      <c r="E1835" s="2">
        <v>2678.37</v>
      </c>
      <c r="F1835">
        <v>20</v>
      </c>
      <c r="G1835" s="2">
        <f t="shared" si="112"/>
        <v>133.91849999999999</v>
      </c>
      <c r="H1835" t="str">
        <f t="shared" si="113"/>
        <v>March</v>
      </c>
      <c r="I1835" t="str">
        <f t="shared" si="114"/>
        <v>Q1</v>
      </c>
      <c r="J1835" t="str">
        <f t="shared" si="115"/>
        <v>Large</v>
      </c>
    </row>
    <row r="1836" spans="1:10" x14ac:dyDescent="0.25">
      <c r="A1836" t="s">
        <v>25</v>
      </c>
      <c r="B1836" t="s">
        <v>15</v>
      </c>
      <c r="C1836" t="s">
        <v>57</v>
      </c>
      <c r="D1836" s="1">
        <v>45136</v>
      </c>
      <c r="E1836" s="2">
        <v>2931.1</v>
      </c>
      <c r="F1836">
        <v>60</v>
      </c>
      <c r="G1836" s="2">
        <f t="shared" si="112"/>
        <v>48.851666666666667</v>
      </c>
      <c r="H1836" t="str">
        <f t="shared" si="113"/>
        <v>July</v>
      </c>
      <c r="I1836" t="str">
        <f t="shared" si="114"/>
        <v>Q3</v>
      </c>
      <c r="J1836" t="str">
        <f t="shared" si="115"/>
        <v>Large</v>
      </c>
    </row>
    <row r="1837" spans="1:10" x14ac:dyDescent="0.25">
      <c r="A1837" t="s">
        <v>43</v>
      </c>
      <c r="B1837" t="s">
        <v>26</v>
      </c>
      <c r="C1837" t="s">
        <v>30</v>
      </c>
      <c r="D1837" s="1">
        <v>45071</v>
      </c>
      <c r="E1837" s="2">
        <v>2316.09</v>
      </c>
      <c r="F1837">
        <v>90</v>
      </c>
      <c r="G1837" s="2">
        <f t="shared" si="112"/>
        <v>25.734333333333336</v>
      </c>
      <c r="H1837" t="str">
        <f t="shared" si="113"/>
        <v>May</v>
      </c>
      <c r="I1837" t="str">
        <f t="shared" si="114"/>
        <v>Q2</v>
      </c>
      <c r="J1837" t="str">
        <f t="shared" si="115"/>
        <v>Large</v>
      </c>
    </row>
    <row r="1838" spans="1:10" x14ac:dyDescent="0.25">
      <c r="A1838" t="s">
        <v>12</v>
      </c>
      <c r="B1838" t="s">
        <v>15</v>
      </c>
      <c r="C1838" t="s">
        <v>51</v>
      </c>
      <c r="D1838" s="1">
        <v>45015</v>
      </c>
      <c r="E1838" s="2">
        <v>6722.22</v>
      </c>
      <c r="F1838">
        <v>330</v>
      </c>
      <c r="G1838" s="2">
        <f t="shared" si="112"/>
        <v>20.370363636363638</v>
      </c>
      <c r="H1838" t="str">
        <f t="shared" si="113"/>
        <v>March</v>
      </c>
      <c r="I1838" t="str">
        <f t="shared" si="114"/>
        <v>Q1</v>
      </c>
      <c r="J1838" t="str">
        <f t="shared" si="115"/>
        <v>Large</v>
      </c>
    </row>
    <row r="1839" spans="1:10" x14ac:dyDescent="0.25">
      <c r="A1839" t="s">
        <v>43</v>
      </c>
      <c r="B1839" t="s">
        <v>26</v>
      </c>
      <c r="C1839" t="s">
        <v>35</v>
      </c>
      <c r="D1839" s="1">
        <v>45125</v>
      </c>
      <c r="E1839" s="2">
        <v>14528.51</v>
      </c>
      <c r="F1839">
        <v>134</v>
      </c>
      <c r="G1839" s="2">
        <f t="shared" si="112"/>
        <v>108.42171641791045</v>
      </c>
      <c r="H1839" t="str">
        <f t="shared" si="113"/>
        <v>July</v>
      </c>
      <c r="I1839" t="str">
        <f t="shared" si="114"/>
        <v>Q3</v>
      </c>
      <c r="J1839" t="str">
        <f t="shared" si="115"/>
        <v>Large</v>
      </c>
    </row>
    <row r="1840" spans="1:10" x14ac:dyDescent="0.25">
      <c r="A1840" t="s">
        <v>34</v>
      </c>
      <c r="B1840" t="s">
        <v>29</v>
      </c>
      <c r="C1840" t="s">
        <v>27</v>
      </c>
      <c r="D1840" s="1">
        <v>45056</v>
      </c>
      <c r="E1840" s="2">
        <v>9390.2800000000007</v>
      </c>
      <c r="F1840">
        <v>104</v>
      </c>
      <c r="G1840" s="2">
        <f t="shared" si="112"/>
        <v>90.291153846153847</v>
      </c>
      <c r="H1840" t="str">
        <f t="shared" si="113"/>
        <v>May</v>
      </c>
      <c r="I1840" t="str">
        <f t="shared" si="114"/>
        <v>Q2</v>
      </c>
      <c r="J1840" t="str">
        <f t="shared" si="115"/>
        <v>Large</v>
      </c>
    </row>
    <row r="1841" spans="1:10" x14ac:dyDescent="0.25">
      <c r="A1841" t="s">
        <v>28</v>
      </c>
      <c r="B1841" t="s">
        <v>15</v>
      </c>
      <c r="C1841" t="s">
        <v>52</v>
      </c>
      <c r="D1841" s="1">
        <v>45003</v>
      </c>
      <c r="E1841" s="2">
        <v>16230.41</v>
      </c>
      <c r="F1841">
        <v>94</v>
      </c>
      <c r="G1841" s="2">
        <f t="shared" si="112"/>
        <v>172.66393617021276</v>
      </c>
      <c r="H1841" t="str">
        <f t="shared" si="113"/>
        <v>March</v>
      </c>
      <c r="I1841" t="str">
        <f t="shared" si="114"/>
        <v>Q1</v>
      </c>
      <c r="J1841" t="str">
        <f t="shared" si="115"/>
        <v>Large</v>
      </c>
    </row>
    <row r="1842" spans="1:10" x14ac:dyDescent="0.25">
      <c r="A1842" t="s">
        <v>55</v>
      </c>
      <c r="B1842" t="s">
        <v>10</v>
      </c>
      <c r="C1842" t="s">
        <v>57</v>
      </c>
      <c r="D1842" s="1">
        <v>45092</v>
      </c>
      <c r="E1842" s="2">
        <v>7224.39</v>
      </c>
      <c r="F1842">
        <v>55</v>
      </c>
      <c r="G1842" s="2">
        <f t="shared" si="112"/>
        <v>131.35254545454546</v>
      </c>
      <c r="H1842" t="str">
        <f t="shared" si="113"/>
        <v>June</v>
      </c>
      <c r="I1842" t="str">
        <f t="shared" si="114"/>
        <v>Q2</v>
      </c>
      <c r="J1842" t="str">
        <f t="shared" si="115"/>
        <v>Large</v>
      </c>
    </row>
    <row r="1843" spans="1:10" x14ac:dyDescent="0.25">
      <c r="A1843" t="s">
        <v>9</v>
      </c>
      <c r="B1843" t="s">
        <v>29</v>
      </c>
      <c r="C1843" t="s">
        <v>22</v>
      </c>
      <c r="D1843" s="1">
        <v>45058</v>
      </c>
      <c r="E1843" s="2">
        <v>15567.58</v>
      </c>
      <c r="F1843">
        <v>57</v>
      </c>
      <c r="G1843" s="2">
        <f t="shared" si="112"/>
        <v>273.11543859649123</v>
      </c>
      <c r="H1843" t="str">
        <f t="shared" si="113"/>
        <v>May</v>
      </c>
      <c r="I1843" t="str">
        <f t="shared" si="114"/>
        <v>Q2</v>
      </c>
      <c r="J1843" t="str">
        <f t="shared" si="115"/>
        <v>Large</v>
      </c>
    </row>
    <row r="1844" spans="1:10" x14ac:dyDescent="0.25">
      <c r="A1844" t="s">
        <v>49</v>
      </c>
      <c r="B1844" t="s">
        <v>21</v>
      </c>
      <c r="C1844" t="s">
        <v>56</v>
      </c>
      <c r="D1844" s="1">
        <v>45100</v>
      </c>
      <c r="E1844" s="2">
        <v>2964.2</v>
      </c>
      <c r="F1844">
        <v>105</v>
      </c>
      <c r="G1844" s="2">
        <f t="shared" si="112"/>
        <v>28.230476190476189</v>
      </c>
      <c r="H1844" t="str">
        <f t="shared" si="113"/>
        <v>June</v>
      </c>
      <c r="I1844" t="str">
        <f t="shared" si="114"/>
        <v>Q2</v>
      </c>
      <c r="J1844" t="str">
        <f t="shared" si="115"/>
        <v>Large</v>
      </c>
    </row>
    <row r="1845" spans="1:10" x14ac:dyDescent="0.25">
      <c r="A1845" t="s">
        <v>34</v>
      </c>
      <c r="B1845" t="s">
        <v>10</v>
      </c>
      <c r="C1845" t="s">
        <v>39</v>
      </c>
      <c r="D1845" s="1">
        <v>45037</v>
      </c>
      <c r="E1845" s="2">
        <v>3357.08</v>
      </c>
      <c r="F1845">
        <v>186</v>
      </c>
      <c r="G1845" s="2">
        <f t="shared" si="112"/>
        <v>18.048817204301074</v>
      </c>
      <c r="H1845" t="str">
        <f t="shared" si="113"/>
        <v>April</v>
      </c>
      <c r="I1845" t="str">
        <f t="shared" si="114"/>
        <v>Q2</v>
      </c>
      <c r="J1845" t="str">
        <f t="shared" si="115"/>
        <v>Large</v>
      </c>
    </row>
    <row r="1846" spans="1:10" x14ac:dyDescent="0.25">
      <c r="A1846" t="s">
        <v>12</v>
      </c>
      <c r="B1846" t="s">
        <v>15</v>
      </c>
      <c r="C1846" t="s">
        <v>47</v>
      </c>
      <c r="D1846" s="1">
        <v>45155</v>
      </c>
      <c r="E1846" s="2">
        <v>1010.37</v>
      </c>
      <c r="F1846">
        <v>127</v>
      </c>
      <c r="G1846" s="2">
        <f t="shared" si="112"/>
        <v>7.9556692913385829</v>
      </c>
      <c r="H1846" t="str">
        <f t="shared" si="113"/>
        <v>August</v>
      </c>
      <c r="I1846" t="str">
        <f t="shared" si="114"/>
        <v>Q3</v>
      </c>
      <c r="J1846" t="str">
        <f t="shared" si="115"/>
        <v>Large</v>
      </c>
    </row>
    <row r="1847" spans="1:10" x14ac:dyDescent="0.25">
      <c r="A1847" t="s">
        <v>24</v>
      </c>
      <c r="B1847" t="s">
        <v>21</v>
      </c>
      <c r="C1847" t="s">
        <v>30</v>
      </c>
      <c r="D1847" s="1">
        <v>44964</v>
      </c>
      <c r="E1847" s="2">
        <v>20470.43</v>
      </c>
      <c r="F1847">
        <v>54</v>
      </c>
      <c r="G1847" s="2">
        <f t="shared" si="112"/>
        <v>379.08203703703703</v>
      </c>
      <c r="H1847" t="str">
        <f t="shared" si="113"/>
        <v>February</v>
      </c>
      <c r="I1847" t="str">
        <f t="shared" si="114"/>
        <v>Q1</v>
      </c>
      <c r="J1847" t="str">
        <f t="shared" si="115"/>
        <v>Large</v>
      </c>
    </row>
    <row r="1848" spans="1:10" x14ac:dyDescent="0.25">
      <c r="A1848" t="s">
        <v>49</v>
      </c>
      <c r="B1848" t="s">
        <v>29</v>
      </c>
      <c r="C1848" t="s">
        <v>16</v>
      </c>
      <c r="D1848" s="1">
        <v>45002</v>
      </c>
      <c r="E1848" s="2">
        <v>8762.75</v>
      </c>
      <c r="F1848">
        <v>115</v>
      </c>
      <c r="G1848" s="2">
        <f t="shared" si="112"/>
        <v>76.197826086956525</v>
      </c>
      <c r="H1848" t="str">
        <f t="shared" si="113"/>
        <v>March</v>
      </c>
      <c r="I1848" t="str">
        <f t="shared" si="114"/>
        <v>Q1</v>
      </c>
      <c r="J1848" t="str">
        <f t="shared" si="115"/>
        <v>Large</v>
      </c>
    </row>
    <row r="1849" spans="1:10" x14ac:dyDescent="0.25">
      <c r="A1849" t="s">
        <v>14</v>
      </c>
      <c r="B1849" t="s">
        <v>10</v>
      </c>
      <c r="C1849" t="s">
        <v>56</v>
      </c>
      <c r="D1849" s="1">
        <v>45139</v>
      </c>
      <c r="E1849" s="2">
        <v>14613.52</v>
      </c>
      <c r="F1849">
        <v>85</v>
      </c>
      <c r="G1849" s="2">
        <f t="shared" si="112"/>
        <v>171.92376470588235</v>
      </c>
      <c r="H1849" t="str">
        <f t="shared" si="113"/>
        <v>August</v>
      </c>
      <c r="I1849" t="str">
        <f t="shared" si="114"/>
        <v>Q3</v>
      </c>
      <c r="J1849" t="str">
        <f t="shared" si="115"/>
        <v>Large</v>
      </c>
    </row>
    <row r="1850" spans="1:10" x14ac:dyDescent="0.25">
      <c r="A1850" t="s">
        <v>6</v>
      </c>
      <c r="B1850" t="s">
        <v>15</v>
      </c>
      <c r="C1850" t="s">
        <v>37</v>
      </c>
      <c r="D1850" s="1">
        <v>45003</v>
      </c>
      <c r="E1850" s="2">
        <v>9839.4599999999991</v>
      </c>
      <c r="F1850">
        <v>31</v>
      </c>
      <c r="G1850" s="2">
        <f t="shared" si="112"/>
        <v>317.40193548387094</v>
      </c>
      <c r="H1850" t="str">
        <f t="shared" si="113"/>
        <v>March</v>
      </c>
      <c r="I1850" t="str">
        <f t="shared" si="114"/>
        <v>Q1</v>
      </c>
      <c r="J1850" t="str">
        <f t="shared" si="115"/>
        <v>Large</v>
      </c>
    </row>
    <row r="1851" spans="1:10" x14ac:dyDescent="0.25">
      <c r="A1851" t="s">
        <v>12</v>
      </c>
      <c r="B1851" t="s">
        <v>29</v>
      </c>
      <c r="C1851" t="s">
        <v>42</v>
      </c>
      <c r="D1851" s="1">
        <v>45091</v>
      </c>
      <c r="E1851" s="2">
        <v>6633.23</v>
      </c>
      <c r="F1851">
        <v>103</v>
      </c>
      <c r="G1851" s="2">
        <f t="shared" si="112"/>
        <v>64.400291262135923</v>
      </c>
      <c r="H1851" t="str">
        <f t="shared" si="113"/>
        <v>June</v>
      </c>
      <c r="I1851" t="str">
        <f t="shared" si="114"/>
        <v>Q2</v>
      </c>
      <c r="J1851" t="str">
        <f t="shared" si="115"/>
        <v>Large</v>
      </c>
    </row>
    <row r="1852" spans="1:10" x14ac:dyDescent="0.25">
      <c r="A1852" t="s">
        <v>34</v>
      </c>
      <c r="B1852" t="s">
        <v>7</v>
      </c>
      <c r="C1852" t="s">
        <v>30</v>
      </c>
      <c r="D1852" s="1">
        <v>45038</v>
      </c>
      <c r="E1852" s="2">
        <v>9749.07</v>
      </c>
      <c r="F1852">
        <v>169</v>
      </c>
      <c r="G1852" s="2">
        <f t="shared" si="112"/>
        <v>57.686804733727811</v>
      </c>
      <c r="H1852" t="str">
        <f t="shared" si="113"/>
        <v>April</v>
      </c>
      <c r="I1852" t="str">
        <f t="shared" si="114"/>
        <v>Q2</v>
      </c>
      <c r="J1852" t="str">
        <f t="shared" si="115"/>
        <v>Large</v>
      </c>
    </row>
    <row r="1853" spans="1:10" x14ac:dyDescent="0.25">
      <c r="A1853" t="s">
        <v>33</v>
      </c>
      <c r="B1853" t="s">
        <v>21</v>
      </c>
      <c r="C1853" t="s">
        <v>30</v>
      </c>
      <c r="D1853" s="1">
        <v>44944</v>
      </c>
      <c r="E1853" s="2">
        <v>5254.38</v>
      </c>
      <c r="F1853">
        <v>31</v>
      </c>
      <c r="G1853" s="2">
        <f t="shared" si="112"/>
        <v>169.49612903225807</v>
      </c>
      <c r="H1853" t="str">
        <f t="shared" si="113"/>
        <v>January</v>
      </c>
      <c r="I1853" t="str">
        <f t="shared" si="114"/>
        <v>Q1</v>
      </c>
      <c r="J1853" t="str">
        <f t="shared" si="115"/>
        <v>Large</v>
      </c>
    </row>
    <row r="1854" spans="1:10" x14ac:dyDescent="0.25">
      <c r="A1854" t="s">
        <v>40</v>
      </c>
      <c r="B1854" t="s">
        <v>15</v>
      </c>
      <c r="C1854" t="s">
        <v>18</v>
      </c>
      <c r="D1854" s="1">
        <v>45164</v>
      </c>
      <c r="E1854" s="2">
        <v>3430.43</v>
      </c>
      <c r="F1854">
        <v>123</v>
      </c>
      <c r="G1854" s="2">
        <f t="shared" si="112"/>
        <v>27.889674796747965</v>
      </c>
      <c r="H1854" t="str">
        <f t="shared" si="113"/>
        <v>August</v>
      </c>
      <c r="I1854" t="str">
        <f t="shared" si="114"/>
        <v>Q3</v>
      </c>
      <c r="J1854" t="str">
        <f t="shared" si="115"/>
        <v>Large</v>
      </c>
    </row>
    <row r="1855" spans="1:10" x14ac:dyDescent="0.25">
      <c r="A1855" t="s">
        <v>19</v>
      </c>
      <c r="B1855" t="s">
        <v>21</v>
      </c>
      <c r="C1855" t="s">
        <v>42</v>
      </c>
      <c r="D1855" s="1">
        <v>45087</v>
      </c>
      <c r="E1855" s="2">
        <v>10454.549999999999</v>
      </c>
      <c r="F1855">
        <v>434</v>
      </c>
      <c r="G1855" s="2">
        <f t="shared" si="112"/>
        <v>24.088824884792626</v>
      </c>
      <c r="H1855" t="str">
        <f t="shared" si="113"/>
        <v>June</v>
      </c>
      <c r="I1855" t="str">
        <f t="shared" si="114"/>
        <v>Q2</v>
      </c>
      <c r="J1855" t="str">
        <f t="shared" si="115"/>
        <v>Large</v>
      </c>
    </row>
    <row r="1856" spans="1:10" x14ac:dyDescent="0.25">
      <c r="A1856" t="s">
        <v>38</v>
      </c>
      <c r="B1856" t="s">
        <v>29</v>
      </c>
      <c r="C1856" t="s">
        <v>58</v>
      </c>
      <c r="D1856" s="1">
        <v>44957</v>
      </c>
      <c r="E1856" s="2">
        <v>2413.87</v>
      </c>
      <c r="F1856">
        <v>7</v>
      </c>
      <c r="G1856" s="2">
        <f t="shared" si="112"/>
        <v>344.83857142857141</v>
      </c>
      <c r="H1856" t="str">
        <f t="shared" si="113"/>
        <v>January</v>
      </c>
      <c r="I1856" t="str">
        <f t="shared" si="114"/>
        <v>Q1</v>
      </c>
      <c r="J1856" t="str">
        <f t="shared" si="115"/>
        <v>Large</v>
      </c>
    </row>
    <row r="1857" spans="1:10" x14ac:dyDescent="0.25">
      <c r="A1857" t="s">
        <v>49</v>
      </c>
      <c r="B1857" t="s">
        <v>21</v>
      </c>
      <c r="C1857" t="s">
        <v>45</v>
      </c>
      <c r="D1857" s="1">
        <v>45024</v>
      </c>
      <c r="E1857" s="2">
        <v>1445.14</v>
      </c>
      <c r="F1857">
        <v>108</v>
      </c>
      <c r="G1857" s="2">
        <f t="shared" si="112"/>
        <v>13.380925925925927</v>
      </c>
      <c r="H1857" t="str">
        <f t="shared" si="113"/>
        <v>April</v>
      </c>
      <c r="I1857" t="str">
        <f t="shared" si="114"/>
        <v>Q2</v>
      </c>
      <c r="J1857" t="str">
        <f t="shared" si="115"/>
        <v>Large</v>
      </c>
    </row>
    <row r="1858" spans="1:10" x14ac:dyDescent="0.25">
      <c r="A1858" t="s">
        <v>54</v>
      </c>
      <c r="B1858" t="s">
        <v>15</v>
      </c>
      <c r="C1858" t="s">
        <v>56</v>
      </c>
      <c r="D1858" s="1">
        <v>45084</v>
      </c>
      <c r="E1858" s="2">
        <v>4022.64</v>
      </c>
      <c r="F1858">
        <v>71</v>
      </c>
      <c r="G1858" s="2">
        <f t="shared" si="112"/>
        <v>56.6569014084507</v>
      </c>
      <c r="H1858" t="str">
        <f t="shared" si="113"/>
        <v>June</v>
      </c>
      <c r="I1858" t="str">
        <f t="shared" si="114"/>
        <v>Q2</v>
      </c>
      <c r="J1858" t="str">
        <f t="shared" si="115"/>
        <v>Large</v>
      </c>
    </row>
    <row r="1859" spans="1:10" x14ac:dyDescent="0.25">
      <c r="A1859" t="s">
        <v>25</v>
      </c>
      <c r="B1859" t="s">
        <v>15</v>
      </c>
      <c r="C1859" t="s">
        <v>11</v>
      </c>
      <c r="D1859" s="1">
        <v>44967</v>
      </c>
      <c r="E1859" s="2">
        <v>8651.2000000000007</v>
      </c>
      <c r="F1859">
        <v>43</v>
      </c>
      <c r="G1859" s="2">
        <f t="shared" ref="G1859:G1922" si="116">E1859/F1859</f>
        <v>201.19069767441863</v>
      </c>
      <c r="H1859" t="str">
        <f t="shared" ref="H1859:H1922" si="117">TEXT(D1859, "mmmm")</f>
        <v>February</v>
      </c>
      <c r="I1859" t="str">
        <f t="shared" ref="I1859:I1922" si="118">"Q" &amp; ROUNDUP(MONTH(D1859)/3,0)</f>
        <v>Q1</v>
      </c>
      <c r="J1859" t="str">
        <f t="shared" ref="J1859:J1922" si="119">IF(E1859 &gt; 500, "Large", "Small")</f>
        <v>Large</v>
      </c>
    </row>
    <row r="1860" spans="1:10" x14ac:dyDescent="0.25">
      <c r="A1860" t="s">
        <v>34</v>
      </c>
      <c r="B1860" t="s">
        <v>15</v>
      </c>
      <c r="C1860" t="s">
        <v>22</v>
      </c>
      <c r="D1860" s="1">
        <v>45062</v>
      </c>
      <c r="E1860" s="2">
        <v>725.16</v>
      </c>
      <c r="F1860">
        <v>453</v>
      </c>
      <c r="G1860" s="2">
        <f t="shared" si="116"/>
        <v>1.600794701986755</v>
      </c>
      <c r="H1860" t="str">
        <f t="shared" si="117"/>
        <v>May</v>
      </c>
      <c r="I1860" t="str">
        <f t="shared" si="118"/>
        <v>Q2</v>
      </c>
      <c r="J1860" t="str">
        <f t="shared" si="119"/>
        <v>Large</v>
      </c>
    </row>
    <row r="1861" spans="1:10" x14ac:dyDescent="0.25">
      <c r="A1861" t="s">
        <v>19</v>
      </c>
      <c r="B1861" t="s">
        <v>10</v>
      </c>
      <c r="C1861" t="s">
        <v>56</v>
      </c>
      <c r="D1861" s="1">
        <v>45003</v>
      </c>
      <c r="E1861" s="2">
        <v>2385.4</v>
      </c>
      <c r="F1861">
        <v>540</v>
      </c>
      <c r="G1861" s="2">
        <f t="shared" si="116"/>
        <v>4.4174074074074072</v>
      </c>
      <c r="H1861" t="str">
        <f t="shared" si="117"/>
        <v>March</v>
      </c>
      <c r="I1861" t="str">
        <f t="shared" si="118"/>
        <v>Q1</v>
      </c>
      <c r="J1861" t="str">
        <f t="shared" si="119"/>
        <v>Large</v>
      </c>
    </row>
    <row r="1862" spans="1:10" x14ac:dyDescent="0.25">
      <c r="A1862" t="s">
        <v>9</v>
      </c>
      <c r="B1862" t="s">
        <v>15</v>
      </c>
      <c r="C1862" t="s">
        <v>22</v>
      </c>
      <c r="D1862" s="1">
        <v>45120</v>
      </c>
      <c r="E1862" s="2">
        <v>726.04</v>
      </c>
      <c r="F1862">
        <v>131</v>
      </c>
      <c r="G1862" s="2">
        <f t="shared" si="116"/>
        <v>5.5422900763358776</v>
      </c>
      <c r="H1862" t="str">
        <f t="shared" si="117"/>
        <v>July</v>
      </c>
      <c r="I1862" t="str">
        <f t="shared" si="118"/>
        <v>Q3</v>
      </c>
      <c r="J1862" t="str">
        <f t="shared" si="119"/>
        <v>Large</v>
      </c>
    </row>
    <row r="1863" spans="1:10" x14ac:dyDescent="0.25">
      <c r="A1863" t="s">
        <v>17</v>
      </c>
      <c r="B1863" t="s">
        <v>26</v>
      </c>
      <c r="C1863" t="s">
        <v>45</v>
      </c>
      <c r="D1863" s="1">
        <v>45132</v>
      </c>
      <c r="E1863" s="2">
        <v>4742.3500000000004</v>
      </c>
      <c r="F1863">
        <v>83</v>
      </c>
      <c r="G1863" s="2">
        <f t="shared" si="116"/>
        <v>57.13674698795181</v>
      </c>
      <c r="H1863" t="str">
        <f t="shared" si="117"/>
        <v>July</v>
      </c>
      <c r="I1863" t="str">
        <f t="shared" si="118"/>
        <v>Q3</v>
      </c>
      <c r="J1863" t="str">
        <f t="shared" si="119"/>
        <v>Large</v>
      </c>
    </row>
    <row r="1864" spans="1:10" x14ac:dyDescent="0.25">
      <c r="A1864" t="s">
        <v>9</v>
      </c>
      <c r="B1864" t="s">
        <v>29</v>
      </c>
      <c r="C1864" t="s">
        <v>52</v>
      </c>
      <c r="D1864" s="1">
        <v>45157</v>
      </c>
      <c r="E1864" s="2">
        <v>2556.96</v>
      </c>
      <c r="F1864">
        <v>312</v>
      </c>
      <c r="G1864" s="2">
        <f t="shared" si="116"/>
        <v>8.195384615384615</v>
      </c>
      <c r="H1864" t="str">
        <f t="shared" si="117"/>
        <v>August</v>
      </c>
      <c r="I1864" t="str">
        <f t="shared" si="118"/>
        <v>Q3</v>
      </c>
      <c r="J1864" t="str">
        <f t="shared" si="119"/>
        <v>Large</v>
      </c>
    </row>
    <row r="1865" spans="1:10" x14ac:dyDescent="0.25">
      <c r="A1865" t="s">
        <v>31</v>
      </c>
      <c r="B1865" t="s">
        <v>29</v>
      </c>
      <c r="C1865" t="s">
        <v>58</v>
      </c>
      <c r="D1865" s="1">
        <v>45101</v>
      </c>
      <c r="E1865" s="2">
        <v>8376.69</v>
      </c>
      <c r="F1865">
        <v>646</v>
      </c>
      <c r="G1865" s="2">
        <f t="shared" si="116"/>
        <v>12.967012383900929</v>
      </c>
      <c r="H1865" t="str">
        <f t="shared" si="117"/>
        <v>June</v>
      </c>
      <c r="I1865" t="str">
        <f t="shared" si="118"/>
        <v>Q2</v>
      </c>
      <c r="J1865" t="str">
        <f t="shared" si="119"/>
        <v>Large</v>
      </c>
    </row>
    <row r="1866" spans="1:10" x14ac:dyDescent="0.25">
      <c r="A1866" t="s">
        <v>49</v>
      </c>
      <c r="B1866" t="s">
        <v>29</v>
      </c>
      <c r="C1866" t="s">
        <v>42</v>
      </c>
      <c r="D1866" s="1">
        <v>45097</v>
      </c>
      <c r="E1866" s="2">
        <v>840.71</v>
      </c>
      <c r="F1866">
        <v>162</v>
      </c>
      <c r="G1866" s="2">
        <f t="shared" si="116"/>
        <v>5.1895679012345681</v>
      </c>
      <c r="H1866" t="str">
        <f t="shared" si="117"/>
        <v>June</v>
      </c>
      <c r="I1866" t="str">
        <f t="shared" si="118"/>
        <v>Q2</v>
      </c>
      <c r="J1866" t="str">
        <f t="shared" si="119"/>
        <v>Large</v>
      </c>
    </row>
    <row r="1867" spans="1:10" x14ac:dyDescent="0.25">
      <c r="A1867" t="s">
        <v>50</v>
      </c>
      <c r="B1867" t="s">
        <v>10</v>
      </c>
      <c r="C1867" t="s">
        <v>18</v>
      </c>
      <c r="D1867" s="1">
        <v>45140</v>
      </c>
      <c r="E1867" s="2">
        <v>207.87</v>
      </c>
      <c r="F1867">
        <v>216</v>
      </c>
      <c r="G1867" s="2">
        <f t="shared" si="116"/>
        <v>0.96236111111111111</v>
      </c>
      <c r="H1867" t="str">
        <f t="shared" si="117"/>
        <v>August</v>
      </c>
      <c r="I1867" t="str">
        <f t="shared" si="118"/>
        <v>Q3</v>
      </c>
      <c r="J1867" t="str">
        <f t="shared" si="119"/>
        <v>Small</v>
      </c>
    </row>
    <row r="1868" spans="1:10" x14ac:dyDescent="0.25">
      <c r="A1868" t="s">
        <v>53</v>
      </c>
      <c r="B1868" t="s">
        <v>21</v>
      </c>
      <c r="C1868" t="s">
        <v>58</v>
      </c>
      <c r="D1868" s="1">
        <v>44979</v>
      </c>
      <c r="E1868" s="2">
        <v>13370.34</v>
      </c>
      <c r="F1868">
        <v>94</v>
      </c>
      <c r="G1868" s="2">
        <f t="shared" si="116"/>
        <v>142.2376595744681</v>
      </c>
      <c r="H1868" t="str">
        <f t="shared" si="117"/>
        <v>February</v>
      </c>
      <c r="I1868" t="str">
        <f t="shared" si="118"/>
        <v>Q1</v>
      </c>
      <c r="J1868" t="str">
        <f t="shared" si="119"/>
        <v>Large</v>
      </c>
    </row>
    <row r="1869" spans="1:10" x14ac:dyDescent="0.25">
      <c r="A1869" t="s">
        <v>28</v>
      </c>
      <c r="B1869" t="s">
        <v>21</v>
      </c>
      <c r="C1869" t="s">
        <v>27</v>
      </c>
      <c r="D1869" s="1">
        <v>44958</v>
      </c>
      <c r="E1869" s="2">
        <v>6811.37</v>
      </c>
      <c r="F1869">
        <v>25</v>
      </c>
      <c r="G1869" s="2">
        <f t="shared" si="116"/>
        <v>272.45479999999998</v>
      </c>
      <c r="H1869" t="str">
        <f t="shared" si="117"/>
        <v>February</v>
      </c>
      <c r="I1869" t="str">
        <f t="shared" si="118"/>
        <v>Q1</v>
      </c>
      <c r="J1869" t="str">
        <f t="shared" si="119"/>
        <v>Large</v>
      </c>
    </row>
    <row r="1870" spans="1:10" x14ac:dyDescent="0.25">
      <c r="A1870" t="s">
        <v>14</v>
      </c>
      <c r="B1870" t="s">
        <v>29</v>
      </c>
      <c r="C1870" t="s">
        <v>58</v>
      </c>
      <c r="D1870" s="1">
        <v>44971</v>
      </c>
      <c r="E1870" s="2">
        <v>6096.52</v>
      </c>
      <c r="F1870">
        <v>300</v>
      </c>
      <c r="G1870" s="2">
        <f t="shared" si="116"/>
        <v>20.321733333333334</v>
      </c>
      <c r="H1870" t="str">
        <f t="shared" si="117"/>
        <v>February</v>
      </c>
      <c r="I1870" t="str">
        <f t="shared" si="118"/>
        <v>Q1</v>
      </c>
      <c r="J1870" t="str">
        <f t="shared" si="119"/>
        <v>Large</v>
      </c>
    </row>
    <row r="1871" spans="1:10" x14ac:dyDescent="0.25">
      <c r="A1871" t="s">
        <v>49</v>
      </c>
      <c r="B1871" t="s">
        <v>15</v>
      </c>
      <c r="C1871" t="s">
        <v>37</v>
      </c>
      <c r="D1871" s="1">
        <v>44981</v>
      </c>
      <c r="E1871" s="2">
        <v>8684.58</v>
      </c>
      <c r="F1871">
        <v>120</v>
      </c>
      <c r="G1871" s="2">
        <f t="shared" si="116"/>
        <v>72.371499999999997</v>
      </c>
      <c r="H1871" t="str">
        <f t="shared" si="117"/>
        <v>February</v>
      </c>
      <c r="I1871" t="str">
        <f t="shared" si="118"/>
        <v>Q1</v>
      </c>
      <c r="J1871" t="str">
        <f t="shared" si="119"/>
        <v>Large</v>
      </c>
    </row>
    <row r="1872" spans="1:10" x14ac:dyDescent="0.25">
      <c r="A1872" t="s">
        <v>43</v>
      </c>
      <c r="B1872" t="s">
        <v>10</v>
      </c>
      <c r="C1872" t="s">
        <v>27</v>
      </c>
      <c r="D1872" s="1">
        <v>45003</v>
      </c>
      <c r="E1872" s="2">
        <v>873.26</v>
      </c>
      <c r="F1872">
        <v>140</v>
      </c>
      <c r="G1872" s="2">
        <f t="shared" si="116"/>
        <v>6.2375714285714281</v>
      </c>
      <c r="H1872" t="str">
        <f t="shared" si="117"/>
        <v>March</v>
      </c>
      <c r="I1872" t="str">
        <f t="shared" si="118"/>
        <v>Q1</v>
      </c>
      <c r="J1872" t="str">
        <f t="shared" si="119"/>
        <v>Large</v>
      </c>
    </row>
    <row r="1873" spans="1:10" x14ac:dyDescent="0.25">
      <c r="A1873" t="s">
        <v>40</v>
      </c>
      <c r="B1873" t="s">
        <v>7</v>
      </c>
      <c r="C1873" t="s">
        <v>30</v>
      </c>
      <c r="D1873" s="1">
        <v>45168</v>
      </c>
      <c r="E1873" s="2">
        <v>1912.66</v>
      </c>
      <c r="F1873">
        <v>253</v>
      </c>
      <c r="G1873" s="2">
        <f t="shared" si="116"/>
        <v>7.5599209486166012</v>
      </c>
      <c r="H1873" t="str">
        <f t="shared" si="117"/>
        <v>August</v>
      </c>
      <c r="I1873" t="str">
        <f t="shared" si="118"/>
        <v>Q3</v>
      </c>
      <c r="J1873" t="str">
        <f t="shared" si="119"/>
        <v>Large</v>
      </c>
    </row>
    <row r="1874" spans="1:10" x14ac:dyDescent="0.25">
      <c r="A1874" t="s">
        <v>12</v>
      </c>
      <c r="B1874" t="s">
        <v>26</v>
      </c>
      <c r="C1874" t="s">
        <v>13</v>
      </c>
      <c r="D1874" s="1">
        <v>45055</v>
      </c>
      <c r="E1874" s="2">
        <v>321.61</v>
      </c>
      <c r="F1874">
        <v>76</v>
      </c>
      <c r="G1874" s="2">
        <f t="shared" si="116"/>
        <v>4.2317105263157897</v>
      </c>
      <c r="H1874" t="str">
        <f t="shared" si="117"/>
        <v>May</v>
      </c>
      <c r="I1874" t="str">
        <f t="shared" si="118"/>
        <v>Q2</v>
      </c>
      <c r="J1874" t="str">
        <f t="shared" si="119"/>
        <v>Small</v>
      </c>
    </row>
    <row r="1875" spans="1:10" x14ac:dyDescent="0.25">
      <c r="A1875" t="s">
        <v>46</v>
      </c>
      <c r="B1875" t="s">
        <v>26</v>
      </c>
      <c r="C1875" t="s">
        <v>16</v>
      </c>
      <c r="D1875" s="1">
        <v>44944</v>
      </c>
      <c r="E1875" s="2">
        <v>511.12</v>
      </c>
      <c r="F1875">
        <v>96</v>
      </c>
      <c r="G1875" s="2">
        <f t="shared" si="116"/>
        <v>5.3241666666666667</v>
      </c>
      <c r="H1875" t="str">
        <f t="shared" si="117"/>
        <v>January</v>
      </c>
      <c r="I1875" t="str">
        <f t="shared" si="118"/>
        <v>Q1</v>
      </c>
      <c r="J1875" t="str">
        <f t="shared" si="119"/>
        <v>Large</v>
      </c>
    </row>
    <row r="1876" spans="1:10" x14ac:dyDescent="0.25">
      <c r="A1876" t="s">
        <v>38</v>
      </c>
      <c r="B1876" t="s">
        <v>10</v>
      </c>
      <c r="C1876" t="s">
        <v>44</v>
      </c>
      <c r="D1876" s="1">
        <v>45111</v>
      </c>
      <c r="E1876" s="2">
        <v>7887.15</v>
      </c>
      <c r="F1876">
        <v>335</v>
      </c>
      <c r="G1876" s="2">
        <f t="shared" si="116"/>
        <v>23.543731343283582</v>
      </c>
      <c r="H1876" t="str">
        <f t="shared" si="117"/>
        <v>July</v>
      </c>
      <c r="I1876" t="str">
        <f t="shared" si="118"/>
        <v>Q3</v>
      </c>
      <c r="J1876" t="str">
        <f t="shared" si="119"/>
        <v>Large</v>
      </c>
    </row>
    <row r="1877" spans="1:10" x14ac:dyDescent="0.25">
      <c r="A1877" t="s">
        <v>17</v>
      </c>
      <c r="B1877" t="s">
        <v>21</v>
      </c>
      <c r="C1877" t="s">
        <v>39</v>
      </c>
      <c r="D1877" s="1">
        <v>45080</v>
      </c>
      <c r="E1877" s="2">
        <v>1793.67</v>
      </c>
      <c r="F1877">
        <v>13</v>
      </c>
      <c r="G1877" s="2">
        <f t="shared" si="116"/>
        <v>137.97461538461539</v>
      </c>
      <c r="H1877" t="str">
        <f t="shared" si="117"/>
        <v>June</v>
      </c>
      <c r="I1877" t="str">
        <f t="shared" si="118"/>
        <v>Q2</v>
      </c>
      <c r="J1877" t="str">
        <f t="shared" si="119"/>
        <v>Large</v>
      </c>
    </row>
    <row r="1878" spans="1:10" x14ac:dyDescent="0.25">
      <c r="A1878" t="s">
        <v>34</v>
      </c>
      <c r="B1878" t="s">
        <v>21</v>
      </c>
      <c r="C1878" t="s">
        <v>13</v>
      </c>
      <c r="D1878" s="1">
        <v>44980</v>
      </c>
      <c r="E1878" s="2">
        <v>12129.42</v>
      </c>
      <c r="F1878">
        <v>29</v>
      </c>
      <c r="G1878" s="2">
        <f t="shared" si="116"/>
        <v>418.25586206896554</v>
      </c>
      <c r="H1878" t="str">
        <f t="shared" si="117"/>
        <v>February</v>
      </c>
      <c r="I1878" t="str">
        <f t="shared" si="118"/>
        <v>Q1</v>
      </c>
      <c r="J1878" t="str">
        <f t="shared" si="119"/>
        <v>Large</v>
      </c>
    </row>
    <row r="1879" spans="1:10" x14ac:dyDescent="0.25">
      <c r="A1879" t="s">
        <v>54</v>
      </c>
      <c r="B1879" t="s">
        <v>21</v>
      </c>
      <c r="C1879" t="s">
        <v>18</v>
      </c>
      <c r="D1879" s="1">
        <v>45055</v>
      </c>
      <c r="E1879" s="2">
        <v>11749.75</v>
      </c>
      <c r="F1879">
        <v>213</v>
      </c>
      <c r="G1879" s="2">
        <f t="shared" si="116"/>
        <v>55.163145539906104</v>
      </c>
      <c r="H1879" t="str">
        <f t="shared" si="117"/>
        <v>May</v>
      </c>
      <c r="I1879" t="str">
        <f t="shared" si="118"/>
        <v>Q2</v>
      </c>
      <c r="J1879" t="str">
        <f t="shared" si="119"/>
        <v>Large</v>
      </c>
    </row>
    <row r="1880" spans="1:10" x14ac:dyDescent="0.25">
      <c r="A1880" t="s">
        <v>49</v>
      </c>
      <c r="B1880" t="s">
        <v>10</v>
      </c>
      <c r="C1880" t="s">
        <v>58</v>
      </c>
      <c r="D1880" s="1">
        <v>45083</v>
      </c>
      <c r="E1880" s="2">
        <v>3967.25</v>
      </c>
      <c r="F1880">
        <v>101</v>
      </c>
      <c r="G1880" s="2">
        <f t="shared" si="116"/>
        <v>39.279702970297031</v>
      </c>
      <c r="H1880" t="str">
        <f t="shared" si="117"/>
        <v>June</v>
      </c>
      <c r="I1880" t="str">
        <f t="shared" si="118"/>
        <v>Q2</v>
      </c>
      <c r="J1880" t="str">
        <f t="shared" si="119"/>
        <v>Large</v>
      </c>
    </row>
    <row r="1881" spans="1:10" x14ac:dyDescent="0.25">
      <c r="A1881" t="s">
        <v>49</v>
      </c>
      <c r="B1881" t="s">
        <v>10</v>
      </c>
      <c r="C1881" t="s">
        <v>32</v>
      </c>
      <c r="D1881" s="1">
        <v>45111</v>
      </c>
      <c r="E1881" s="2">
        <v>8105.37</v>
      </c>
      <c r="F1881">
        <v>255</v>
      </c>
      <c r="G1881" s="2">
        <f t="shared" si="116"/>
        <v>31.785764705882354</v>
      </c>
      <c r="H1881" t="str">
        <f t="shared" si="117"/>
        <v>July</v>
      </c>
      <c r="I1881" t="str">
        <f t="shared" si="118"/>
        <v>Q3</v>
      </c>
      <c r="J1881" t="str">
        <f t="shared" si="119"/>
        <v>Large</v>
      </c>
    </row>
    <row r="1882" spans="1:10" x14ac:dyDescent="0.25">
      <c r="A1882" t="s">
        <v>23</v>
      </c>
      <c r="B1882" t="s">
        <v>21</v>
      </c>
      <c r="C1882" t="s">
        <v>32</v>
      </c>
      <c r="D1882" s="1">
        <v>45083</v>
      </c>
      <c r="E1882" s="2">
        <v>1614.17</v>
      </c>
      <c r="F1882">
        <v>106</v>
      </c>
      <c r="G1882" s="2">
        <f t="shared" si="116"/>
        <v>15.228018867924529</v>
      </c>
      <c r="H1882" t="str">
        <f t="shared" si="117"/>
        <v>June</v>
      </c>
      <c r="I1882" t="str">
        <f t="shared" si="118"/>
        <v>Q2</v>
      </c>
      <c r="J1882" t="str">
        <f t="shared" si="119"/>
        <v>Large</v>
      </c>
    </row>
    <row r="1883" spans="1:10" x14ac:dyDescent="0.25">
      <c r="A1883" t="s">
        <v>54</v>
      </c>
      <c r="B1883" t="s">
        <v>15</v>
      </c>
      <c r="C1883" t="s">
        <v>47</v>
      </c>
      <c r="D1883" s="1">
        <v>45059</v>
      </c>
      <c r="E1883" s="2">
        <v>1613.3</v>
      </c>
      <c r="F1883">
        <v>91</v>
      </c>
      <c r="G1883" s="2">
        <f t="shared" si="116"/>
        <v>17.728571428571428</v>
      </c>
      <c r="H1883" t="str">
        <f t="shared" si="117"/>
        <v>May</v>
      </c>
      <c r="I1883" t="str">
        <f t="shared" si="118"/>
        <v>Q2</v>
      </c>
      <c r="J1883" t="str">
        <f t="shared" si="119"/>
        <v>Large</v>
      </c>
    </row>
    <row r="1884" spans="1:10" x14ac:dyDescent="0.25">
      <c r="A1884" t="s">
        <v>46</v>
      </c>
      <c r="B1884" t="s">
        <v>21</v>
      </c>
      <c r="C1884" t="s">
        <v>35</v>
      </c>
      <c r="D1884" s="1">
        <v>44957</v>
      </c>
      <c r="E1884" s="2">
        <v>2155.64</v>
      </c>
      <c r="F1884">
        <v>281</v>
      </c>
      <c r="G1884" s="2">
        <f t="shared" si="116"/>
        <v>7.671316725978647</v>
      </c>
      <c r="H1884" t="str">
        <f t="shared" si="117"/>
        <v>January</v>
      </c>
      <c r="I1884" t="str">
        <f t="shared" si="118"/>
        <v>Q1</v>
      </c>
      <c r="J1884" t="str">
        <f t="shared" si="119"/>
        <v>Large</v>
      </c>
    </row>
    <row r="1885" spans="1:10" x14ac:dyDescent="0.25">
      <c r="A1885" t="s">
        <v>55</v>
      </c>
      <c r="B1885" t="s">
        <v>21</v>
      </c>
      <c r="C1885" t="s">
        <v>57</v>
      </c>
      <c r="D1885" s="1">
        <v>45107</v>
      </c>
      <c r="E1885" s="2">
        <v>8184.37</v>
      </c>
      <c r="F1885">
        <v>43</v>
      </c>
      <c r="G1885" s="2">
        <f t="shared" si="116"/>
        <v>190.33418604651163</v>
      </c>
      <c r="H1885" t="str">
        <f t="shared" si="117"/>
        <v>June</v>
      </c>
      <c r="I1885" t="str">
        <f t="shared" si="118"/>
        <v>Q2</v>
      </c>
      <c r="J1885" t="str">
        <f t="shared" si="119"/>
        <v>Large</v>
      </c>
    </row>
    <row r="1886" spans="1:10" x14ac:dyDescent="0.25">
      <c r="A1886" t="s">
        <v>25</v>
      </c>
      <c r="B1886" t="s">
        <v>29</v>
      </c>
      <c r="C1886" t="s">
        <v>45</v>
      </c>
      <c r="D1886" s="1">
        <v>45163</v>
      </c>
      <c r="E1886" s="2">
        <v>3613.32</v>
      </c>
      <c r="F1886">
        <v>251</v>
      </c>
      <c r="G1886" s="2">
        <f t="shared" si="116"/>
        <v>14.39569721115538</v>
      </c>
      <c r="H1886" t="str">
        <f t="shared" si="117"/>
        <v>August</v>
      </c>
      <c r="I1886" t="str">
        <f t="shared" si="118"/>
        <v>Q3</v>
      </c>
      <c r="J1886" t="str">
        <f t="shared" si="119"/>
        <v>Large</v>
      </c>
    </row>
    <row r="1887" spans="1:10" x14ac:dyDescent="0.25">
      <c r="A1887" t="s">
        <v>12</v>
      </c>
      <c r="B1887" t="s">
        <v>21</v>
      </c>
      <c r="C1887" t="s">
        <v>16</v>
      </c>
      <c r="D1887" s="1">
        <v>44936</v>
      </c>
      <c r="E1887" s="2">
        <v>801.09</v>
      </c>
      <c r="F1887">
        <v>101</v>
      </c>
      <c r="G1887" s="2">
        <f t="shared" si="116"/>
        <v>7.9315841584158422</v>
      </c>
      <c r="H1887" t="str">
        <f t="shared" si="117"/>
        <v>January</v>
      </c>
      <c r="I1887" t="str">
        <f t="shared" si="118"/>
        <v>Q1</v>
      </c>
      <c r="J1887" t="str">
        <f t="shared" si="119"/>
        <v>Large</v>
      </c>
    </row>
    <row r="1888" spans="1:10" x14ac:dyDescent="0.25">
      <c r="A1888" t="s">
        <v>23</v>
      </c>
      <c r="B1888" t="s">
        <v>26</v>
      </c>
      <c r="C1888" t="s">
        <v>45</v>
      </c>
      <c r="D1888" s="1">
        <v>45160</v>
      </c>
      <c r="E1888" s="2">
        <v>2069.48</v>
      </c>
      <c r="F1888">
        <v>8</v>
      </c>
      <c r="G1888" s="2">
        <f t="shared" si="116"/>
        <v>258.685</v>
      </c>
      <c r="H1888" t="str">
        <f t="shared" si="117"/>
        <v>August</v>
      </c>
      <c r="I1888" t="str">
        <f t="shared" si="118"/>
        <v>Q3</v>
      </c>
      <c r="J1888" t="str">
        <f t="shared" si="119"/>
        <v>Large</v>
      </c>
    </row>
    <row r="1889" spans="1:10" x14ac:dyDescent="0.25">
      <c r="A1889" t="s">
        <v>36</v>
      </c>
      <c r="B1889" t="s">
        <v>21</v>
      </c>
      <c r="C1889" t="s">
        <v>11</v>
      </c>
      <c r="D1889" s="1">
        <v>45030</v>
      </c>
      <c r="E1889" s="2">
        <v>5096.21</v>
      </c>
      <c r="F1889">
        <v>284</v>
      </c>
      <c r="G1889" s="2">
        <f t="shared" si="116"/>
        <v>17.944401408450705</v>
      </c>
      <c r="H1889" t="str">
        <f t="shared" si="117"/>
        <v>April</v>
      </c>
      <c r="I1889" t="str">
        <f t="shared" si="118"/>
        <v>Q2</v>
      </c>
      <c r="J1889" t="str">
        <f t="shared" si="119"/>
        <v>Large</v>
      </c>
    </row>
    <row r="1890" spans="1:10" x14ac:dyDescent="0.25">
      <c r="A1890" t="s">
        <v>17</v>
      </c>
      <c r="B1890" t="s">
        <v>7</v>
      </c>
      <c r="C1890" t="s">
        <v>16</v>
      </c>
      <c r="D1890" s="1">
        <v>45077</v>
      </c>
      <c r="E1890" s="2">
        <v>10573.5</v>
      </c>
      <c r="F1890">
        <v>338</v>
      </c>
      <c r="G1890" s="2">
        <f t="shared" si="116"/>
        <v>31.282544378698226</v>
      </c>
      <c r="H1890" t="str">
        <f t="shared" si="117"/>
        <v>May</v>
      </c>
      <c r="I1890" t="str">
        <f t="shared" si="118"/>
        <v>Q2</v>
      </c>
      <c r="J1890" t="str">
        <f t="shared" si="119"/>
        <v>Large</v>
      </c>
    </row>
    <row r="1891" spans="1:10" x14ac:dyDescent="0.25">
      <c r="A1891" t="s">
        <v>17</v>
      </c>
      <c r="B1891" t="s">
        <v>7</v>
      </c>
      <c r="C1891" t="s">
        <v>51</v>
      </c>
      <c r="D1891" s="1">
        <v>45024</v>
      </c>
      <c r="E1891" s="2">
        <v>4611.37</v>
      </c>
      <c r="F1891">
        <v>322</v>
      </c>
      <c r="G1891" s="2">
        <f t="shared" si="116"/>
        <v>14.321024844720496</v>
      </c>
      <c r="H1891" t="str">
        <f t="shared" si="117"/>
        <v>April</v>
      </c>
      <c r="I1891" t="str">
        <f t="shared" si="118"/>
        <v>Q2</v>
      </c>
      <c r="J1891" t="str">
        <f t="shared" si="119"/>
        <v>Large</v>
      </c>
    </row>
    <row r="1892" spans="1:10" x14ac:dyDescent="0.25">
      <c r="A1892" t="s">
        <v>36</v>
      </c>
      <c r="B1892" t="s">
        <v>26</v>
      </c>
      <c r="C1892" t="s">
        <v>32</v>
      </c>
      <c r="D1892" s="1">
        <v>44978</v>
      </c>
      <c r="E1892" s="2">
        <v>3288.77</v>
      </c>
      <c r="F1892">
        <v>148</v>
      </c>
      <c r="G1892" s="2">
        <f t="shared" si="116"/>
        <v>22.221418918918918</v>
      </c>
      <c r="H1892" t="str">
        <f t="shared" si="117"/>
        <v>February</v>
      </c>
      <c r="I1892" t="str">
        <f t="shared" si="118"/>
        <v>Q1</v>
      </c>
      <c r="J1892" t="str">
        <f t="shared" si="119"/>
        <v>Large</v>
      </c>
    </row>
    <row r="1893" spans="1:10" x14ac:dyDescent="0.25">
      <c r="A1893" t="s">
        <v>48</v>
      </c>
      <c r="B1893" t="s">
        <v>15</v>
      </c>
      <c r="C1893" t="s">
        <v>45</v>
      </c>
      <c r="D1893" s="1">
        <v>45015</v>
      </c>
      <c r="E1893" s="2">
        <v>10883.13</v>
      </c>
      <c r="F1893">
        <v>394</v>
      </c>
      <c r="G1893" s="2">
        <f t="shared" si="116"/>
        <v>27.622157360406089</v>
      </c>
      <c r="H1893" t="str">
        <f t="shared" si="117"/>
        <v>March</v>
      </c>
      <c r="I1893" t="str">
        <f t="shared" si="118"/>
        <v>Q1</v>
      </c>
      <c r="J1893" t="str">
        <f t="shared" si="119"/>
        <v>Large</v>
      </c>
    </row>
    <row r="1894" spans="1:10" x14ac:dyDescent="0.25">
      <c r="A1894" t="s">
        <v>28</v>
      </c>
      <c r="B1894" t="s">
        <v>10</v>
      </c>
      <c r="C1894" t="s">
        <v>51</v>
      </c>
      <c r="D1894" s="1">
        <v>44987</v>
      </c>
      <c r="E1894" s="2">
        <v>1516.56</v>
      </c>
      <c r="F1894">
        <v>2</v>
      </c>
      <c r="G1894" s="2">
        <f t="shared" si="116"/>
        <v>758.28</v>
      </c>
      <c r="H1894" t="str">
        <f t="shared" si="117"/>
        <v>March</v>
      </c>
      <c r="I1894" t="str">
        <f t="shared" si="118"/>
        <v>Q1</v>
      </c>
      <c r="J1894" t="str">
        <f t="shared" si="119"/>
        <v>Large</v>
      </c>
    </row>
    <row r="1895" spans="1:10" x14ac:dyDescent="0.25">
      <c r="A1895" t="s">
        <v>6</v>
      </c>
      <c r="B1895" t="s">
        <v>26</v>
      </c>
      <c r="C1895" t="s">
        <v>27</v>
      </c>
      <c r="D1895" s="1">
        <v>45135</v>
      </c>
      <c r="E1895" s="2">
        <v>391.33</v>
      </c>
      <c r="F1895">
        <v>184</v>
      </c>
      <c r="G1895" s="2">
        <f t="shared" si="116"/>
        <v>2.1267934782608693</v>
      </c>
      <c r="H1895" t="str">
        <f t="shared" si="117"/>
        <v>July</v>
      </c>
      <c r="I1895" t="str">
        <f t="shared" si="118"/>
        <v>Q3</v>
      </c>
      <c r="J1895" t="str">
        <f t="shared" si="119"/>
        <v>Small</v>
      </c>
    </row>
    <row r="1896" spans="1:10" x14ac:dyDescent="0.25">
      <c r="A1896" t="s">
        <v>41</v>
      </c>
      <c r="B1896" t="s">
        <v>21</v>
      </c>
      <c r="C1896" t="s">
        <v>58</v>
      </c>
      <c r="D1896" s="1">
        <v>45009</v>
      </c>
      <c r="E1896" s="2">
        <v>7969.08</v>
      </c>
      <c r="F1896">
        <v>38</v>
      </c>
      <c r="G1896" s="2">
        <f t="shared" si="116"/>
        <v>209.71263157894737</v>
      </c>
      <c r="H1896" t="str">
        <f t="shared" si="117"/>
        <v>March</v>
      </c>
      <c r="I1896" t="str">
        <f t="shared" si="118"/>
        <v>Q1</v>
      </c>
      <c r="J1896" t="str">
        <f t="shared" si="119"/>
        <v>Large</v>
      </c>
    </row>
    <row r="1897" spans="1:10" x14ac:dyDescent="0.25">
      <c r="A1897" t="s">
        <v>38</v>
      </c>
      <c r="B1897" t="s">
        <v>15</v>
      </c>
      <c r="C1897" t="s">
        <v>20</v>
      </c>
      <c r="D1897" s="1">
        <v>45149</v>
      </c>
      <c r="E1897" s="2">
        <v>63.71</v>
      </c>
      <c r="F1897">
        <v>109</v>
      </c>
      <c r="G1897" s="2">
        <f t="shared" si="116"/>
        <v>0.58449541284403672</v>
      </c>
      <c r="H1897" t="str">
        <f t="shared" si="117"/>
        <v>August</v>
      </c>
      <c r="I1897" t="str">
        <f t="shared" si="118"/>
        <v>Q3</v>
      </c>
      <c r="J1897" t="str">
        <f t="shared" si="119"/>
        <v>Small</v>
      </c>
    </row>
    <row r="1898" spans="1:10" x14ac:dyDescent="0.25">
      <c r="A1898" t="s">
        <v>40</v>
      </c>
      <c r="B1898" t="s">
        <v>7</v>
      </c>
      <c r="C1898" t="s">
        <v>47</v>
      </c>
      <c r="D1898" s="1">
        <v>45063</v>
      </c>
      <c r="E1898" s="2">
        <v>8832.33</v>
      </c>
      <c r="F1898">
        <v>175</v>
      </c>
      <c r="G1898" s="2">
        <f t="shared" si="116"/>
        <v>50.470457142857143</v>
      </c>
      <c r="H1898" t="str">
        <f t="shared" si="117"/>
        <v>May</v>
      </c>
      <c r="I1898" t="str">
        <f t="shared" si="118"/>
        <v>Q2</v>
      </c>
      <c r="J1898" t="str">
        <f t="shared" si="119"/>
        <v>Large</v>
      </c>
    </row>
    <row r="1899" spans="1:10" x14ac:dyDescent="0.25">
      <c r="A1899" t="s">
        <v>41</v>
      </c>
      <c r="B1899" t="s">
        <v>29</v>
      </c>
      <c r="C1899" t="s">
        <v>52</v>
      </c>
      <c r="D1899" s="1">
        <v>45064</v>
      </c>
      <c r="E1899" s="2">
        <v>3542.19</v>
      </c>
      <c r="F1899">
        <v>180</v>
      </c>
      <c r="G1899" s="2">
        <f t="shared" si="116"/>
        <v>19.678833333333333</v>
      </c>
      <c r="H1899" t="str">
        <f t="shared" si="117"/>
        <v>May</v>
      </c>
      <c r="I1899" t="str">
        <f t="shared" si="118"/>
        <v>Q2</v>
      </c>
      <c r="J1899" t="str">
        <f t="shared" si="119"/>
        <v>Large</v>
      </c>
    </row>
    <row r="1900" spans="1:10" x14ac:dyDescent="0.25">
      <c r="A1900" t="s">
        <v>36</v>
      </c>
      <c r="B1900" t="s">
        <v>7</v>
      </c>
      <c r="C1900" t="s">
        <v>13</v>
      </c>
      <c r="D1900" s="1">
        <v>45155</v>
      </c>
      <c r="E1900" s="2">
        <v>6052.07</v>
      </c>
      <c r="F1900">
        <v>173</v>
      </c>
      <c r="G1900" s="2">
        <f t="shared" si="116"/>
        <v>34.983063583815024</v>
      </c>
      <c r="H1900" t="str">
        <f t="shared" si="117"/>
        <v>August</v>
      </c>
      <c r="I1900" t="str">
        <f t="shared" si="118"/>
        <v>Q3</v>
      </c>
      <c r="J1900" t="str">
        <f t="shared" si="119"/>
        <v>Large</v>
      </c>
    </row>
    <row r="1901" spans="1:10" x14ac:dyDescent="0.25">
      <c r="A1901" t="s">
        <v>55</v>
      </c>
      <c r="B1901" t="s">
        <v>21</v>
      </c>
      <c r="C1901" t="s">
        <v>30</v>
      </c>
      <c r="D1901" s="1">
        <v>45020</v>
      </c>
      <c r="E1901" s="2">
        <v>543.20000000000005</v>
      </c>
      <c r="F1901">
        <v>54</v>
      </c>
      <c r="G1901" s="2">
        <f t="shared" si="116"/>
        <v>10.05925925925926</v>
      </c>
      <c r="H1901" t="str">
        <f t="shared" si="117"/>
        <v>April</v>
      </c>
      <c r="I1901" t="str">
        <f t="shared" si="118"/>
        <v>Q2</v>
      </c>
      <c r="J1901" t="str">
        <f t="shared" si="119"/>
        <v>Large</v>
      </c>
    </row>
    <row r="1902" spans="1:10" x14ac:dyDescent="0.25">
      <c r="A1902" t="s">
        <v>23</v>
      </c>
      <c r="B1902" t="s">
        <v>10</v>
      </c>
      <c r="C1902" t="s">
        <v>11</v>
      </c>
      <c r="D1902" s="1">
        <v>45147</v>
      </c>
      <c r="E1902" s="2">
        <v>18894.919999999998</v>
      </c>
      <c r="F1902">
        <v>201</v>
      </c>
      <c r="G1902" s="2">
        <f t="shared" si="116"/>
        <v>94.004577114427846</v>
      </c>
      <c r="H1902" t="str">
        <f t="shared" si="117"/>
        <v>August</v>
      </c>
      <c r="I1902" t="str">
        <f t="shared" si="118"/>
        <v>Q3</v>
      </c>
      <c r="J1902" t="str">
        <f t="shared" si="119"/>
        <v>Large</v>
      </c>
    </row>
    <row r="1903" spans="1:10" x14ac:dyDescent="0.25">
      <c r="A1903" t="s">
        <v>23</v>
      </c>
      <c r="B1903" t="s">
        <v>21</v>
      </c>
      <c r="C1903" t="s">
        <v>35</v>
      </c>
      <c r="D1903" s="1">
        <v>44943</v>
      </c>
      <c r="E1903" s="2">
        <v>689.4</v>
      </c>
      <c r="F1903">
        <v>331</v>
      </c>
      <c r="G1903" s="2">
        <f t="shared" si="116"/>
        <v>2.0827794561933533</v>
      </c>
      <c r="H1903" t="str">
        <f t="shared" si="117"/>
        <v>January</v>
      </c>
      <c r="I1903" t="str">
        <f t="shared" si="118"/>
        <v>Q1</v>
      </c>
      <c r="J1903" t="str">
        <f t="shared" si="119"/>
        <v>Large</v>
      </c>
    </row>
    <row r="1904" spans="1:10" x14ac:dyDescent="0.25">
      <c r="A1904" t="s">
        <v>48</v>
      </c>
      <c r="B1904" t="s">
        <v>29</v>
      </c>
      <c r="C1904" t="s">
        <v>44</v>
      </c>
      <c r="D1904" s="1">
        <v>44971</v>
      </c>
      <c r="E1904" s="2">
        <v>4435.95</v>
      </c>
      <c r="F1904">
        <v>31</v>
      </c>
      <c r="G1904" s="2">
        <f t="shared" si="116"/>
        <v>143.09516129032258</v>
      </c>
      <c r="H1904" t="str">
        <f t="shared" si="117"/>
        <v>February</v>
      </c>
      <c r="I1904" t="str">
        <f t="shared" si="118"/>
        <v>Q1</v>
      </c>
      <c r="J1904" t="str">
        <f t="shared" si="119"/>
        <v>Large</v>
      </c>
    </row>
    <row r="1905" spans="1:10" x14ac:dyDescent="0.25">
      <c r="A1905" t="s">
        <v>12</v>
      </c>
      <c r="B1905" t="s">
        <v>21</v>
      </c>
      <c r="C1905" t="s">
        <v>27</v>
      </c>
      <c r="D1905" s="1">
        <v>45062</v>
      </c>
      <c r="E1905" s="2">
        <v>9111.34</v>
      </c>
      <c r="F1905">
        <v>324</v>
      </c>
      <c r="G1905" s="2">
        <f t="shared" si="116"/>
        <v>28.121419753086421</v>
      </c>
      <c r="H1905" t="str">
        <f t="shared" si="117"/>
        <v>May</v>
      </c>
      <c r="I1905" t="str">
        <f t="shared" si="118"/>
        <v>Q2</v>
      </c>
      <c r="J1905" t="str">
        <f t="shared" si="119"/>
        <v>Large</v>
      </c>
    </row>
    <row r="1906" spans="1:10" x14ac:dyDescent="0.25">
      <c r="A1906" t="s">
        <v>55</v>
      </c>
      <c r="B1906" t="s">
        <v>29</v>
      </c>
      <c r="C1906" t="s">
        <v>16</v>
      </c>
      <c r="D1906" s="1">
        <v>45001</v>
      </c>
      <c r="E1906" s="2">
        <v>10369.709999999999</v>
      </c>
      <c r="F1906">
        <v>129</v>
      </c>
      <c r="G1906" s="2">
        <f t="shared" si="116"/>
        <v>80.385348837209293</v>
      </c>
      <c r="H1906" t="str">
        <f t="shared" si="117"/>
        <v>March</v>
      </c>
      <c r="I1906" t="str">
        <f t="shared" si="118"/>
        <v>Q1</v>
      </c>
      <c r="J1906" t="str">
        <f t="shared" si="119"/>
        <v>Large</v>
      </c>
    </row>
    <row r="1907" spans="1:10" x14ac:dyDescent="0.25">
      <c r="A1907" t="s">
        <v>40</v>
      </c>
      <c r="B1907" t="s">
        <v>29</v>
      </c>
      <c r="C1907" t="s">
        <v>58</v>
      </c>
      <c r="D1907" s="1">
        <v>44957</v>
      </c>
      <c r="E1907" s="2">
        <v>5833.2</v>
      </c>
      <c r="F1907">
        <v>290</v>
      </c>
      <c r="G1907" s="2">
        <f t="shared" si="116"/>
        <v>20.114482758620689</v>
      </c>
      <c r="H1907" t="str">
        <f t="shared" si="117"/>
        <v>January</v>
      </c>
      <c r="I1907" t="str">
        <f t="shared" si="118"/>
        <v>Q1</v>
      </c>
      <c r="J1907" t="str">
        <f t="shared" si="119"/>
        <v>Large</v>
      </c>
    </row>
    <row r="1908" spans="1:10" x14ac:dyDescent="0.25">
      <c r="A1908" t="s">
        <v>25</v>
      </c>
      <c r="B1908" t="s">
        <v>29</v>
      </c>
      <c r="C1908" t="s">
        <v>35</v>
      </c>
      <c r="D1908" s="1">
        <v>44995</v>
      </c>
      <c r="E1908" s="2">
        <v>1229.96</v>
      </c>
      <c r="F1908">
        <v>219</v>
      </c>
      <c r="G1908" s="2">
        <f t="shared" si="116"/>
        <v>5.6162557077625577</v>
      </c>
      <c r="H1908" t="str">
        <f t="shared" si="117"/>
        <v>March</v>
      </c>
      <c r="I1908" t="str">
        <f t="shared" si="118"/>
        <v>Q1</v>
      </c>
      <c r="J1908" t="str">
        <f t="shared" si="119"/>
        <v>Large</v>
      </c>
    </row>
    <row r="1909" spans="1:10" x14ac:dyDescent="0.25">
      <c r="A1909" t="s">
        <v>17</v>
      </c>
      <c r="B1909" t="s">
        <v>7</v>
      </c>
      <c r="C1909" t="s">
        <v>35</v>
      </c>
      <c r="D1909" s="1">
        <v>45107</v>
      </c>
      <c r="E1909" s="2">
        <v>8839.7199999999993</v>
      </c>
      <c r="F1909">
        <v>170</v>
      </c>
      <c r="G1909" s="2">
        <f t="shared" si="116"/>
        <v>51.998352941176464</v>
      </c>
      <c r="H1909" t="str">
        <f t="shared" si="117"/>
        <v>June</v>
      </c>
      <c r="I1909" t="str">
        <f t="shared" si="118"/>
        <v>Q2</v>
      </c>
      <c r="J1909" t="str">
        <f t="shared" si="119"/>
        <v>Large</v>
      </c>
    </row>
    <row r="1910" spans="1:10" x14ac:dyDescent="0.25">
      <c r="A1910" t="s">
        <v>9</v>
      </c>
      <c r="B1910" t="s">
        <v>21</v>
      </c>
      <c r="C1910" t="s">
        <v>30</v>
      </c>
      <c r="D1910" s="1">
        <v>44986</v>
      </c>
      <c r="E1910" s="2">
        <v>5747.66</v>
      </c>
      <c r="F1910">
        <v>176</v>
      </c>
      <c r="G1910" s="2">
        <f t="shared" si="116"/>
        <v>32.65715909090909</v>
      </c>
      <c r="H1910" t="str">
        <f t="shared" si="117"/>
        <v>March</v>
      </c>
      <c r="I1910" t="str">
        <f t="shared" si="118"/>
        <v>Q1</v>
      </c>
      <c r="J1910" t="str">
        <f t="shared" si="119"/>
        <v>Large</v>
      </c>
    </row>
    <row r="1911" spans="1:10" x14ac:dyDescent="0.25">
      <c r="A1911" t="s">
        <v>28</v>
      </c>
      <c r="B1911" t="s">
        <v>7</v>
      </c>
      <c r="C1911" t="s">
        <v>32</v>
      </c>
      <c r="D1911" s="1">
        <v>45073</v>
      </c>
      <c r="E1911" s="2">
        <v>3666.04</v>
      </c>
      <c r="F1911">
        <v>107</v>
      </c>
      <c r="G1911" s="2">
        <f t="shared" si="116"/>
        <v>34.262056074766356</v>
      </c>
      <c r="H1911" t="str">
        <f t="shared" si="117"/>
        <v>May</v>
      </c>
      <c r="I1911" t="str">
        <f t="shared" si="118"/>
        <v>Q2</v>
      </c>
      <c r="J1911" t="str">
        <f t="shared" si="119"/>
        <v>Large</v>
      </c>
    </row>
    <row r="1912" spans="1:10" x14ac:dyDescent="0.25">
      <c r="A1912" t="s">
        <v>17</v>
      </c>
      <c r="B1912" t="s">
        <v>7</v>
      </c>
      <c r="C1912" t="s">
        <v>37</v>
      </c>
      <c r="D1912" s="1">
        <v>45118</v>
      </c>
      <c r="E1912" s="2">
        <v>6853.82</v>
      </c>
      <c r="F1912">
        <v>220</v>
      </c>
      <c r="G1912" s="2">
        <f t="shared" si="116"/>
        <v>31.15372727272727</v>
      </c>
      <c r="H1912" t="str">
        <f t="shared" si="117"/>
        <v>July</v>
      </c>
      <c r="I1912" t="str">
        <f t="shared" si="118"/>
        <v>Q3</v>
      </c>
      <c r="J1912" t="str">
        <f t="shared" si="119"/>
        <v>Large</v>
      </c>
    </row>
    <row r="1913" spans="1:10" x14ac:dyDescent="0.25">
      <c r="A1913" t="s">
        <v>31</v>
      </c>
      <c r="B1913" t="s">
        <v>21</v>
      </c>
      <c r="C1913" t="s">
        <v>8</v>
      </c>
      <c r="D1913" s="1">
        <v>44987</v>
      </c>
      <c r="E1913" s="2">
        <v>4361.01</v>
      </c>
      <c r="F1913">
        <v>59</v>
      </c>
      <c r="G1913" s="2">
        <f t="shared" si="116"/>
        <v>73.915423728813565</v>
      </c>
      <c r="H1913" t="str">
        <f t="shared" si="117"/>
        <v>March</v>
      </c>
      <c r="I1913" t="str">
        <f t="shared" si="118"/>
        <v>Q1</v>
      </c>
      <c r="J1913" t="str">
        <f t="shared" si="119"/>
        <v>Large</v>
      </c>
    </row>
    <row r="1914" spans="1:10" x14ac:dyDescent="0.25">
      <c r="A1914" t="s">
        <v>6</v>
      </c>
      <c r="B1914" t="s">
        <v>26</v>
      </c>
      <c r="C1914" t="s">
        <v>51</v>
      </c>
      <c r="D1914" s="1">
        <v>44989</v>
      </c>
      <c r="E1914" s="2">
        <v>7686.15</v>
      </c>
      <c r="F1914">
        <v>141</v>
      </c>
      <c r="G1914" s="2">
        <f t="shared" si="116"/>
        <v>54.511702127659575</v>
      </c>
      <c r="H1914" t="str">
        <f t="shared" si="117"/>
        <v>March</v>
      </c>
      <c r="I1914" t="str">
        <f t="shared" si="118"/>
        <v>Q1</v>
      </c>
      <c r="J1914" t="str">
        <f t="shared" si="119"/>
        <v>Large</v>
      </c>
    </row>
    <row r="1915" spans="1:10" x14ac:dyDescent="0.25">
      <c r="A1915" t="s">
        <v>49</v>
      </c>
      <c r="B1915" t="s">
        <v>7</v>
      </c>
      <c r="C1915" t="s">
        <v>11</v>
      </c>
      <c r="D1915" s="1">
        <v>45100</v>
      </c>
      <c r="E1915" s="2">
        <v>4188.43</v>
      </c>
      <c r="F1915">
        <v>235</v>
      </c>
      <c r="G1915" s="2">
        <f t="shared" si="116"/>
        <v>17.823106382978725</v>
      </c>
      <c r="H1915" t="str">
        <f t="shared" si="117"/>
        <v>June</v>
      </c>
      <c r="I1915" t="str">
        <f t="shared" si="118"/>
        <v>Q2</v>
      </c>
      <c r="J1915" t="str">
        <f t="shared" si="119"/>
        <v>Large</v>
      </c>
    </row>
    <row r="1916" spans="1:10" x14ac:dyDescent="0.25">
      <c r="A1916" t="s">
        <v>49</v>
      </c>
      <c r="B1916" t="s">
        <v>26</v>
      </c>
      <c r="C1916" t="s">
        <v>47</v>
      </c>
      <c r="D1916" s="1">
        <v>44953</v>
      </c>
      <c r="E1916" s="2">
        <v>5425.24</v>
      </c>
      <c r="F1916">
        <v>234</v>
      </c>
      <c r="G1916" s="2">
        <f t="shared" si="116"/>
        <v>23.184786324786323</v>
      </c>
      <c r="H1916" t="str">
        <f t="shared" si="117"/>
        <v>January</v>
      </c>
      <c r="I1916" t="str">
        <f t="shared" si="118"/>
        <v>Q1</v>
      </c>
      <c r="J1916" t="str">
        <f t="shared" si="119"/>
        <v>Large</v>
      </c>
    </row>
    <row r="1917" spans="1:10" x14ac:dyDescent="0.25">
      <c r="A1917" t="s">
        <v>33</v>
      </c>
      <c r="B1917" t="s">
        <v>29</v>
      </c>
      <c r="C1917" t="s">
        <v>27</v>
      </c>
      <c r="D1917" s="1">
        <v>44940</v>
      </c>
      <c r="E1917" s="2">
        <v>2896.97</v>
      </c>
      <c r="F1917">
        <v>456</v>
      </c>
      <c r="G1917" s="2">
        <f t="shared" si="116"/>
        <v>6.3530043859649119</v>
      </c>
      <c r="H1917" t="str">
        <f t="shared" si="117"/>
        <v>January</v>
      </c>
      <c r="I1917" t="str">
        <f t="shared" si="118"/>
        <v>Q1</v>
      </c>
      <c r="J1917" t="str">
        <f t="shared" si="119"/>
        <v>Large</v>
      </c>
    </row>
    <row r="1918" spans="1:10" x14ac:dyDescent="0.25">
      <c r="A1918" t="s">
        <v>43</v>
      </c>
      <c r="B1918" t="s">
        <v>10</v>
      </c>
      <c r="C1918" t="s">
        <v>42</v>
      </c>
      <c r="D1918" s="1">
        <v>45136</v>
      </c>
      <c r="E1918" s="2">
        <v>1071.31</v>
      </c>
      <c r="F1918">
        <v>23</v>
      </c>
      <c r="G1918" s="2">
        <f t="shared" si="116"/>
        <v>46.578695652173913</v>
      </c>
      <c r="H1918" t="str">
        <f t="shared" si="117"/>
        <v>July</v>
      </c>
      <c r="I1918" t="str">
        <f t="shared" si="118"/>
        <v>Q3</v>
      </c>
      <c r="J1918" t="str">
        <f t="shared" si="119"/>
        <v>Large</v>
      </c>
    </row>
    <row r="1919" spans="1:10" x14ac:dyDescent="0.25">
      <c r="A1919" t="s">
        <v>23</v>
      </c>
      <c r="B1919" t="s">
        <v>29</v>
      </c>
      <c r="C1919" t="s">
        <v>16</v>
      </c>
      <c r="D1919" s="1">
        <v>45059</v>
      </c>
      <c r="E1919" s="2">
        <v>6417.05</v>
      </c>
      <c r="F1919">
        <v>497</v>
      </c>
      <c r="G1919" s="2">
        <f t="shared" si="116"/>
        <v>12.911569416498994</v>
      </c>
      <c r="H1919" t="str">
        <f t="shared" si="117"/>
        <v>May</v>
      </c>
      <c r="I1919" t="str">
        <f t="shared" si="118"/>
        <v>Q2</v>
      </c>
      <c r="J1919" t="str">
        <f t="shared" si="119"/>
        <v>Large</v>
      </c>
    </row>
    <row r="1920" spans="1:10" x14ac:dyDescent="0.25">
      <c r="A1920" t="s">
        <v>25</v>
      </c>
      <c r="B1920" t="s">
        <v>29</v>
      </c>
      <c r="C1920" t="s">
        <v>56</v>
      </c>
      <c r="D1920" s="1">
        <v>44960</v>
      </c>
      <c r="E1920" s="2">
        <v>10967.31</v>
      </c>
      <c r="F1920">
        <v>172</v>
      </c>
      <c r="G1920" s="2">
        <f t="shared" si="116"/>
        <v>63.763430232558136</v>
      </c>
      <c r="H1920" t="str">
        <f t="shared" si="117"/>
        <v>February</v>
      </c>
      <c r="I1920" t="str">
        <f t="shared" si="118"/>
        <v>Q1</v>
      </c>
      <c r="J1920" t="str">
        <f t="shared" si="119"/>
        <v>Large</v>
      </c>
    </row>
    <row r="1921" spans="1:10" x14ac:dyDescent="0.25">
      <c r="A1921" t="s">
        <v>23</v>
      </c>
      <c r="B1921" t="s">
        <v>10</v>
      </c>
      <c r="C1921" t="s">
        <v>16</v>
      </c>
      <c r="D1921" s="1">
        <v>45073</v>
      </c>
      <c r="E1921" s="2">
        <v>6345.02</v>
      </c>
      <c r="F1921">
        <v>28</v>
      </c>
      <c r="G1921" s="2">
        <f t="shared" si="116"/>
        <v>226.60785714285717</v>
      </c>
      <c r="H1921" t="str">
        <f t="shared" si="117"/>
        <v>May</v>
      </c>
      <c r="I1921" t="str">
        <f t="shared" si="118"/>
        <v>Q2</v>
      </c>
      <c r="J1921" t="str">
        <f t="shared" si="119"/>
        <v>Large</v>
      </c>
    </row>
    <row r="1922" spans="1:10" x14ac:dyDescent="0.25">
      <c r="A1922" t="s">
        <v>14</v>
      </c>
      <c r="B1922" t="s">
        <v>15</v>
      </c>
      <c r="C1922" t="s">
        <v>32</v>
      </c>
      <c r="D1922" s="1">
        <v>44975</v>
      </c>
      <c r="E1922" s="2">
        <v>2824.71</v>
      </c>
      <c r="F1922">
        <v>25</v>
      </c>
      <c r="G1922" s="2">
        <f t="shared" si="116"/>
        <v>112.9884</v>
      </c>
      <c r="H1922" t="str">
        <f t="shared" si="117"/>
        <v>February</v>
      </c>
      <c r="I1922" t="str">
        <f t="shared" si="118"/>
        <v>Q1</v>
      </c>
      <c r="J1922" t="str">
        <f t="shared" si="119"/>
        <v>Large</v>
      </c>
    </row>
    <row r="1923" spans="1:10" x14ac:dyDescent="0.25">
      <c r="A1923" t="s">
        <v>23</v>
      </c>
      <c r="B1923" t="s">
        <v>10</v>
      </c>
      <c r="C1923" t="s">
        <v>39</v>
      </c>
      <c r="D1923" s="1">
        <v>44954</v>
      </c>
      <c r="E1923" s="2">
        <v>1463.67</v>
      </c>
      <c r="F1923">
        <v>34</v>
      </c>
      <c r="G1923" s="2">
        <f t="shared" ref="G1923:G1986" si="120">E1923/F1923</f>
        <v>43.049117647058829</v>
      </c>
      <c r="H1923" t="str">
        <f t="shared" ref="H1923:H1986" si="121">TEXT(D1923, "mmmm")</f>
        <v>January</v>
      </c>
      <c r="I1923" t="str">
        <f t="shared" ref="I1923:I1986" si="122">"Q" &amp; ROUNDUP(MONTH(D1923)/3,0)</f>
        <v>Q1</v>
      </c>
      <c r="J1923" t="str">
        <f t="shared" ref="J1923:J1986" si="123">IF(E1923 &gt; 500, "Large", "Small")</f>
        <v>Large</v>
      </c>
    </row>
    <row r="1924" spans="1:10" x14ac:dyDescent="0.25">
      <c r="A1924" t="s">
        <v>9</v>
      </c>
      <c r="B1924" t="s">
        <v>7</v>
      </c>
      <c r="C1924" t="s">
        <v>30</v>
      </c>
      <c r="D1924" s="1">
        <v>45106</v>
      </c>
      <c r="E1924" s="2">
        <v>5856.52</v>
      </c>
      <c r="F1924">
        <v>115</v>
      </c>
      <c r="G1924" s="2">
        <f t="shared" si="120"/>
        <v>50.926260869565219</v>
      </c>
      <c r="H1924" t="str">
        <f t="shared" si="121"/>
        <v>June</v>
      </c>
      <c r="I1924" t="str">
        <f t="shared" si="122"/>
        <v>Q2</v>
      </c>
      <c r="J1924" t="str">
        <f t="shared" si="123"/>
        <v>Large</v>
      </c>
    </row>
    <row r="1925" spans="1:10" x14ac:dyDescent="0.25">
      <c r="A1925" t="s">
        <v>46</v>
      </c>
      <c r="B1925" t="s">
        <v>10</v>
      </c>
      <c r="C1925" t="s">
        <v>57</v>
      </c>
      <c r="D1925" s="1">
        <v>44939</v>
      </c>
      <c r="E1925" s="2">
        <v>4303.8599999999997</v>
      </c>
      <c r="F1925">
        <v>282</v>
      </c>
      <c r="G1925" s="2">
        <f t="shared" si="120"/>
        <v>15.261914893617019</v>
      </c>
      <c r="H1925" t="str">
        <f t="shared" si="121"/>
        <v>January</v>
      </c>
      <c r="I1925" t="str">
        <f t="shared" si="122"/>
        <v>Q1</v>
      </c>
      <c r="J1925" t="str">
        <f t="shared" si="123"/>
        <v>Large</v>
      </c>
    </row>
    <row r="1926" spans="1:10" x14ac:dyDescent="0.25">
      <c r="A1926" t="s">
        <v>6</v>
      </c>
      <c r="B1926" t="s">
        <v>7</v>
      </c>
      <c r="C1926" t="s">
        <v>20</v>
      </c>
      <c r="D1926" s="1">
        <v>45104</v>
      </c>
      <c r="E1926" s="2">
        <v>2047.77</v>
      </c>
      <c r="F1926">
        <v>169</v>
      </c>
      <c r="G1926" s="2">
        <f t="shared" si="120"/>
        <v>12.11698224852071</v>
      </c>
      <c r="H1926" t="str">
        <f t="shared" si="121"/>
        <v>June</v>
      </c>
      <c r="I1926" t="str">
        <f t="shared" si="122"/>
        <v>Q2</v>
      </c>
      <c r="J1926" t="str">
        <f t="shared" si="123"/>
        <v>Large</v>
      </c>
    </row>
    <row r="1927" spans="1:10" x14ac:dyDescent="0.25">
      <c r="A1927" t="s">
        <v>25</v>
      </c>
      <c r="B1927" t="s">
        <v>29</v>
      </c>
      <c r="C1927" t="s">
        <v>44</v>
      </c>
      <c r="D1927" s="1">
        <v>45014</v>
      </c>
      <c r="E1927" s="2">
        <v>4692.3599999999997</v>
      </c>
      <c r="F1927">
        <v>1</v>
      </c>
      <c r="G1927" s="2">
        <f t="shared" si="120"/>
        <v>4692.3599999999997</v>
      </c>
      <c r="H1927" t="str">
        <f t="shared" si="121"/>
        <v>March</v>
      </c>
      <c r="I1927" t="str">
        <f t="shared" si="122"/>
        <v>Q1</v>
      </c>
      <c r="J1927" t="str">
        <f t="shared" si="123"/>
        <v>Large</v>
      </c>
    </row>
    <row r="1928" spans="1:10" x14ac:dyDescent="0.25">
      <c r="A1928" t="s">
        <v>19</v>
      </c>
      <c r="B1928" t="s">
        <v>10</v>
      </c>
      <c r="C1928" t="s">
        <v>35</v>
      </c>
      <c r="D1928" s="1">
        <v>45080</v>
      </c>
      <c r="E1928" s="2">
        <v>7302.42</v>
      </c>
      <c r="F1928">
        <v>153</v>
      </c>
      <c r="G1928" s="2">
        <f t="shared" si="120"/>
        <v>47.728235294117646</v>
      </c>
      <c r="H1928" t="str">
        <f t="shared" si="121"/>
        <v>June</v>
      </c>
      <c r="I1928" t="str">
        <f t="shared" si="122"/>
        <v>Q2</v>
      </c>
      <c r="J1928" t="str">
        <f t="shared" si="123"/>
        <v>Large</v>
      </c>
    </row>
    <row r="1929" spans="1:10" x14ac:dyDescent="0.25">
      <c r="A1929" t="s">
        <v>28</v>
      </c>
      <c r="B1929" t="s">
        <v>29</v>
      </c>
      <c r="C1929" t="s">
        <v>16</v>
      </c>
      <c r="D1929" s="1">
        <v>45006</v>
      </c>
      <c r="E1929" s="2">
        <v>2056.92</v>
      </c>
      <c r="F1929">
        <v>103</v>
      </c>
      <c r="G1929" s="2">
        <f t="shared" si="120"/>
        <v>19.97009708737864</v>
      </c>
      <c r="H1929" t="str">
        <f t="shared" si="121"/>
        <v>March</v>
      </c>
      <c r="I1929" t="str">
        <f t="shared" si="122"/>
        <v>Q1</v>
      </c>
      <c r="J1929" t="str">
        <f t="shared" si="123"/>
        <v>Large</v>
      </c>
    </row>
    <row r="1930" spans="1:10" x14ac:dyDescent="0.25">
      <c r="A1930" t="s">
        <v>28</v>
      </c>
      <c r="B1930" t="s">
        <v>10</v>
      </c>
      <c r="C1930" t="s">
        <v>30</v>
      </c>
      <c r="D1930" s="1">
        <v>45028</v>
      </c>
      <c r="E1930" s="2">
        <v>11032.79</v>
      </c>
      <c r="F1930">
        <v>49</v>
      </c>
      <c r="G1930" s="2">
        <f t="shared" si="120"/>
        <v>225.15897959183675</v>
      </c>
      <c r="H1930" t="str">
        <f t="shared" si="121"/>
        <v>April</v>
      </c>
      <c r="I1930" t="str">
        <f t="shared" si="122"/>
        <v>Q2</v>
      </c>
      <c r="J1930" t="str">
        <f t="shared" si="123"/>
        <v>Large</v>
      </c>
    </row>
    <row r="1931" spans="1:10" x14ac:dyDescent="0.25">
      <c r="A1931" t="s">
        <v>24</v>
      </c>
      <c r="B1931" t="s">
        <v>15</v>
      </c>
      <c r="C1931" t="s">
        <v>51</v>
      </c>
      <c r="D1931" s="1">
        <v>44945</v>
      </c>
      <c r="E1931" s="2">
        <v>7773.64</v>
      </c>
      <c r="F1931">
        <v>247</v>
      </c>
      <c r="G1931" s="2">
        <f t="shared" si="120"/>
        <v>31.472226720647775</v>
      </c>
      <c r="H1931" t="str">
        <f t="shared" si="121"/>
        <v>January</v>
      </c>
      <c r="I1931" t="str">
        <f t="shared" si="122"/>
        <v>Q1</v>
      </c>
      <c r="J1931" t="str">
        <f t="shared" si="123"/>
        <v>Large</v>
      </c>
    </row>
    <row r="1932" spans="1:10" x14ac:dyDescent="0.25">
      <c r="A1932" t="s">
        <v>31</v>
      </c>
      <c r="B1932" t="s">
        <v>7</v>
      </c>
      <c r="C1932" t="s">
        <v>22</v>
      </c>
      <c r="D1932" s="1">
        <v>45022</v>
      </c>
      <c r="E1932" s="2">
        <v>3843.01</v>
      </c>
      <c r="F1932">
        <v>295</v>
      </c>
      <c r="G1932" s="2">
        <f t="shared" si="120"/>
        <v>13.027152542372882</v>
      </c>
      <c r="H1932" t="str">
        <f t="shared" si="121"/>
        <v>April</v>
      </c>
      <c r="I1932" t="str">
        <f t="shared" si="122"/>
        <v>Q2</v>
      </c>
      <c r="J1932" t="str">
        <f t="shared" si="123"/>
        <v>Large</v>
      </c>
    </row>
    <row r="1933" spans="1:10" x14ac:dyDescent="0.25">
      <c r="A1933" t="s">
        <v>41</v>
      </c>
      <c r="B1933" t="s">
        <v>15</v>
      </c>
      <c r="C1933" t="s">
        <v>22</v>
      </c>
      <c r="D1933" s="1">
        <v>45140</v>
      </c>
      <c r="E1933" s="2">
        <v>9163.7900000000009</v>
      </c>
      <c r="F1933">
        <v>81</v>
      </c>
      <c r="G1933" s="2">
        <f t="shared" si="120"/>
        <v>113.13320987654322</v>
      </c>
      <c r="H1933" t="str">
        <f t="shared" si="121"/>
        <v>August</v>
      </c>
      <c r="I1933" t="str">
        <f t="shared" si="122"/>
        <v>Q3</v>
      </c>
      <c r="J1933" t="str">
        <f t="shared" si="123"/>
        <v>Large</v>
      </c>
    </row>
    <row r="1934" spans="1:10" x14ac:dyDescent="0.25">
      <c r="A1934" t="s">
        <v>12</v>
      </c>
      <c r="B1934" t="s">
        <v>15</v>
      </c>
      <c r="C1934" t="s">
        <v>30</v>
      </c>
      <c r="D1934" s="1">
        <v>45028</v>
      </c>
      <c r="E1934" s="2">
        <v>7628.59</v>
      </c>
      <c r="F1934">
        <v>146</v>
      </c>
      <c r="G1934" s="2">
        <f t="shared" si="120"/>
        <v>52.250616438356168</v>
      </c>
      <c r="H1934" t="str">
        <f t="shared" si="121"/>
        <v>April</v>
      </c>
      <c r="I1934" t="str">
        <f t="shared" si="122"/>
        <v>Q2</v>
      </c>
      <c r="J1934" t="str">
        <f t="shared" si="123"/>
        <v>Large</v>
      </c>
    </row>
    <row r="1935" spans="1:10" x14ac:dyDescent="0.25">
      <c r="A1935" t="s">
        <v>17</v>
      </c>
      <c r="B1935" t="s">
        <v>10</v>
      </c>
      <c r="C1935" t="s">
        <v>32</v>
      </c>
      <c r="D1935" s="1">
        <v>45128</v>
      </c>
      <c r="E1935" s="2">
        <v>18220.59</v>
      </c>
      <c r="F1935">
        <v>139</v>
      </c>
      <c r="G1935" s="2">
        <f t="shared" si="120"/>
        <v>131.08338129496403</v>
      </c>
      <c r="H1935" t="str">
        <f t="shared" si="121"/>
        <v>July</v>
      </c>
      <c r="I1935" t="str">
        <f t="shared" si="122"/>
        <v>Q3</v>
      </c>
      <c r="J1935" t="str">
        <f t="shared" si="123"/>
        <v>Large</v>
      </c>
    </row>
    <row r="1936" spans="1:10" x14ac:dyDescent="0.25">
      <c r="A1936" t="s">
        <v>9</v>
      </c>
      <c r="B1936" t="s">
        <v>21</v>
      </c>
      <c r="C1936" t="s">
        <v>56</v>
      </c>
      <c r="D1936" s="1">
        <v>45007</v>
      </c>
      <c r="E1936" s="2">
        <v>9828.94</v>
      </c>
      <c r="F1936">
        <v>24</v>
      </c>
      <c r="G1936" s="2">
        <f t="shared" si="120"/>
        <v>409.53916666666669</v>
      </c>
      <c r="H1936" t="str">
        <f t="shared" si="121"/>
        <v>March</v>
      </c>
      <c r="I1936" t="str">
        <f t="shared" si="122"/>
        <v>Q1</v>
      </c>
      <c r="J1936" t="str">
        <f t="shared" si="123"/>
        <v>Large</v>
      </c>
    </row>
    <row r="1937" spans="1:10" x14ac:dyDescent="0.25">
      <c r="A1937" t="s">
        <v>40</v>
      </c>
      <c r="B1937" t="s">
        <v>10</v>
      </c>
      <c r="C1937" t="s">
        <v>13</v>
      </c>
      <c r="D1937" s="1">
        <v>45055</v>
      </c>
      <c r="E1937" s="2">
        <v>4726.6499999999996</v>
      </c>
      <c r="F1937">
        <v>5</v>
      </c>
      <c r="G1937" s="2">
        <f t="shared" si="120"/>
        <v>945.32999999999993</v>
      </c>
      <c r="H1937" t="str">
        <f t="shared" si="121"/>
        <v>May</v>
      </c>
      <c r="I1937" t="str">
        <f t="shared" si="122"/>
        <v>Q2</v>
      </c>
      <c r="J1937" t="str">
        <f t="shared" si="123"/>
        <v>Large</v>
      </c>
    </row>
    <row r="1938" spans="1:10" x14ac:dyDescent="0.25">
      <c r="A1938" t="s">
        <v>48</v>
      </c>
      <c r="B1938" t="s">
        <v>15</v>
      </c>
      <c r="C1938" t="s">
        <v>56</v>
      </c>
      <c r="D1938" s="1">
        <v>45147</v>
      </c>
      <c r="E1938" s="2">
        <v>344.82</v>
      </c>
      <c r="F1938">
        <v>118</v>
      </c>
      <c r="G1938" s="2">
        <f t="shared" si="120"/>
        <v>2.9222033898305084</v>
      </c>
      <c r="H1938" t="str">
        <f t="shared" si="121"/>
        <v>August</v>
      </c>
      <c r="I1938" t="str">
        <f t="shared" si="122"/>
        <v>Q3</v>
      </c>
      <c r="J1938" t="str">
        <f t="shared" si="123"/>
        <v>Small</v>
      </c>
    </row>
    <row r="1939" spans="1:10" x14ac:dyDescent="0.25">
      <c r="A1939" t="s">
        <v>53</v>
      </c>
      <c r="B1939" t="s">
        <v>29</v>
      </c>
      <c r="C1939" t="s">
        <v>52</v>
      </c>
      <c r="D1939" s="1">
        <v>45127</v>
      </c>
      <c r="E1939" s="2">
        <v>3451.24</v>
      </c>
      <c r="F1939">
        <v>283</v>
      </c>
      <c r="G1939" s="2">
        <f t="shared" si="120"/>
        <v>12.195194346289751</v>
      </c>
      <c r="H1939" t="str">
        <f t="shared" si="121"/>
        <v>July</v>
      </c>
      <c r="I1939" t="str">
        <f t="shared" si="122"/>
        <v>Q3</v>
      </c>
      <c r="J1939" t="str">
        <f t="shared" si="123"/>
        <v>Large</v>
      </c>
    </row>
    <row r="1940" spans="1:10" x14ac:dyDescent="0.25">
      <c r="A1940" t="s">
        <v>23</v>
      </c>
      <c r="B1940" t="s">
        <v>10</v>
      </c>
      <c r="C1940" t="s">
        <v>58</v>
      </c>
      <c r="D1940" s="1">
        <v>45030</v>
      </c>
      <c r="E1940" s="2">
        <v>5071.49</v>
      </c>
      <c r="F1940">
        <v>439</v>
      </c>
      <c r="G1940" s="2">
        <f t="shared" si="120"/>
        <v>11.552369020501139</v>
      </c>
      <c r="H1940" t="str">
        <f t="shared" si="121"/>
        <v>April</v>
      </c>
      <c r="I1940" t="str">
        <f t="shared" si="122"/>
        <v>Q2</v>
      </c>
      <c r="J1940" t="str">
        <f t="shared" si="123"/>
        <v>Large</v>
      </c>
    </row>
    <row r="1941" spans="1:10" x14ac:dyDescent="0.25">
      <c r="A1941" t="s">
        <v>6</v>
      </c>
      <c r="B1941" t="s">
        <v>29</v>
      </c>
      <c r="C1941" t="s">
        <v>44</v>
      </c>
      <c r="D1941" s="1">
        <v>44951</v>
      </c>
      <c r="E1941" s="2">
        <v>4719.38</v>
      </c>
      <c r="F1941">
        <v>132</v>
      </c>
      <c r="G1941" s="2">
        <f t="shared" si="120"/>
        <v>35.752878787878785</v>
      </c>
      <c r="H1941" t="str">
        <f t="shared" si="121"/>
        <v>January</v>
      </c>
      <c r="I1941" t="str">
        <f t="shared" si="122"/>
        <v>Q1</v>
      </c>
      <c r="J1941" t="str">
        <f t="shared" si="123"/>
        <v>Large</v>
      </c>
    </row>
    <row r="1942" spans="1:10" x14ac:dyDescent="0.25">
      <c r="A1942" t="s">
        <v>48</v>
      </c>
      <c r="B1942" t="s">
        <v>15</v>
      </c>
      <c r="C1942" t="s">
        <v>47</v>
      </c>
      <c r="D1942" s="1">
        <v>45041</v>
      </c>
      <c r="E1942" s="2">
        <v>3430.58</v>
      </c>
      <c r="F1942">
        <v>174</v>
      </c>
      <c r="G1942" s="2">
        <f t="shared" si="120"/>
        <v>19.715977011494253</v>
      </c>
      <c r="H1942" t="str">
        <f t="shared" si="121"/>
        <v>April</v>
      </c>
      <c r="I1942" t="str">
        <f t="shared" si="122"/>
        <v>Q2</v>
      </c>
      <c r="J1942" t="str">
        <f t="shared" si="123"/>
        <v>Large</v>
      </c>
    </row>
    <row r="1943" spans="1:10" x14ac:dyDescent="0.25">
      <c r="A1943" t="s">
        <v>54</v>
      </c>
      <c r="B1943" t="s">
        <v>29</v>
      </c>
      <c r="C1943" t="s">
        <v>20</v>
      </c>
      <c r="D1943" s="1">
        <v>44943</v>
      </c>
      <c r="E1943" s="2">
        <v>268.3</v>
      </c>
      <c r="F1943">
        <v>239</v>
      </c>
      <c r="G1943" s="2">
        <f t="shared" si="120"/>
        <v>1.1225941422594143</v>
      </c>
      <c r="H1943" t="str">
        <f t="shared" si="121"/>
        <v>January</v>
      </c>
      <c r="I1943" t="str">
        <f t="shared" si="122"/>
        <v>Q1</v>
      </c>
      <c r="J1943" t="str">
        <f t="shared" si="123"/>
        <v>Small</v>
      </c>
    </row>
    <row r="1944" spans="1:10" x14ac:dyDescent="0.25">
      <c r="A1944" t="s">
        <v>31</v>
      </c>
      <c r="B1944" t="s">
        <v>26</v>
      </c>
      <c r="C1944" t="s">
        <v>30</v>
      </c>
      <c r="D1944" s="1">
        <v>45153</v>
      </c>
      <c r="E1944" s="2">
        <v>991.46</v>
      </c>
      <c r="F1944">
        <v>133</v>
      </c>
      <c r="G1944" s="2">
        <f t="shared" si="120"/>
        <v>7.4545864661654138</v>
      </c>
      <c r="H1944" t="str">
        <f t="shared" si="121"/>
        <v>August</v>
      </c>
      <c r="I1944" t="str">
        <f t="shared" si="122"/>
        <v>Q3</v>
      </c>
      <c r="J1944" t="str">
        <f t="shared" si="123"/>
        <v>Large</v>
      </c>
    </row>
    <row r="1945" spans="1:10" x14ac:dyDescent="0.25">
      <c r="A1945" t="s">
        <v>31</v>
      </c>
      <c r="B1945" t="s">
        <v>29</v>
      </c>
      <c r="C1945" t="s">
        <v>42</v>
      </c>
      <c r="D1945" s="1">
        <v>45079</v>
      </c>
      <c r="E1945" s="2">
        <v>213.45</v>
      </c>
      <c r="F1945">
        <v>17</v>
      </c>
      <c r="G1945" s="2">
        <f t="shared" si="120"/>
        <v>12.555882352941175</v>
      </c>
      <c r="H1945" t="str">
        <f t="shared" si="121"/>
        <v>June</v>
      </c>
      <c r="I1945" t="str">
        <f t="shared" si="122"/>
        <v>Q2</v>
      </c>
      <c r="J1945" t="str">
        <f t="shared" si="123"/>
        <v>Small</v>
      </c>
    </row>
    <row r="1946" spans="1:10" x14ac:dyDescent="0.25">
      <c r="A1946" t="s">
        <v>19</v>
      </c>
      <c r="B1946" t="s">
        <v>26</v>
      </c>
      <c r="C1946" t="s">
        <v>11</v>
      </c>
      <c r="D1946" s="1">
        <v>45107</v>
      </c>
      <c r="E1946" s="2">
        <v>7586.38</v>
      </c>
      <c r="F1946">
        <v>131</v>
      </c>
      <c r="G1946" s="2">
        <f t="shared" si="120"/>
        <v>57.911297709923666</v>
      </c>
      <c r="H1946" t="str">
        <f t="shared" si="121"/>
        <v>June</v>
      </c>
      <c r="I1946" t="str">
        <f t="shared" si="122"/>
        <v>Q2</v>
      </c>
      <c r="J1946" t="str">
        <f t="shared" si="123"/>
        <v>Large</v>
      </c>
    </row>
    <row r="1947" spans="1:10" x14ac:dyDescent="0.25">
      <c r="A1947" t="s">
        <v>54</v>
      </c>
      <c r="B1947" t="s">
        <v>21</v>
      </c>
      <c r="C1947" t="s">
        <v>51</v>
      </c>
      <c r="D1947" s="1">
        <v>44967</v>
      </c>
      <c r="E1947" s="2">
        <v>6192.19</v>
      </c>
      <c r="F1947">
        <v>99</v>
      </c>
      <c r="G1947" s="2">
        <f t="shared" si="120"/>
        <v>62.547373737373732</v>
      </c>
      <c r="H1947" t="str">
        <f t="shared" si="121"/>
        <v>February</v>
      </c>
      <c r="I1947" t="str">
        <f t="shared" si="122"/>
        <v>Q1</v>
      </c>
      <c r="J1947" t="str">
        <f t="shared" si="123"/>
        <v>Large</v>
      </c>
    </row>
    <row r="1948" spans="1:10" x14ac:dyDescent="0.25">
      <c r="A1948" t="s">
        <v>33</v>
      </c>
      <c r="B1948" t="s">
        <v>29</v>
      </c>
      <c r="C1948" t="s">
        <v>57</v>
      </c>
      <c r="D1948" s="1">
        <v>44980</v>
      </c>
      <c r="E1948" s="2">
        <v>1510.58</v>
      </c>
      <c r="F1948">
        <v>602</v>
      </c>
      <c r="G1948" s="2">
        <f t="shared" si="120"/>
        <v>2.5092691029900331</v>
      </c>
      <c r="H1948" t="str">
        <f t="shared" si="121"/>
        <v>February</v>
      </c>
      <c r="I1948" t="str">
        <f t="shared" si="122"/>
        <v>Q1</v>
      </c>
      <c r="J1948" t="str">
        <f t="shared" si="123"/>
        <v>Large</v>
      </c>
    </row>
    <row r="1949" spans="1:10" x14ac:dyDescent="0.25">
      <c r="A1949" t="s">
        <v>43</v>
      </c>
      <c r="B1949" t="s">
        <v>10</v>
      </c>
      <c r="C1949" t="s">
        <v>35</v>
      </c>
      <c r="D1949" s="1">
        <v>44953</v>
      </c>
      <c r="E1949" s="2">
        <v>8693.31</v>
      </c>
      <c r="F1949">
        <v>209</v>
      </c>
      <c r="G1949" s="2">
        <f t="shared" si="120"/>
        <v>41.594784688995212</v>
      </c>
      <c r="H1949" t="str">
        <f t="shared" si="121"/>
        <v>January</v>
      </c>
      <c r="I1949" t="str">
        <f t="shared" si="122"/>
        <v>Q1</v>
      </c>
      <c r="J1949" t="str">
        <f t="shared" si="123"/>
        <v>Large</v>
      </c>
    </row>
    <row r="1950" spans="1:10" x14ac:dyDescent="0.25">
      <c r="A1950" t="s">
        <v>50</v>
      </c>
      <c r="B1950" t="s">
        <v>7</v>
      </c>
      <c r="C1950" t="s">
        <v>8</v>
      </c>
      <c r="D1950" s="1">
        <v>45072</v>
      </c>
      <c r="E1950" s="2">
        <v>5509.77</v>
      </c>
      <c r="F1950">
        <v>307</v>
      </c>
      <c r="G1950" s="2">
        <f t="shared" si="120"/>
        <v>17.947133550488601</v>
      </c>
      <c r="H1950" t="str">
        <f t="shared" si="121"/>
        <v>May</v>
      </c>
      <c r="I1950" t="str">
        <f t="shared" si="122"/>
        <v>Q2</v>
      </c>
      <c r="J1950" t="str">
        <f t="shared" si="123"/>
        <v>Large</v>
      </c>
    </row>
    <row r="1951" spans="1:10" x14ac:dyDescent="0.25">
      <c r="A1951" t="s">
        <v>23</v>
      </c>
      <c r="B1951" t="s">
        <v>26</v>
      </c>
      <c r="C1951" t="s">
        <v>58</v>
      </c>
      <c r="D1951" s="1">
        <v>45030</v>
      </c>
      <c r="E1951" s="2">
        <v>1863.2</v>
      </c>
      <c r="F1951">
        <v>22</v>
      </c>
      <c r="G1951" s="2">
        <f t="shared" si="120"/>
        <v>84.690909090909088</v>
      </c>
      <c r="H1951" t="str">
        <f t="shared" si="121"/>
        <v>April</v>
      </c>
      <c r="I1951" t="str">
        <f t="shared" si="122"/>
        <v>Q2</v>
      </c>
      <c r="J1951" t="str">
        <f t="shared" si="123"/>
        <v>Large</v>
      </c>
    </row>
    <row r="1952" spans="1:10" x14ac:dyDescent="0.25">
      <c r="A1952" t="s">
        <v>53</v>
      </c>
      <c r="B1952" t="s">
        <v>15</v>
      </c>
      <c r="C1952" t="s">
        <v>18</v>
      </c>
      <c r="D1952" s="1">
        <v>45139</v>
      </c>
      <c r="E1952" s="2">
        <v>4822.5</v>
      </c>
      <c r="F1952">
        <v>159</v>
      </c>
      <c r="G1952" s="2">
        <f t="shared" si="120"/>
        <v>30.330188679245282</v>
      </c>
      <c r="H1952" t="str">
        <f t="shared" si="121"/>
        <v>August</v>
      </c>
      <c r="I1952" t="str">
        <f t="shared" si="122"/>
        <v>Q3</v>
      </c>
      <c r="J1952" t="str">
        <f t="shared" si="123"/>
        <v>Large</v>
      </c>
    </row>
    <row r="1953" spans="1:10" x14ac:dyDescent="0.25">
      <c r="A1953" t="s">
        <v>28</v>
      </c>
      <c r="B1953" t="s">
        <v>15</v>
      </c>
      <c r="C1953" t="s">
        <v>30</v>
      </c>
      <c r="D1953" s="1">
        <v>45160</v>
      </c>
      <c r="E1953" s="2">
        <v>10856.55</v>
      </c>
      <c r="F1953">
        <v>229</v>
      </c>
      <c r="G1953" s="2">
        <f t="shared" si="120"/>
        <v>47.408515283842789</v>
      </c>
      <c r="H1953" t="str">
        <f t="shared" si="121"/>
        <v>August</v>
      </c>
      <c r="I1953" t="str">
        <f t="shared" si="122"/>
        <v>Q3</v>
      </c>
      <c r="J1953" t="str">
        <f t="shared" si="123"/>
        <v>Large</v>
      </c>
    </row>
    <row r="1954" spans="1:10" x14ac:dyDescent="0.25">
      <c r="A1954" t="s">
        <v>33</v>
      </c>
      <c r="B1954" t="s">
        <v>10</v>
      </c>
      <c r="C1954" t="s">
        <v>18</v>
      </c>
      <c r="D1954" s="1">
        <v>45129</v>
      </c>
      <c r="E1954" s="2">
        <v>11252.11</v>
      </c>
      <c r="F1954">
        <v>159</v>
      </c>
      <c r="G1954" s="2">
        <f t="shared" si="120"/>
        <v>70.767987421383651</v>
      </c>
      <c r="H1954" t="str">
        <f t="shared" si="121"/>
        <v>July</v>
      </c>
      <c r="I1954" t="str">
        <f t="shared" si="122"/>
        <v>Q3</v>
      </c>
      <c r="J1954" t="str">
        <f t="shared" si="123"/>
        <v>Large</v>
      </c>
    </row>
    <row r="1955" spans="1:10" x14ac:dyDescent="0.25">
      <c r="A1955" t="s">
        <v>40</v>
      </c>
      <c r="B1955" t="s">
        <v>26</v>
      </c>
      <c r="C1955" t="s">
        <v>42</v>
      </c>
      <c r="D1955" s="1">
        <v>45044</v>
      </c>
      <c r="E1955" s="2">
        <v>1387.72</v>
      </c>
      <c r="F1955">
        <v>27</v>
      </c>
      <c r="G1955" s="2">
        <f t="shared" si="120"/>
        <v>51.397037037037038</v>
      </c>
      <c r="H1955" t="str">
        <f t="shared" si="121"/>
        <v>April</v>
      </c>
      <c r="I1955" t="str">
        <f t="shared" si="122"/>
        <v>Q2</v>
      </c>
      <c r="J1955" t="str">
        <f t="shared" si="123"/>
        <v>Large</v>
      </c>
    </row>
    <row r="1956" spans="1:10" x14ac:dyDescent="0.25">
      <c r="A1956" t="s">
        <v>49</v>
      </c>
      <c r="B1956" t="s">
        <v>15</v>
      </c>
      <c r="C1956" t="s">
        <v>47</v>
      </c>
      <c r="D1956" s="1">
        <v>45076</v>
      </c>
      <c r="E1956" s="2">
        <v>5509.22</v>
      </c>
      <c r="F1956">
        <v>341</v>
      </c>
      <c r="G1956" s="2">
        <f t="shared" si="120"/>
        <v>16.156070381231672</v>
      </c>
      <c r="H1956" t="str">
        <f t="shared" si="121"/>
        <v>May</v>
      </c>
      <c r="I1956" t="str">
        <f t="shared" si="122"/>
        <v>Q2</v>
      </c>
      <c r="J1956" t="str">
        <f t="shared" si="123"/>
        <v>Large</v>
      </c>
    </row>
    <row r="1957" spans="1:10" x14ac:dyDescent="0.25">
      <c r="A1957" t="s">
        <v>55</v>
      </c>
      <c r="B1957" t="s">
        <v>26</v>
      </c>
      <c r="C1957" t="s">
        <v>37</v>
      </c>
      <c r="D1957" s="1">
        <v>45128</v>
      </c>
      <c r="E1957" s="2">
        <v>2444.25</v>
      </c>
      <c r="F1957">
        <v>155</v>
      </c>
      <c r="G1957" s="2">
        <f t="shared" si="120"/>
        <v>15.769354838709678</v>
      </c>
      <c r="H1957" t="str">
        <f t="shared" si="121"/>
        <v>July</v>
      </c>
      <c r="I1957" t="str">
        <f t="shared" si="122"/>
        <v>Q3</v>
      </c>
      <c r="J1957" t="str">
        <f t="shared" si="123"/>
        <v>Large</v>
      </c>
    </row>
    <row r="1958" spans="1:10" x14ac:dyDescent="0.25">
      <c r="A1958" t="s">
        <v>14</v>
      </c>
      <c r="B1958" t="s">
        <v>7</v>
      </c>
      <c r="C1958" t="s">
        <v>57</v>
      </c>
      <c r="D1958" s="1">
        <v>45140</v>
      </c>
      <c r="E1958" s="2">
        <v>3175.62</v>
      </c>
      <c r="F1958">
        <v>507</v>
      </c>
      <c r="G1958" s="2">
        <f t="shared" si="120"/>
        <v>6.2635502958579883</v>
      </c>
      <c r="H1958" t="str">
        <f t="shared" si="121"/>
        <v>August</v>
      </c>
      <c r="I1958" t="str">
        <f t="shared" si="122"/>
        <v>Q3</v>
      </c>
      <c r="J1958" t="str">
        <f t="shared" si="123"/>
        <v>Large</v>
      </c>
    </row>
    <row r="1959" spans="1:10" x14ac:dyDescent="0.25">
      <c r="A1959" t="s">
        <v>23</v>
      </c>
      <c r="B1959" t="s">
        <v>21</v>
      </c>
      <c r="C1959" t="s">
        <v>58</v>
      </c>
      <c r="D1959" s="1">
        <v>45092</v>
      </c>
      <c r="E1959" s="2">
        <v>7900.42</v>
      </c>
      <c r="F1959">
        <v>143</v>
      </c>
      <c r="G1959" s="2">
        <f t="shared" si="120"/>
        <v>55.247692307692311</v>
      </c>
      <c r="H1959" t="str">
        <f t="shared" si="121"/>
        <v>June</v>
      </c>
      <c r="I1959" t="str">
        <f t="shared" si="122"/>
        <v>Q2</v>
      </c>
      <c r="J1959" t="str">
        <f t="shared" si="123"/>
        <v>Large</v>
      </c>
    </row>
    <row r="1960" spans="1:10" x14ac:dyDescent="0.25">
      <c r="A1960" t="s">
        <v>17</v>
      </c>
      <c r="B1960" t="s">
        <v>10</v>
      </c>
      <c r="C1960" t="s">
        <v>11</v>
      </c>
      <c r="D1960" s="1">
        <v>45112</v>
      </c>
      <c r="E1960" s="2">
        <v>9072.4599999999991</v>
      </c>
      <c r="F1960">
        <v>142</v>
      </c>
      <c r="G1960" s="2">
        <f t="shared" si="120"/>
        <v>63.890563380281684</v>
      </c>
      <c r="H1960" t="str">
        <f t="shared" si="121"/>
        <v>July</v>
      </c>
      <c r="I1960" t="str">
        <f t="shared" si="122"/>
        <v>Q3</v>
      </c>
      <c r="J1960" t="str">
        <f t="shared" si="123"/>
        <v>Large</v>
      </c>
    </row>
    <row r="1961" spans="1:10" x14ac:dyDescent="0.25">
      <c r="A1961" t="s">
        <v>41</v>
      </c>
      <c r="B1961" t="s">
        <v>21</v>
      </c>
      <c r="C1961" t="s">
        <v>16</v>
      </c>
      <c r="D1961" s="1">
        <v>45028</v>
      </c>
      <c r="E1961" s="2">
        <v>8.06</v>
      </c>
      <c r="F1961">
        <v>513</v>
      </c>
      <c r="G1961" s="2">
        <f t="shared" si="120"/>
        <v>1.5711500974658871E-2</v>
      </c>
      <c r="H1961" t="str">
        <f t="shared" si="121"/>
        <v>April</v>
      </c>
      <c r="I1961" t="str">
        <f t="shared" si="122"/>
        <v>Q2</v>
      </c>
      <c r="J1961" t="str">
        <f t="shared" si="123"/>
        <v>Small</v>
      </c>
    </row>
    <row r="1962" spans="1:10" x14ac:dyDescent="0.25">
      <c r="A1962" t="s">
        <v>12</v>
      </c>
      <c r="B1962" t="s">
        <v>15</v>
      </c>
      <c r="C1962" t="s">
        <v>58</v>
      </c>
      <c r="D1962" s="1">
        <v>45156</v>
      </c>
      <c r="E1962" s="2">
        <v>1548.54</v>
      </c>
      <c r="F1962">
        <v>104</v>
      </c>
      <c r="G1962" s="2">
        <f t="shared" si="120"/>
        <v>14.889807692307691</v>
      </c>
      <c r="H1962" t="str">
        <f t="shared" si="121"/>
        <v>August</v>
      </c>
      <c r="I1962" t="str">
        <f t="shared" si="122"/>
        <v>Q3</v>
      </c>
      <c r="J1962" t="str">
        <f t="shared" si="123"/>
        <v>Large</v>
      </c>
    </row>
    <row r="1963" spans="1:10" x14ac:dyDescent="0.25">
      <c r="A1963" t="s">
        <v>14</v>
      </c>
      <c r="B1963" t="s">
        <v>7</v>
      </c>
      <c r="C1963" t="s">
        <v>22</v>
      </c>
      <c r="D1963" s="1">
        <v>44938</v>
      </c>
      <c r="E1963" s="2">
        <v>5501.67</v>
      </c>
      <c r="F1963">
        <v>298</v>
      </c>
      <c r="G1963" s="2">
        <f t="shared" si="120"/>
        <v>18.461979865771813</v>
      </c>
      <c r="H1963" t="str">
        <f t="shared" si="121"/>
        <v>January</v>
      </c>
      <c r="I1963" t="str">
        <f t="shared" si="122"/>
        <v>Q1</v>
      </c>
      <c r="J1963" t="str">
        <f t="shared" si="123"/>
        <v>Large</v>
      </c>
    </row>
    <row r="1964" spans="1:10" x14ac:dyDescent="0.25">
      <c r="A1964" t="s">
        <v>19</v>
      </c>
      <c r="B1964" t="s">
        <v>29</v>
      </c>
      <c r="C1964" t="s">
        <v>44</v>
      </c>
      <c r="D1964" s="1">
        <v>45149</v>
      </c>
      <c r="E1964" s="2">
        <v>7685.42</v>
      </c>
      <c r="F1964">
        <v>15</v>
      </c>
      <c r="G1964" s="2">
        <f t="shared" si="120"/>
        <v>512.36133333333339</v>
      </c>
      <c r="H1964" t="str">
        <f t="shared" si="121"/>
        <v>August</v>
      </c>
      <c r="I1964" t="str">
        <f t="shared" si="122"/>
        <v>Q3</v>
      </c>
      <c r="J1964" t="str">
        <f t="shared" si="123"/>
        <v>Large</v>
      </c>
    </row>
    <row r="1965" spans="1:10" x14ac:dyDescent="0.25">
      <c r="A1965" t="s">
        <v>6</v>
      </c>
      <c r="B1965" t="s">
        <v>15</v>
      </c>
      <c r="C1965" t="s">
        <v>39</v>
      </c>
      <c r="D1965" s="1">
        <v>44939</v>
      </c>
      <c r="E1965" s="2">
        <v>5147.7700000000004</v>
      </c>
      <c r="F1965">
        <v>402</v>
      </c>
      <c r="G1965" s="2">
        <f t="shared" si="120"/>
        <v>12.805398009950251</v>
      </c>
      <c r="H1965" t="str">
        <f t="shared" si="121"/>
        <v>January</v>
      </c>
      <c r="I1965" t="str">
        <f t="shared" si="122"/>
        <v>Q1</v>
      </c>
      <c r="J1965" t="str">
        <f t="shared" si="123"/>
        <v>Large</v>
      </c>
    </row>
    <row r="1966" spans="1:10" x14ac:dyDescent="0.25">
      <c r="A1966" t="s">
        <v>40</v>
      </c>
      <c r="B1966" t="s">
        <v>7</v>
      </c>
      <c r="C1966" t="s">
        <v>56</v>
      </c>
      <c r="D1966" s="1">
        <v>45045</v>
      </c>
      <c r="E1966" s="2">
        <v>3070.43</v>
      </c>
      <c r="F1966">
        <v>143</v>
      </c>
      <c r="G1966" s="2">
        <f t="shared" si="120"/>
        <v>21.471538461538461</v>
      </c>
      <c r="H1966" t="str">
        <f t="shared" si="121"/>
        <v>April</v>
      </c>
      <c r="I1966" t="str">
        <f t="shared" si="122"/>
        <v>Q2</v>
      </c>
      <c r="J1966" t="str">
        <f t="shared" si="123"/>
        <v>Large</v>
      </c>
    </row>
    <row r="1967" spans="1:10" x14ac:dyDescent="0.25">
      <c r="A1967" t="s">
        <v>24</v>
      </c>
      <c r="B1967" t="s">
        <v>21</v>
      </c>
      <c r="C1967" t="s">
        <v>20</v>
      </c>
      <c r="D1967" s="1">
        <v>45114</v>
      </c>
      <c r="E1967" s="2">
        <v>1127.5</v>
      </c>
      <c r="F1967">
        <v>88</v>
      </c>
      <c r="G1967" s="2">
        <f t="shared" si="120"/>
        <v>12.8125</v>
      </c>
      <c r="H1967" t="str">
        <f t="shared" si="121"/>
        <v>July</v>
      </c>
      <c r="I1967" t="str">
        <f t="shared" si="122"/>
        <v>Q3</v>
      </c>
      <c r="J1967" t="str">
        <f t="shared" si="123"/>
        <v>Large</v>
      </c>
    </row>
    <row r="1968" spans="1:10" x14ac:dyDescent="0.25">
      <c r="A1968" t="s">
        <v>53</v>
      </c>
      <c r="B1968" t="s">
        <v>21</v>
      </c>
      <c r="C1968" t="s">
        <v>8</v>
      </c>
      <c r="D1968" s="1">
        <v>44996</v>
      </c>
      <c r="E1968" s="2">
        <v>8502.77</v>
      </c>
      <c r="F1968">
        <v>4</v>
      </c>
      <c r="G1968" s="2">
        <f t="shared" si="120"/>
        <v>2125.6925000000001</v>
      </c>
      <c r="H1968" t="str">
        <f t="shared" si="121"/>
        <v>March</v>
      </c>
      <c r="I1968" t="str">
        <f t="shared" si="122"/>
        <v>Q1</v>
      </c>
      <c r="J1968" t="str">
        <f t="shared" si="123"/>
        <v>Large</v>
      </c>
    </row>
    <row r="1969" spans="1:10" x14ac:dyDescent="0.25">
      <c r="A1969" t="s">
        <v>53</v>
      </c>
      <c r="B1969" t="s">
        <v>7</v>
      </c>
      <c r="C1969" t="s">
        <v>58</v>
      </c>
      <c r="D1969" s="1">
        <v>44973</v>
      </c>
      <c r="E1969" s="2">
        <v>5961.02</v>
      </c>
      <c r="F1969">
        <v>241</v>
      </c>
      <c r="G1969" s="2">
        <f t="shared" si="120"/>
        <v>24.734522821576764</v>
      </c>
      <c r="H1969" t="str">
        <f t="shared" si="121"/>
        <v>February</v>
      </c>
      <c r="I1969" t="str">
        <f t="shared" si="122"/>
        <v>Q1</v>
      </c>
      <c r="J1969" t="str">
        <f t="shared" si="123"/>
        <v>Large</v>
      </c>
    </row>
    <row r="1970" spans="1:10" x14ac:dyDescent="0.25">
      <c r="A1970" t="s">
        <v>25</v>
      </c>
      <c r="B1970" t="s">
        <v>15</v>
      </c>
      <c r="C1970" t="s">
        <v>35</v>
      </c>
      <c r="D1970" s="1">
        <v>44933</v>
      </c>
      <c r="E1970" s="2">
        <v>2478.33</v>
      </c>
      <c r="F1970">
        <v>33</v>
      </c>
      <c r="G1970" s="2">
        <f t="shared" si="120"/>
        <v>75.100909090909084</v>
      </c>
      <c r="H1970" t="str">
        <f t="shared" si="121"/>
        <v>January</v>
      </c>
      <c r="I1970" t="str">
        <f t="shared" si="122"/>
        <v>Q1</v>
      </c>
      <c r="J1970" t="str">
        <f t="shared" si="123"/>
        <v>Large</v>
      </c>
    </row>
    <row r="1971" spans="1:10" x14ac:dyDescent="0.25">
      <c r="A1971" t="s">
        <v>34</v>
      </c>
      <c r="B1971" t="s">
        <v>21</v>
      </c>
      <c r="C1971" t="s">
        <v>32</v>
      </c>
      <c r="D1971" s="1">
        <v>44938</v>
      </c>
      <c r="E1971" s="2">
        <v>1269.56</v>
      </c>
      <c r="F1971">
        <v>497</v>
      </c>
      <c r="G1971" s="2">
        <f t="shared" si="120"/>
        <v>2.5544466800804826</v>
      </c>
      <c r="H1971" t="str">
        <f t="shared" si="121"/>
        <v>January</v>
      </c>
      <c r="I1971" t="str">
        <f t="shared" si="122"/>
        <v>Q1</v>
      </c>
      <c r="J1971" t="str">
        <f t="shared" si="123"/>
        <v>Large</v>
      </c>
    </row>
    <row r="1972" spans="1:10" x14ac:dyDescent="0.25">
      <c r="A1972" t="s">
        <v>34</v>
      </c>
      <c r="B1972" t="s">
        <v>10</v>
      </c>
      <c r="C1972" t="s">
        <v>30</v>
      </c>
      <c r="D1972" s="1">
        <v>45086</v>
      </c>
      <c r="E1972" s="2">
        <v>11130.52</v>
      </c>
      <c r="F1972">
        <v>144</v>
      </c>
      <c r="G1972" s="2">
        <f t="shared" si="120"/>
        <v>77.295277777777784</v>
      </c>
      <c r="H1972" t="str">
        <f t="shared" si="121"/>
        <v>June</v>
      </c>
      <c r="I1972" t="str">
        <f t="shared" si="122"/>
        <v>Q2</v>
      </c>
      <c r="J1972" t="str">
        <f t="shared" si="123"/>
        <v>Large</v>
      </c>
    </row>
    <row r="1973" spans="1:10" x14ac:dyDescent="0.25">
      <c r="A1973" t="s">
        <v>48</v>
      </c>
      <c r="B1973" t="s">
        <v>10</v>
      </c>
      <c r="C1973" t="s">
        <v>30</v>
      </c>
      <c r="D1973" s="1">
        <v>45062</v>
      </c>
      <c r="E1973" s="2">
        <v>2455.09</v>
      </c>
      <c r="F1973">
        <v>83</v>
      </c>
      <c r="G1973" s="2">
        <f t="shared" si="120"/>
        <v>29.579397590361449</v>
      </c>
      <c r="H1973" t="str">
        <f t="shared" si="121"/>
        <v>May</v>
      </c>
      <c r="I1973" t="str">
        <f t="shared" si="122"/>
        <v>Q2</v>
      </c>
      <c r="J1973" t="str">
        <f t="shared" si="123"/>
        <v>Large</v>
      </c>
    </row>
    <row r="1974" spans="1:10" x14ac:dyDescent="0.25">
      <c r="A1974" t="s">
        <v>12</v>
      </c>
      <c r="B1974" t="s">
        <v>7</v>
      </c>
      <c r="C1974" t="s">
        <v>11</v>
      </c>
      <c r="D1974" s="1">
        <v>45100</v>
      </c>
      <c r="E1974" s="2">
        <v>12764.94</v>
      </c>
      <c r="F1974">
        <v>100</v>
      </c>
      <c r="G1974" s="2">
        <f t="shared" si="120"/>
        <v>127.6494</v>
      </c>
      <c r="H1974" t="str">
        <f t="shared" si="121"/>
        <v>June</v>
      </c>
      <c r="I1974" t="str">
        <f t="shared" si="122"/>
        <v>Q2</v>
      </c>
      <c r="J1974" t="str">
        <f t="shared" si="123"/>
        <v>Large</v>
      </c>
    </row>
    <row r="1975" spans="1:10" x14ac:dyDescent="0.25">
      <c r="A1975" t="s">
        <v>36</v>
      </c>
      <c r="B1975" t="s">
        <v>7</v>
      </c>
      <c r="C1975" t="s">
        <v>51</v>
      </c>
      <c r="D1975" s="1">
        <v>44954</v>
      </c>
      <c r="E1975" s="2">
        <v>13351.42</v>
      </c>
      <c r="F1975">
        <v>198</v>
      </c>
      <c r="G1975" s="2">
        <f t="shared" si="120"/>
        <v>67.431414141414137</v>
      </c>
      <c r="H1975" t="str">
        <f t="shared" si="121"/>
        <v>January</v>
      </c>
      <c r="I1975" t="str">
        <f t="shared" si="122"/>
        <v>Q1</v>
      </c>
      <c r="J1975" t="str">
        <f t="shared" si="123"/>
        <v>Large</v>
      </c>
    </row>
    <row r="1976" spans="1:10" x14ac:dyDescent="0.25">
      <c r="A1976" t="s">
        <v>54</v>
      </c>
      <c r="B1976" t="s">
        <v>7</v>
      </c>
      <c r="C1976" t="s">
        <v>8</v>
      </c>
      <c r="D1976" s="1">
        <v>45121</v>
      </c>
      <c r="E1976" s="2">
        <v>2763.22</v>
      </c>
      <c r="F1976">
        <v>223</v>
      </c>
      <c r="G1976" s="2">
        <f t="shared" si="120"/>
        <v>12.391121076233183</v>
      </c>
      <c r="H1976" t="str">
        <f t="shared" si="121"/>
        <v>July</v>
      </c>
      <c r="I1976" t="str">
        <f t="shared" si="122"/>
        <v>Q3</v>
      </c>
      <c r="J1976" t="str">
        <f t="shared" si="123"/>
        <v>Large</v>
      </c>
    </row>
    <row r="1977" spans="1:10" x14ac:dyDescent="0.25">
      <c r="A1977" t="s">
        <v>25</v>
      </c>
      <c r="B1977" t="s">
        <v>29</v>
      </c>
      <c r="C1977" t="s">
        <v>32</v>
      </c>
      <c r="D1977" s="1">
        <v>45034</v>
      </c>
      <c r="E1977" s="2">
        <v>6523.34</v>
      </c>
      <c r="F1977">
        <v>245</v>
      </c>
      <c r="G1977" s="2">
        <f t="shared" si="120"/>
        <v>26.625877551020409</v>
      </c>
      <c r="H1977" t="str">
        <f t="shared" si="121"/>
        <v>April</v>
      </c>
      <c r="I1977" t="str">
        <f t="shared" si="122"/>
        <v>Q2</v>
      </c>
      <c r="J1977" t="str">
        <f t="shared" si="123"/>
        <v>Large</v>
      </c>
    </row>
    <row r="1978" spans="1:10" x14ac:dyDescent="0.25">
      <c r="A1978" t="s">
        <v>17</v>
      </c>
      <c r="B1978" t="s">
        <v>26</v>
      </c>
      <c r="C1978" t="s">
        <v>37</v>
      </c>
      <c r="D1978" s="1">
        <v>45091</v>
      </c>
      <c r="E1978" s="2">
        <v>1868.25</v>
      </c>
      <c r="F1978">
        <v>82</v>
      </c>
      <c r="G1978" s="2">
        <f t="shared" si="120"/>
        <v>22.783536585365855</v>
      </c>
      <c r="H1978" t="str">
        <f t="shared" si="121"/>
        <v>June</v>
      </c>
      <c r="I1978" t="str">
        <f t="shared" si="122"/>
        <v>Q2</v>
      </c>
      <c r="J1978" t="str">
        <f t="shared" si="123"/>
        <v>Large</v>
      </c>
    </row>
    <row r="1979" spans="1:10" x14ac:dyDescent="0.25">
      <c r="A1979" t="s">
        <v>17</v>
      </c>
      <c r="B1979" t="s">
        <v>7</v>
      </c>
      <c r="C1979" t="s">
        <v>27</v>
      </c>
      <c r="D1979" s="1">
        <v>45031</v>
      </c>
      <c r="E1979" s="2">
        <v>8431.83</v>
      </c>
      <c r="F1979">
        <v>251</v>
      </c>
      <c r="G1979" s="2">
        <f t="shared" si="120"/>
        <v>33.592948207171311</v>
      </c>
      <c r="H1979" t="str">
        <f t="shared" si="121"/>
        <v>April</v>
      </c>
      <c r="I1979" t="str">
        <f t="shared" si="122"/>
        <v>Q2</v>
      </c>
      <c r="J1979" t="str">
        <f t="shared" si="123"/>
        <v>Large</v>
      </c>
    </row>
    <row r="1980" spans="1:10" x14ac:dyDescent="0.25">
      <c r="A1980" t="s">
        <v>38</v>
      </c>
      <c r="B1980" t="s">
        <v>29</v>
      </c>
      <c r="C1980" t="s">
        <v>13</v>
      </c>
      <c r="D1980" s="1">
        <v>45065</v>
      </c>
      <c r="E1980" s="2">
        <v>5646.99</v>
      </c>
      <c r="F1980">
        <v>64</v>
      </c>
      <c r="G1980" s="2">
        <f t="shared" si="120"/>
        <v>88.234218749999997</v>
      </c>
      <c r="H1980" t="str">
        <f t="shared" si="121"/>
        <v>May</v>
      </c>
      <c r="I1980" t="str">
        <f t="shared" si="122"/>
        <v>Q2</v>
      </c>
      <c r="J1980" t="str">
        <f t="shared" si="123"/>
        <v>Large</v>
      </c>
    </row>
    <row r="1981" spans="1:10" x14ac:dyDescent="0.25">
      <c r="A1981" t="s">
        <v>12</v>
      </c>
      <c r="B1981" t="s">
        <v>10</v>
      </c>
      <c r="C1981" t="s">
        <v>44</v>
      </c>
      <c r="D1981" s="1">
        <v>45029</v>
      </c>
      <c r="E1981" s="2">
        <v>1484.67</v>
      </c>
      <c r="F1981">
        <v>180</v>
      </c>
      <c r="G1981" s="2">
        <f t="shared" si="120"/>
        <v>8.2481666666666662</v>
      </c>
      <c r="H1981" t="str">
        <f t="shared" si="121"/>
        <v>April</v>
      </c>
      <c r="I1981" t="str">
        <f t="shared" si="122"/>
        <v>Q2</v>
      </c>
      <c r="J1981" t="str">
        <f t="shared" si="123"/>
        <v>Large</v>
      </c>
    </row>
    <row r="1982" spans="1:10" x14ac:dyDescent="0.25">
      <c r="A1982" t="s">
        <v>40</v>
      </c>
      <c r="B1982" t="s">
        <v>29</v>
      </c>
      <c r="C1982" t="s">
        <v>52</v>
      </c>
      <c r="D1982" s="1">
        <v>45153</v>
      </c>
      <c r="E1982" s="2">
        <v>3859.95</v>
      </c>
      <c r="F1982">
        <v>395</v>
      </c>
      <c r="G1982" s="2">
        <f t="shared" si="120"/>
        <v>9.7720253164556965</v>
      </c>
      <c r="H1982" t="str">
        <f t="shared" si="121"/>
        <v>August</v>
      </c>
      <c r="I1982" t="str">
        <f t="shared" si="122"/>
        <v>Q3</v>
      </c>
      <c r="J1982" t="str">
        <f t="shared" si="123"/>
        <v>Large</v>
      </c>
    </row>
    <row r="1983" spans="1:10" x14ac:dyDescent="0.25">
      <c r="A1983" t="s">
        <v>46</v>
      </c>
      <c r="B1983" t="s">
        <v>10</v>
      </c>
      <c r="C1983" t="s">
        <v>52</v>
      </c>
      <c r="D1983" s="1">
        <v>45160</v>
      </c>
      <c r="E1983" s="2">
        <v>3237.3</v>
      </c>
      <c r="F1983">
        <v>227</v>
      </c>
      <c r="G1983" s="2">
        <f t="shared" si="120"/>
        <v>14.261233480176212</v>
      </c>
      <c r="H1983" t="str">
        <f t="shared" si="121"/>
        <v>August</v>
      </c>
      <c r="I1983" t="str">
        <f t="shared" si="122"/>
        <v>Q3</v>
      </c>
      <c r="J1983" t="str">
        <f t="shared" si="123"/>
        <v>Large</v>
      </c>
    </row>
    <row r="1984" spans="1:10" x14ac:dyDescent="0.25">
      <c r="A1984" t="s">
        <v>46</v>
      </c>
      <c r="B1984" t="s">
        <v>21</v>
      </c>
      <c r="C1984" t="s">
        <v>56</v>
      </c>
      <c r="D1984" s="1">
        <v>45038</v>
      </c>
      <c r="E1984" s="2">
        <v>4072.43</v>
      </c>
      <c r="F1984">
        <v>64</v>
      </c>
      <c r="G1984" s="2">
        <f t="shared" si="120"/>
        <v>63.631718749999997</v>
      </c>
      <c r="H1984" t="str">
        <f t="shared" si="121"/>
        <v>April</v>
      </c>
      <c r="I1984" t="str">
        <f t="shared" si="122"/>
        <v>Q2</v>
      </c>
      <c r="J1984" t="str">
        <f t="shared" si="123"/>
        <v>Large</v>
      </c>
    </row>
    <row r="1985" spans="1:10" x14ac:dyDescent="0.25">
      <c r="A1985" t="s">
        <v>41</v>
      </c>
      <c r="B1985" t="s">
        <v>7</v>
      </c>
      <c r="C1985" t="s">
        <v>52</v>
      </c>
      <c r="D1985" s="1">
        <v>45141</v>
      </c>
      <c r="E1985" s="2">
        <v>8054.87</v>
      </c>
      <c r="F1985">
        <v>118</v>
      </c>
      <c r="G1985" s="2">
        <f t="shared" si="120"/>
        <v>68.261610169491519</v>
      </c>
      <c r="H1985" t="str">
        <f t="shared" si="121"/>
        <v>August</v>
      </c>
      <c r="I1985" t="str">
        <f t="shared" si="122"/>
        <v>Q3</v>
      </c>
      <c r="J1985" t="str">
        <f t="shared" si="123"/>
        <v>Large</v>
      </c>
    </row>
    <row r="1986" spans="1:10" x14ac:dyDescent="0.25">
      <c r="A1986" t="s">
        <v>43</v>
      </c>
      <c r="B1986" t="s">
        <v>21</v>
      </c>
      <c r="C1986" t="s">
        <v>35</v>
      </c>
      <c r="D1986" s="1">
        <v>44930</v>
      </c>
      <c r="E1986" s="2">
        <v>420.3</v>
      </c>
      <c r="F1986">
        <v>224</v>
      </c>
      <c r="G1986" s="2">
        <f t="shared" si="120"/>
        <v>1.8763392857142858</v>
      </c>
      <c r="H1986" t="str">
        <f t="shared" si="121"/>
        <v>January</v>
      </c>
      <c r="I1986" t="str">
        <f t="shared" si="122"/>
        <v>Q1</v>
      </c>
      <c r="J1986" t="str">
        <f t="shared" si="123"/>
        <v>Small</v>
      </c>
    </row>
    <row r="1987" spans="1:10" x14ac:dyDescent="0.25">
      <c r="A1987" t="s">
        <v>49</v>
      </c>
      <c r="B1987" t="s">
        <v>29</v>
      </c>
      <c r="C1987" t="s">
        <v>20</v>
      </c>
      <c r="D1987" s="1">
        <v>44939</v>
      </c>
      <c r="E1987" s="2">
        <v>17073.990000000002</v>
      </c>
      <c r="F1987">
        <v>218</v>
      </c>
      <c r="G1987" s="2">
        <f t="shared" ref="G1987:G2050" si="124">E1987/F1987</f>
        <v>78.32105504587156</v>
      </c>
      <c r="H1987" t="str">
        <f t="shared" ref="H1987:H2050" si="125">TEXT(D1987, "mmmm")</f>
        <v>January</v>
      </c>
      <c r="I1987" t="str">
        <f t="shared" ref="I1987:I2050" si="126">"Q" &amp; ROUNDUP(MONTH(D1987)/3,0)</f>
        <v>Q1</v>
      </c>
      <c r="J1987" t="str">
        <f t="shared" ref="J1987:J2050" si="127">IF(E1987 &gt; 500, "Large", "Small")</f>
        <v>Large</v>
      </c>
    </row>
    <row r="1988" spans="1:10" x14ac:dyDescent="0.25">
      <c r="A1988" t="s">
        <v>9</v>
      </c>
      <c r="B1988" t="s">
        <v>15</v>
      </c>
      <c r="C1988" t="s">
        <v>56</v>
      </c>
      <c r="D1988" s="1">
        <v>45057</v>
      </c>
      <c r="E1988" s="2">
        <v>13624.31</v>
      </c>
      <c r="F1988">
        <v>33</v>
      </c>
      <c r="G1988" s="2">
        <f t="shared" si="124"/>
        <v>412.85787878787875</v>
      </c>
      <c r="H1988" t="str">
        <f t="shared" si="125"/>
        <v>May</v>
      </c>
      <c r="I1988" t="str">
        <f t="shared" si="126"/>
        <v>Q2</v>
      </c>
      <c r="J1988" t="str">
        <f t="shared" si="127"/>
        <v>Large</v>
      </c>
    </row>
    <row r="1989" spans="1:10" x14ac:dyDescent="0.25">
      <c r="A1989" t="s">
        <v>40</v>
      </c>
      <c r="B1989" t="s">
        <v>21</v>
      </c>
      <c r="C1989" t="s">
        <v>13</v>
      </c>
      <c r="D1989" s="1">
        <v>44973</v>
      </c>
      <c r="E1989" s="2">
        <v>2318.46</v>
      </c>
      <c r="F1989">
        <v>235</v>
      </c>
      <c r="G1989" s="2">
        <f t="shared" si="124"/>
        <v>9.8657872340425534</v>
      </c>
      <c r="H1989" t="str">
        <f t="shared" si="125"/>
        <v>February</v>
      </c>
      <c r="I1989" t="str">
        <f t="shared" si="126"/>
        <v>Q1</v>
      </c>
      <c r="J1989" t="str">
        <f t="shared" si="127"/>
        <v>Large</v>
      </c>
    </row>
    <row r="1990" spans="1:10" x14ac:dyDescent="0.25">
      <c r="A1990" t="s">
        <v>41</v>
      </c>
      <c r="B1990" t="s">
        <v>7</v>
      </c>
      <c r="C1990" t="s">
        <v>57</v>
      </c>
      <c r="D1990" s="1">
        <v>45066</v>
      </c>
      <c r="E1990" s="2">
        <v>10740.05</v>
      </c>
      <c r="F1990">
        <v>67</v>
      </c>
      <c r="G1990" s="2">
        <f t="shared" si="124"/>
        <v>160.29925373134327</v>
      </c>
      <c r="H1990" t="str">
        <f t="shared" si="125"/>
        <v>May</v>
      </c>
      <c r="I1990" t="str">
        <f t="shared" si="126"/>
        <v>Q2</v>
      </c>
      <c r="J1990" t="str">
        <f t="shared" si="127"/>
        <v>Large</v>
      </c>
    </row>
    <row r="1991" spans="1:10" x14ac:dyDescent="0.25">
      <c r="A1991" t="s">
        <v>6</v>
      </c>
      <c r="B1991" t="s">
        <v>7</v>
      </c>
      <c r="C1991" t="s">
        <v>32</v>
      </c>
      <c r="D1991" s="1">
        <v>44960</v>
      </c>
      <c r="E1991" s="2">
        <v>7624.67</v>
      </c>
      <c r="F1991">
        <v>422</v>
      </c>
      <c r="G1991" s="2">
        <f t="shared" si="124"/>
        <v>18.067938388625592</v>
      </c>
      <c r="H1991" t="str">
        <f t="shared" si="125"/>
        <v>February</v>
      </c>
      <c r="I1991" t="str">
        <f t="shared" si="126"/>
        <v>Q1</v>
      </c>
      <c r="J1991" t="str">
        <f t="shared" si="127"/>
        <v>Large</v>
      </c>
    </row>
    <row r="1992" spans="1:10" x14ac:dyDescent="0.25">
      <c r="A1992" t="s">
        <v>34</v>
      </c>
      <c r="B1992" t="s">
        <v>10</v>
      </c>
      <c r="C1992" t="s">
        <v>45</v>
      </c>
      <c r="D1992" s="1">
        <v>45052</v>
      </c>
      <c r="E1992" s="2">
        <v>10168.32</v>
      </c>
      <c r="F1992">
        <v>159</v>
      </c>
      <c r="G1992" s="2">
        <f t="shared" si="124"/>
        <v>63.951698113207549</v>
      </c>
      <c r="H1992" t="str">
        <f t="shared" si="125"/>
        <v>May</v>
      </c>
      <c r="I1992" t="str">
        <f t="shared" si="126"/>
        <v>Q2</v>
      </c>
      <c r="J1992" t="str">
        <f t="shared" si="127"/>
        <v>Large</v>
      </c>
    </row>
    <row r="1993" spans="1:10" x14ac:dyDescent="0.25">
      <c r="A1993" t="s">
        <v>19</v>
      </c>
      <c r="B1993" t="s">
        <v>7</v>
      </c>
      <c r="C1993" t="s">
        <v>52</v>
      </c>
      <c r="D1993" s="1">
        <v>45107</v>
      </c>
      <c r="E1993" s="2">
        <v>6635.15</v>
      </c>
      <c r="F1993">
        <v>141</v>
      </c>
      <c r="G1993" s="2">
        <f t="shared" si="124"/>
        <v>47.057801418439716</v>
      </c>
      <c r="H1993" t="str">
        <f t="shared" si="125"/>
        <v>June</v>
      </c>
      <c r="I1993" t="str">
        <f t="shared" si="126"/>
        <v>Q2</v>
      </c>
      <c r="J1993" t="str">
        <f t="shared" si="127"/>
        <v>Large</v>
      </c>
    </row>
    <row r="1994" spans="1:10" x14ac:dyDescent="0.25">
      <c r="A1994" t="s">
        <v>19</v>
      </c>
      <c r="B1994" t="s">
        <v>7</v>
      </c>
      <c r="C1994" t="s">
        <v>16</v>
      </c>
      <c r="D1994" s="1">
        <v>45007</v>
      </c>
      <c r="E1994" s="2">
        <v>860.12</v>
      </c>
      <c r="F1994">
        <v>158</v>
      </c>
      <c r="G1994" s="2">
        <f t="shared" si="124"/>
        <v>5.4437974683544308</v>
      </c>
      <c r="H1994" t="str">
        <f t="shared" si="125"/>
        <v>March</v>
      </c>
      <c r="I1994" t="str">
        <f t="shared" si="126"/>
        <v>Q1</v>
      </c>
      <c r="J1994" t="str">
        <f t="shared" si="127"/>
        <v>Large</v>
      </c>
    </row>
    <row r="1995" spans="1:10" x14ac:dyDescent="0.25">
      <c r="A1995" t="s">
        <v>50</v>
      </c>
      <c r="B1995" t="s">
        <v>29</v>
      </c>
      <c r="C1995" t="s">
        <v>27</v>
      </c>
      <c r="D1995" s="1">
        <v>44974</v>
      </c>
      <c r="E1995" s="2">
        <v>8671.2099999999991</v>
      </c>
      <c r="F1995">
        <v>52</v>
      </c>
      <c r="G1995" s="2">
        <f t="shared" si="124"/>
        <v>166.75403846153844</v>
      </c>
      <c r="H1995" t="str">
        <f t="shared" si="125"/>
        <v>February</v>
      </c>
      <c r="I1995" t="str">
        <f t="shared" si="126"/>
        <v>Q1</v>
      </c>
      <c r="J1995" t="str">
        <f t="shared" si="127"/>
        <v>Large</v>
      </c>
    </row>
    <row r="1996" spans="1:10" x14ac:dyDescent="0.25">
      <c r="A1996" t="s">
        <v>6</v>
      </c>
      <c r="B1996" t="s">
        <v>7</v>
      </c>
      <c r="C1996" t="s">
        <v>11</v>
      </c>
      <c r="D1996" s="1">
        <v>45114</v>
      </c>
      <c r="E1996" s="2">
        <v>5534.11</v>
      </c>
      <c r="F1996">
        <v>63</v>
      </c>
      <c r="G1996" s="2">
        <f t="shared" si="124"/>
        <v>87.843015873015872</v>
      </c>
      <c r="H1996" t="str">
        <f t="shared" si="125"/>
        <v>July</v>
      </c>
      <c r="I1996" t="str">
        <f t="shared" si="126"/>
        <v>Q3</v>
      </c>
      <c r="J1996" t="str">
        <f t="shared" si="127"/>
        <v>Large</v>
      </c>
    </row>
    <row r="1997" spans="1:10" x14ac:dyDescent="0.25">
      <c r="A1997" t="s">
        <v>17</v>
      </c>
      <c r="B1997" t="s">
        <v>7</v>
      </c>
      <c r="C1997" t="s">
        <v>58</v>
      </c>
      <c r="D1997" s="1">
        <v>45001</v>
      </c>
      <c r="E1997" s="2">
        <v>6800.26</v>
      </c>
      <c r="F1997">
        <v>187</v>
      </c>
      <c r="G1997" s="2">
        <f t="shared" si="124"/>
        <v>36.365026737967916</v>
      </c>
      <c r="H1997" t="str">
        <f t="shared" si="125"/>
        <v>March</v>
      </c>
      <c r="I1997" t="str">
        <f t="shared" si="126"/>
        <v>Q1</v>
      </c>
      <c r="J1997" t="str">
        <f t="shared" si="127"/>
        <v>Large</v>
      </c>
    </row>
    <row r="1998" spans="1:10" x14ac:dyDescent="0.25">
      <c r="A1998" t="s">
        <v>49</v>
      </c>
      <c r="B1998" t="s">
        <v>7</v>
      </c>
      <c r="C1998" t="s">
        <v>18</v>
      </c>
      <c r="D1998" s="1">
        <v>45150</v>
      </c>
      <c r="E1998" s="2">
        <v>3927.83</v>
      </c>
      <c r="F1998">
        <v>123</v>
      </c>
      <c r="G1998" s="2">
        <f t="shared" si="124"/>
        <v>31.933577235772358</v>
      </c>
      <c r="H1998" t="str">
        <f t="shared" si="125"/>
        <v>August</v>
      </c>
      <c r="I1998" t="str">
        <f t="shared" si="126"/>
        <v>Q3</v>
      </c>
      <c r="J1998" t="str">
        <f t="shared" si="127"/>
        <v>Large</v>
      </c>
    </row>
    <row r="1999" spans="1:10" x14ac:dyDescent="0.25">
      <c r="A1999" t="s">
        <v>12</v>
      </c>
      <c r="B1999" t="s">
        <v>21</v>
      </c>
      <c r="C1999" t="s">
        <v>20</v>
      </c>
      <c r="D1999" s="1">
        <v>44947</v>
      </c>
      <c r="E1999" s="2">
        <v>5833.8</v>
      </c>
      <c r="F1999">
        <v>196</v>
      </c>
      <c r="G1999" s="2">
        <f t="shared" si="124"/>
        <v>29.764285714285716</v>
      </c>
      <c r="H1999" t="str">
        <f t="shared" si="125"/>
        <v>January</v>
      </c>
      <c r="I1999" t="str">
        <f t="shared" si="126"/>
        <v>Q1</v>
      </c>
      <c r="J1999" t="str">
        <f t="shared" si="127"/>
        <v>Large</v>
      </c>
    </row>
    <row r="2000" spans="1:10" x14ac:dyDescent="0.25">
      <c r="A2000" t="s">
        <v>17</v>
      </c>
      <c r="B2000" t="s">
        <v>15</v>
      </c>
      <c r="C2000" t="s">
        <v>22</v>
      </c>
      <c r="D2000" s="1">
        <v>45052</v>
      </c>
      <c r="E2000" s="2">
        <v>733.08</v>
      </c>
      <c r="F2000">
        <v>147</v>
      </c>
      <c r="G2000" s="2">
        <f t="shared" si="124"/>
        <v>4.9869387755102039</v>
      </c>
      <c r="H2000" t="str">
        <f t="shared" si="125"/>
        <v>May</v>
      </c>
      <c r="I2000" t="str">
        <f t="shared" si="126"/>
        <v>Q2</v>
      </c>
      <c r="J2000" t="str">
        <f t="shared" si="127"/>
        <v>Large</v>
      </c>
    </row>
    <row r="2001" spans="1:10" x14ac:dyDescent="0.25">
      <c r="A2001" t="s">
        <v>17</v>
      </c>
      <c r="B2001" t="s">
        <v>29</v>
      </c>
      <c r="C2001" t="s">
        <v>22</v>
      </c>
      <c r="D2001" s="1">
        <v>45101</v>
      </c>
      <c r="E2001" s="2">
        <v>7164.51</v>
      </c>
      <c r="F2001">
        <v>140</v>
      </c>
      <c r="G2001" s="2">
        <f t="shared" si="124"/>
        <v>51.175071428571428</v>
      </c>
      <c r="H2001" t="str">
        <f t="shared" si="125"/>
        <v>June</v>
      </c>
      <c r="I2001" t="str">
        <f t="shared" si="126"/>
        <v>Q2</v>
      </c>
      <c r="J2001" t="str">
        <f t="shared" si="127"/>
        <v>Large</v>
      </c>
    </row>
    <row r="2002" spans="1:10" x14ac:dyDescent="0.25">
      <c r="A2002" t="s">
        <v>25</v>
      </c>
      <c r="B2002" t="s">
        <v>26</v>
      </c>
      <c r="C2002" t="s">
        <v>44</v>
      </c>
      <c r="D2002" s="1">
        <v>45051</v>
      </c>
      <c r="E2002" s="2">
        <v>7900.52</v>
      </c>
      <c r="F2002">
        <v>175</v>
      </c>
      <c r="G2002" s="2">
        <f t="shared" si="124"/>
        <v>45.145828571428574</v>
      </c>
      <c r="H2002" t="str">
        <f t="shared" si="125"/>
        <v>May</v>
      </c>
      <c r="I2002" t="str">
        <f t="shared" si="126"/>
        <v>Q2</v>
      </c>
      <c r="J2002" t="str">
        <f t="shared" si="127"/>
        <v>Large</v>
      </c>
    </row>
    <row r="2003" spans="1:10" x14ac:dyDescent="0.25">
      <c r="A2003" t="s">
        <v>24</v>
      </c>
      <c r="B2003" t="s">
        <v>21</v>
      </c>
      <c r="C2003" t="s">
        <v>18</v>
      </c>
      <c r="D2003" s="1">
        <v>45010</v>
      </c>
      <c r="E2003" s="2">
        <v>3550.76</v>
      </c>
      <c r="F2003">
        <v>85</v>
      </c>
      <c r="G2003" s="2">
        <f t="shared" si="124"/>
        <v>41.773647058823535</v>
      </c>
      <c r="H2003" t="str">
        <f t="shared" si="125"/>
        <v>March</v>
      </c>
      <c r="I2003" t="str">
        <f t="shared" si="126"/>
        <v>Q1</v>
      </c>
      <c r="J2003" t="str">
        <f t="shared" si="127"/>
        <v>Large</v>
      </c>
    </row>
    <row r="2004" spans="1:10" x14ac:dyDescent="0.25">
      <c r="A2004" t="s">
        <v>38</v>
      </c>
      <c r="B2004" t="s">
        <v>15</v>
      </c>
      <c r="C2004" t="s">
        <v>57</v>
      </c>
      <c r="D2004" s="1">
        <v>44971</v>
      </c>
      <c r="E2004" s="2">
        <v>10281.51</v>
      </c>
      <c r="F2004">
        <v>136</v>
      </c>
      <c r="G2004" s="2">
        <f t="shared" si="124"/>
        <v>75.599338235294113</v>
      </c>
      <c r="H2004" t="str">
        <f t="shared" si="125"/>
        <v>February</v>
      </c>
      <c r="I2004" t="str">
        <f t="shared" si="126"/>
        <v>Q1</v>
      </c>
      <c r="J2004" t="str">
        <f t="shared" si="127"/>
        <v>Large</v>
      </c>
    </row>
    <row r="2005" spans="1:10" x14ac:dyDescent="0.25">
      <c r="A2005" t="s">
        <v>38</v>
      </c>
      <c r="B2005" t="s">
        <v>21</v>
      </c>
      <c r="C2005" t="s">
        <v>11</v>
      </c>
      <c r="D2005" s="1">
        <v>45058</v>
      </c>
      <c r="E2005" s="2">
        <v>5936.81</v>
      </c>
      <c r="F2005">
        <v>180</v>
      </c>
      <c r="G2005" s="2">
        <f t="shared" si="124"/>
        <v>32.982277777777782</v>
      </c>
      <c r="H2005" t="str">
        <f t="shared" si="125"/>
        <v>May</v>
      </c>
      <c r="I2005" t="str">
        <f t="shared" si="126"/>
        <v>Q2</v>
      </c>
      <c r="J2005" t="str">
        <f t="shared" si="127"/>
        <v>Large</v>
      </c>
    </row>
    <row r="2006" spans="1:10" x14ac:dyDescent="0.25">
      <c r="A2006" t="s">
        <v>25</v>
      </c>
      <c r="B2006" t="s">
        <v>21</v>
      </c>
      <c r="C2006" t="s">
        <v>16</v>
      </c>
      <c r="D2006" s="1">
        <v>44951</v>
      </c>
      <c r="E2006" s="2">
        <v>4552.1499999999996</v>
      </c>
      <c r="F2006">
        <v>172</v>
      </c>
      <c r="G2006" s="2">
        <f t="shared" si="124"/>
        <v>26.465988372093022</v>
      </c>
      <c r="H2006" t="str">
        <f t="shared" si="125"/>
        <v>January</v>
      </c>
      <c r="I2006" t="str">
        <f t="shared" si="126"/>
        <v>Q1</v>
      </c>
      <c r="J2006" t="str">
        <f t="shared" si="127"/>
        <v>Large</v>
      </c>
    </row>
    <row r="2007" spans="1:10" x14ac:dyDescent="0.25">
      <c r="A2007" t="s">
        <v>55</v>
      </c>
      <c r="B2007" t="s">
        <v>7</v>
      </c>
      <c r="C2007" t="s">
        <v>11</v>
      </c>
      <c r="D2007" s="1">
        <v>45105</v>
      </c>
      <c r="E2007" s="2">
        <v>15944.86</v>
      </c>
      <c r="F2007">
        <v>11</v>
      </c>
      <c r="G2007" s="2">
        <f t="shared" si="124"/>
        <v>1449.5327272727272</v>
      </c>
      <c r="H2007" t="str">
        <f t="shared" si="125"/>
        <v>June</v>
      </c>
      <c r="I2007" t="str">
        <f t="shared" si="126"/>
        <v>Q2</v>
      </c>
      <c r="J2007" t="str">
        <f t="shared" si="127"/>
        <v>Large</v>
      </c>
    </row>
    <row r="2008" spans="1:10" x14ac:dyDescent="0.25">
      <c r="A2008" t="s">
        <v>43</v>
      </c>
      <c r="B2008" t="s">
        <v>15</v>
      </c>
      <c r="C2008" t="s">
        <v>32</v>
      </c>
      <c r="D2008" s="1">
        <v>45120</v>
      </c>
      <c r="E2008" s="2">
        <v>7722.58</v>
      </c>
      <c r="F2008">
        <v>188</v>
      </c>
      <c r="G2008" s="2">
        <f t="shared" si="124"/>
        <v>41.077553191489365</v>
      </c>
      <c r="H2008" t="str">
        <f t="shared" si="125"/>
        <v>July</v>
      </c>
      <c r="I2008" t="str">
        <f t="shared" si="126"/>
        <v>Q3</v>
      </c>
      <c r="J2008" t="str">
        <f t="shared" si="127"/>
        <v>Large</v>
      </c>
    </row>
    <row r="2009" spans="1:10" x14ac:dyDescent="0.25">
      <c r="A2009" t="s">
        <v>36</v>
      </c>
      <c r="B2009" t="s">
        <v>26</v>
      </c>
      <c r="C2009" t="s">
        <v>37</v>
      </c>
      <c r="D2009" s="1">
        <v>45062</v>
      </c>
      <c r="E2009" s="2">
        <v>3105.38</v>
      </c>
      <c r="F2009">
        <v>268</v>
      </c>
      <c r="G2009" s="2">
        <f t="shared" si="124"/>
        <v>11.58723880597015</v>
      </c>
      <c r="H2009" t="str">
        <f t="shared" si="125"/>
        <v>May</v>
      </c>
      <c r="I2009" t="str">
        <f t="shared" si="126"/>
        <v>Q2</v>
      </c>
      <c r="J2009" t="str">
        <f t="shared" si="127"/>
        <v>Large</v>
      </c>
    </row>
    <row r="2010" spans="1:10" x14ac:dyDescent="0.25">
      <c r="A2010" t="s">
        <v>14</v>
      </c>
      <c r="B2010" t="s">
        <v>10</v>
      </c>
      <c r="C2010" t="s">
        <v>20</v>
      </c>
      <c r="D2010" s="1">
        <v>44999</v>
      </c>
      <c r="E2010" s="2">
        <v>6994.35</v>
      </c>
      <c r="F2010">
        <v>179</v>
      </c>
      <c r="G2010" s="2">
        <f t="shared" si="124"/>
        <v>39.074581005586595</v>
      </c>
      <c r="H2010" t="str">
        <f t="shared" si="125"/>
        <v>March</v>
      </c>
      <c r="I2010" t="str">
        <f t="shared" si="126"/>
        <v>Q1</v>
      </c>
      <c r="J2010" t="str">
        <f t="shared" si="127"/>
        <v>Large</v>
      </c>
    </row>
    <row r="2011" spans="1:10" x14ac:dyDescent="0.25">
      <c r="A2011" t="s">
        <v>19</v>
      </c>
      <c r="B2011" t="s">
        <v>26</v>
      </c>
      <c r="C2011" t="s">
        <v>20</v>
      </c>
      <c r="D2011" s="1">
        <v>45153</v>
      </c>
      <c r="E2011" s="2">
        <v>4264.49</v>
      </c>
      <c r="F2011">
        <v>252</v>
      </c>
      <c r="G2011" s="2">
        <f t="shared" si="124"/>
        <v>16.922579365079365</v>
      </c>
      <c r="H2011" t="str">
        <f t="shared" si="125"/>
        <v>August</v>
      </c>
      <c r="I2011" t="str">
        <f t="shared" si="126"/>
        <v>Q3</v>
      </c>
      <c r="J2011" t="str">
        <f t="shared" si="127"/>
        <v>Large</v>
      </c>
    </row>
    <row r="2012" spans="1:10" x14ac:dyDescent="0.25">
      <c r="A2012" t="s">
        <v>55</v>
      </c>
      <c r="B2012" t="s">
        <v>10</v>
      </c>
      <c r="C2012" t="s">
        <v>27</v>
      </c>
      <c r="D2012" s="1">
        <v>44973</v>
      </c>
      <c r="E2012" s="2">
        <v>1215.3</v>
      </c>
      <c r="F2012">
        <v>271</v>
      </c>
      <c r="G2012" s="2">
        <f t="shared" si="124"/>
        <v>4.4845018450184497</v>
      </c>
      <c r="H2012" t="str">
        <f t="shared" si="125"/>
        <v>February</v>
      </c>
      <c r="I2012" t="str">
        <f t="shared" si="126"/>
        <v>Q1</v>
      </c>
      <c r="J2012" t="str">
        <f t="shared" si="127"/>
        <v>Large</v>
      </c>
    </row>
    <row r="2013" spans="1:10" x14ac:dyDescent="0.25">
      <c r="A2013" t="s">
        <v>28</v>
      </c>
      <c r="B2013" t="s">
        <v>7</v>
      </c>
      <c r="C2013" t="s">
        <v>45</v>
      </c>
      <c r="D2013" s="1">
        <v>45092</v>
      </c>
      <c r="E2013" s="2">
        <v>8519.3700000000008</v>
      </c>
      <c r="F2013">
        <v>45</v>
      </c>
      <c r="G2013" s="2">
        <f t="shared" si="124"/>
        <v>189.31933333333336</v>
      </c>
      <c r="H2013" t="str">
        <f t="shared" si="125"/>
        <v>June</v>
      </c>
      <c r="I2013" t="str">
        <f t="shared" si="126"/>
        <v>Q2</v>
      </c>
      <c r="J2013" t="str">
        <f t="shared" si="127"/>
        <v>Large</v>
      </c>
    </row>
    <row r="2014" spans="1:10" x14ac:dyDescent="0.25">
      <c r="A2014" t="s">
        <v>25</v>
      </c>
      <c r="B2014" t="s">
        <v>15</v>
      </c>
      <c r="C2014" t="s">
        <v>51</v>
      </c>
      <c r="D2014" s="1">
        <v>45073</v>
      </c>
      <c r="E2014" s="2">
        <v>9810.9500000000007</v>
      </c>
      <c r="F2014">
        <v>105</v>
      </c>
      <c r="G2014" s="2">
        <f t="shared" si="124"/>
        <v>93.437619047619052</v>
      </c>
      <c r="H2014" t="str">
        <f t="shared" si="125"/>
        <v>May</v>
      </c>
      <c r="I2014" t="str">
        <f t="shared" si="126"/>
        <v>Q2</v>
      </c>
      <c r="J2014" t="str">
        <f t="shared" si="127"/>
        <v>Large</v>
      </c>
    </row>
    <row r="2015" spans="1:10" x14ac:dyDescent="0.25">
      <c r="A2015" t="s">
        <v>46</v>
      </c>
      <c r="B2015" t="s">
        <v>26</v>
      </c>
      <c r="C2015" t="s">
        <v>32</v>
      </c>
      <c r="D2015" s="1">
        <v>45091</v>
      </c>
      <c r="E2015" s="2">
        <v>1065.6300000000001</v>
      </c>
      <c r="F2015">
        <v>107</v>
      </c>
      <c r="G2015" s="2">
        <f t="shared" si="124"/>
        <v>9.9591588785046739</v>
      </c>
      <c r="H2015" t="str">
        <f t="shared" si="125"/>
        <v>June</v>
      </c>
      <c r="I2015" t="str">
        <f t="shared" si="126"/>
        <v>Q2</v>
      </c>
      <c r="J2015" t="str">
        <f t="shared" si="127"/>
        <v>Large</v>
      </c>
    </row>
    <row r="2016" spans="1:10" x14ac:dyDescent="0.25">
      <c r="A2016" t="s">
        <v>46</v>
      </c>
      <c r="B2016" t="s">
        <v>10</v>
      </c>
      <c r="C2016" t="s">
        <v>30</v>
      </c>
      <c r="D2016" s="1">
        <v>44982</v>
      </c>
      <c r="E2016" s="2">
        <v>3894.68</v>
      </c>
      <c r="F2016">
        <v>80</v>
      </c>
      <c r="G2016" s="2">
        <f t="shared" si="124"/>
        <v>48.683499999999995</v>
      </c>
      <c r="H2016" t="str">
        <f t="shared" si="125"/>
        <v>February</v>
      </c>
      <c r="I2016" t="str">
        <f t="shared" si="126"/>
        <v>Q1</v>
      </c>
      <c r="J2016" t="str">
        <f t="shared" si="127"/>
        <v>Large</v>
      </c>
    </row>
    <row r="2017" spans="1:10" x14ac:dyDescent="0.25">
      <c r="A2017" t="s">
        <v>46</v>
      </c>
      <c r="B2017" t="s">
        <v>10</v>
      </c>
      <c r="C2017" t="s">
        <v>20</v>
      </c>
      <c r="D2017" s="1">
        <v>45142</v>
      </c>
      <c r="E2017" s="2">
        <v>12194.27</v>
      </c>
      <c r="F2017">
        <v>252</v>
      </c>
      <c r="G2017" s="2">
        <f t="shared" si="124"/>
        <v>48.389960317460321</v>
      </c>
      <c r="H2017" t="str">
        <f t="shared" si="125"/>
        <v>August</v>
      </c>
      <c r="I2017" t="str">
        <f t="shared" si="126"/>
        <v>Q3</v>
      </c>
      <c r="J2017" t="str">
        <f t="shared" si="127"/>
        <v>Large</v>
      </c>
    </row>
    <row r="2018" spans="1:10" x14ac:dyDescent="0.25">
      <c r="A2018" t="s">
        <v>49</v>
      </c>
      <c r="B2018" t="s">
        <v>10</v>
      </c>
      <c r="C2018" t="s">
        <v>18</v>
      </c>
      <c r="D2018" s="1">
        <v>45105</v>
      </c>
      <c r="E2018" s="2">
        <v>2455.13</v>
      </c>
      <c r="F2018">
        <v>236</v>
      </c>
      <c r="G2018" s="2">
        <f t="shared" si="124"/>
        <v>10.403093220338983</v>
      </c>
      <c r="H2018" t="str">
        <f t="shared" si="125"/>
        <v>June</v>
      </c>
      <c r="I2018" t="str">
        <f t="shared" si="126"/>
        <v>Q2</v>
      </c>
      <c r="J2018" t="str">
        <f t="shared" si="127"/>
        <v>Large</v>
      </c>
    </row>
    <row r="2019" spans="1:10" x14ac:dyDescent="0.25">
      <c r="A2019" t="s">
        <v>19</v>
      </c>
      <c r="B2019" t="s">
        <v>29</v>
      </c>
      <c r="C2019" t="s">
        <v>39</v>
      </c>
      <c r="D2019" s="1">
        <v>45021</v>
      </c>
      <c r="E2019" s="2">
        <v>14887.76</v>
      </c>
      <c r="F2019">
        <v>12</v>
      </c>
      <c r="G2019" s="2">
        <f t="shared" si="124"/>
        <v>1240.6466666666668</v>
      </c>
      <c r="H2019" t="str">
        <f t="shared" si="125"/>
        <v>April</v>
      </c>
      <c r="I2019" t="str">
        <f t="shared" si="126"/>
        <v>Q2</v>
      </c>
      <c r="J2019" t="str">
        <f t="shared" si="127"/>
        <v>Large</v>
      </c>
    </row>
    <row r="2020" spans="1:10" x14ac:dyDescent="0.25">
      <c r="A2020" t="s">
        <v>53</v>
      </c>
      <c r="B2020" t="s">
        <v>29</v>
      </c>
      <c r="C2020" t="s">
        <v>13</v>
      </c>
      <c r="D2020" s="1">
        <v>45112</v>
      </c>
      <c r="E2020" s="2">
        <v>15276.46</v>
      </c>
      <c r="F2020">
        <v>121</v>
      </c>
      <c r="G2020" s="2">
        <f t="shared" si="124"/>
        <v>126.25173553719007</v>
      </c>
      <c r="H2020" t="str">
        <f t="shared" si="125"/>
        <v>July</v>
      </c>
      <c r="I2020" t="str">
        <f t="shared" si="126"/>
        <v>Q3</v>
      </c>
      <c r="J2020" t="str">
        <f t="shared" si="127"/>
        <v>Large</v>
      </c>
    </row>
    <row r="2021" spans="1:10" x14ac:dyDescent="0.25">
      <c r="A2021" t="s">
        <v>41</v>
      </c>
      <c r="B2021" t="s">
        <v>21</v>
      </c>
      <c r="C2021" t="s">
        <v>30</v>
      </c>
      <c r="D2021" s="1">
        <v>44946</v>
      </c>
      <c r="E2021" s="2">
        <v>13520.48</v>
      </c>
      <c r="F2021">
        <v>47</v>
      </c>
      <c r="G2021" s="2">
        <f t="shared" si="124"/>
        <v>287.66978723404253</v>
      </c>
      <c r="H2021" t="str">
        <f t="shared" si="125"/>
        <v>January</v>
      </c>
      <c r="I2021" t="str">
        <f t="shared" si="126"/>
        <v>Q1</v>
      </c>
      <c r="J2021" t="str">
        <f t="shared" si="127"/>
        <v>Large</v>
      </c>
    </row>
    <row r="2022" spans="1:10" x14ac:dyDescent="0.25">
      <c r="A2022" t="s">
        <v>55</v>
      </c>
      <c r="B2022" t="s">
        <v>21</v>
      </c>
      <c r="C2022" t="s">
        <v>32</v>
      </c>
      <c r="D2022" s="1">
        <v>44973</v>
      </c>
      <c r="E2022" s="2">
        <v>9195.5300000000007</v>
      </c>
      <c r="F2022">
        <v>127</v>
      </c>
      <c r="G2022" s="2">
        <f t="shared" si="124"/>
        <v>72.405748031496074</v>
      </c>
      <c r="H2022" t="str">
        <f t="shared" si="125"/>
        <v>February</v>
      </c>
      <c r="I2022" t="str">
        <f t="shared" si="126"/>
        <v>Q1</v>
      </c>
      <c r="J2022" t="str">
        <f t="shared" si="127"/>
        <v>Large</v>
      </c>
    </row>
    <row r="2023" spans="1:10" x14ac:dyDescent="0.25">
      <c r="A2023" t="s">
        <v>38</v>
      </c>
      <c r="B2023" t="s">
        <v>7</v>
      </c>
      <c r="C2023" t="s">
        <v>32</v>
      </c>
      <c r="D2023" s="1">
        <v>45119</v>
      </c>
      <c r="E2023" s="2">
        <v>460.98</v>
      </c>
      <c r="F2023">
        <v>182</v>
      </c>
      <c r="G2023" s="2">
        <f t="shared" si="124"/>
        <v>2.5328571428571429</v>
      </c>
      <c r="H2023" t="str">
        <f t="shared" si="125"/>
        <v>July</v>
      </c>
      <c r="I2023" t="str">
        <f t="shared" si="126"/>
        <v>Q3</v>
      </c>
      <c r="J2023" t="str">
        <f t="shared" si="127"/>
        <v>Small</v>
      </c>
    </row>
    <row r="2024" spans="1:10" x14ac:dyDescent="0.25">
      <c r="A2024" t="s">
        <v>49</v>
      </c>
      <c r="B2024" t="s">
        <v>10</v>
      </c>
      <c r="C2024" t="s">
        <v>51</v>
      </c>
      <c r="D2024" s="1">
        <v>45093</v>
      </c>
      <c r="E2024" s="2">
        <v>8216.56</v>
      </c>
      <c r="F2024">
        <v>257</v>
      </c>
      <c r="G2024" s="2">
        <f t="shared" si="124"/>
        <v>31.971050583657586</v>
      </c>
      <c r="H2024" t="str">
        <f t="shared" si="125"/>
        <v>June</v>
      </c>
      <c r="I2024" t="str">
        <f t="shared" si="126"/>
        <v>Q2</v>
      </c>
      <c r="J2024" t="str">
        <f t="shared" si="127"/>
        <v>Large</v>
      </c>
    </row>
    <row r="2025" spans="1:10" x14ac:dyDescent="0.25">
      <c r="A2025" t="s">
        <v>54</v>
      </c>
      <c r="B2025" t="s">
        <v>15</v>
      </c>
      <c r="C2025" t="s">
        <v>52</v>
      </c>
      <c r="D2025" s="1">
        <v>45029</v>
      </c>
      <c r="E2025" s="2">
        <v>1863.54</v>
      </c>
      <c r="F2025">
        <v>277</v>
      </c>
      <c r="G2025" s="2">
        <f t="shared" si="124"/>
        <v>6.727581227436823</v>
      </c>
      <c r="H2025" t="str">
        <f t="shared" si="125"/>
        <v>April</v>
      </c>
      <c r="I2025" t="str">
        <f t="shared" si="126"/>
        <v>Q2</v>
      </c>
      <c r="J2025" t="str">
        <f t="shared" si="127"/>
        <v>Large</v>
      </c>
    </row>
    <row r="2026" spans="1:10" x14ac:dyDescent="0.25">
      <c r="A2026" t="s">
        <v>41</v>
      </c>
      <c r="B2026" t="s">
        <v>7</v>
      </c>
      <c r="C2026" t="s">
        <v>22</v>
      </c>
      <c r="D2026" s="1">
        <v>44978</v>
      </c>
      <c r="E2026" s="2">
        <v>3283</v>
      </c>
      <c r="F2026">
        <v>72</v>
      </c>
      <c r="G2026" s="2">
        <f t="shared" si="124"/>
        <v>45.597222222222221</v>
      </c>
      <c r="H2026" t="str">
        <f t="shared" si="125"/>
        <v>February</v>
      </c>
      <c r="I2026" t="str">
        <f t="shared" si="126"/>
        <v>Q1</v>
      </c>
      <c r="J2026" t="str">
        <f t="shared" si="127"/>
        <v>Large</v>
      </c>
    </row>
    <row r="2027" spans="1:10" x14ac:dyDescent="0.25">
      <c r="A2027" t="s">
        <v>36</v>
      </c>
      <c r="B2027" t="s">
        <v>29</v>
      </c>
      <c r="C2027" t="s">
        <v>52</v>
      </c>
      <c r="D2027" s="1">
        <v>45057</v>
      </c>
      <c r="E2027" s="2">
        <v>5967.18</v>
      </c>
      <c r="F2027">
        <v>247</v>
      </c>
      <c r="G2027" s="2">
        <f t="shared" si="124"/>
        <v>24.158623481781376</v>
      </c>
      <c r="H2027" t="str">
        <f t="shared" si="125"/>
        <v>May</v>
      </c>
      <c r="I2027" t="str">
        <f t="shared" si="126"/>
        <v>Q2</v>
      </c>
      <c r="J2027" t="str">
        <f t="shared" si="127"/>
        <v>Large</v>
      </c>
    </row>
    <row r="2028" spans="1:10" x14ac:dyDescent="0.25">
      <c r="A2028" t="s">
        <v>55</v>
      </c>
      <c r="B2028" t="s">
        <v>10</v>
      </c>
      <c r="C2028" t="s">
        <v>22</v>
      </c>
      <c r="D2028" s="1">
        <v>45031</v>
      </c>
      <c r="E2028" s="2">
        <v>12083.5</v>
      </c>
      <c r="F2028">
        <v>334</v>
      </c>
      <c r="G2028" s="2">
        <f t="shared" si="124"/>
        <v>36.178143712574851</v>
      </c>
      <c r="H2028" t="str">
        <f t="shared" si="125"/>
        <v>April</v>
      </c>
      <c r="I2028" t="str">
        <f t="shared" si="126"/>
        <v>Q2</v>
      </c>
      <c r="J2028" t="str">
        <f t="shared" si="127"/>
        <v>Large</v>
      </c>
    </row>
    <row r="2029" spans="1:10" x14ac:dyDescent="0.25">
      <c r="A2029" t="s">
        <v>17</v>
      </c>
      <c r="B2029" t="s">
        <v>29</v>
      </c>
      <c r="C2029" t="s">
        <v>13</v>
      </c>
      <c r="D2029" s="1">
        <v>45084</v>
      </c>
      <c r="E2029" s="2">
        <v>12397.06</v>
      </c>
      <c r="F2029">
        <v>179</v>
      </c>
      <c r="G2029" s="2">
        <f t="shared" si="124"/>
        <v>69.257318435754186</v>
      </c>
      <c r="H2029" t="str">
        <f t="shared" si="125"/>
        <v>June</v>
      </c>
      <c r="I2029" t="str">
        <f t="shared" si="126"/>
        <v>Q2</v>
      </c>
      <c r="J2029" t="str">
        <f t="shared" si="127"/>
        <v>Large</v>
      </c>
    </row>
    <row r="2030" spans="1:10" x14ac:dyDescent="0.25">
      <c r="A2030" t="s">
        <v>17</v>
      </c>
      <c r="B2030" t="s">
        <v>7</v>
      </c>
      <c r="C2030" t="s">
        <v>44</v>
      </c>
      <c r="D2030" s="1">
        <v>45104</v>
      </c>
      <c r="E2030" s="2">
        <v>1746.01</v>
      </c>
      <c r="F2030">
        <v>280</v>
      </c>
      <c r="G2030" s="2">
        <f t="shared" si="124"/>
        <v>6.2357500000000003</v>
      </c>
      <c r="H2030" t="str">
        <f t="shared" si="125"/>
        <v>June</v>
      </c>
      <c r="I2030" t="str">
        <f t="shared" si="126"/>
        <v>Q2</v>
      </c>
      <c r="J2030" t="str">
        <f t="shared" si="127"/>
        <v>Large</v>
      </c>
    </row>
    <row r="2031" spans="1:10" x14ac:dyDescent="0.25">
      <c r="A2031" t="s">
        <v>25</v>
      </c>
      <c r="B2031" t="s">
        <v>10</v>
      </c>
      <c r="C2031" t="s">
        <v>20</v>
      </c>
      <c r="D2031" s="1">
        <v>45136</v>
      </c>
      <c r="E2031" s="2">
        <v>9021.65</v>
      </c>
      <c r="F2031">
        <v>104</v>
      </c>
      <c r="G2031" s="2">
        <f t="shared" si="124"/>
        <v>86.746634615384608</v>
      </c>
      <c r="H2031" t="str">
        <f t="shared" si="125"/>
        <v>July</v>
      </c>
      <c r="I2031" t="str">
        <f t="shared" si="126"/>
        <v>Q3</v>
      </c>
      <c r="J2031" t="str">
        <f t="shared" si="127"/>
        <v>Large</v>
      </c>
    </row>
    <row r="2032" spans="1:10" x14ac:dyDescent="0.25">
      <c r="A2032" t="s">
        <v>46</v>
      </c>
      <c r="B2032" t="s">
        <v>29</v>
      </c>
      <c r="C2032" t="s">
        <v>16</v>
      </c>
      <c r="D2032" s="1">
        <v>45079</v>
      </c>
      <c r="E2032" s="2">
        <v>5263.45</v>
      </c>
      <c r="F2032">
        <v>165</v>
      </c>
      <c r="G2032" s="2">
        <f t="shared" si="124"/>
        <v>31.899696969696969</v>
      </c>
      <c r="H2032" t="str">
        <f t="shared" si="125"/>
        <v>June</v>
      </c>
      <c r="I2032" t="str">
        <f t="shared" si="126"/>
        <v>Q2</v>
      </c>
      <c r="J2032" t="str">
        <f t="shared" si="127"/>
        <v>Large</v>
      </c>
    </row>
    <row r="2033" spans="1:10" x14ac:dyDescent="0.25">
      <c r="A2033" t="s">
        <v>24</v>
      </c>
      <c r="B2033" t="s">
        <v>10</v>
      </c>
      <c r="C2033" t="s">
        <v>8</v>
      </c>
      <c r="D2033" s="1">
        <v>44952</v>
      </c>
      <c r="E2033" s="2">
        <v>15473</v>
      </c>
      <c r="F2033">
        <v>91</v>
      </c>
      <c r="G2033" s="2">
        <f t="shared" si="124"/>
        <v>170.03296703296704</v>
      </c>
      <c r="H2033" t="str">
        <f t="shared" si="125"/>
        <v>January</v>
      </c>
      <c r="I2033" t="str">
        <f t="shared" si="126"/>
        <v>Q1</v>
      </c>
      <c r="J2033" t="str">
        <f t="shared" si="127"/>
        <v>Large</v>
      </c>
    </row>
    <row r="2034" spans="1:10" x14ac:dyDescent="0.25">
      <c r="A2034" t="s">
        <v>24</v>
      </c>
      <c r="B2034" t="s">
        <v>29</v>
      </c>
      <c r="C2034" t="s">
        <v>18</v>
      </c>
      <c r="D2034" s="1">
        <v>44987</v>
      </c>
      <c r="E2034" s="2">
        <v>5566.57</v>
      </c>
      <c r="F2034">
        <v>140</v>
      </c>
      <c r="G2034" s="2">
        <f t="shared" si="124"/>
        <v>39.761214285714281</v>
      </c>
      <c r="H2034" t="str">
        <f t="shared" si="125"/>
        <v>March</v>
      </c>
      <c r="I2034" t="str">
        <f t="shared" si="126"/>
        <v>Q1</v>
      </c>
      <c r="J2034" t="str">
        <f t="shared" si="127"/>
        <v>Large</v>
      </c>
    </row>
    <row r="2035" spans="1:10" x14ac:dyDescent="0.25">
      <c r="A2035" t="s">
        <v>9</v>
      </c>
      <c r="B2035" t="s">
        <v>15</v>
      </c>
      <c r="C2035" t="s">
        <v>58</v>
      </c>
      <c r="D2035" s="1">
        <v>44936</v>
      </c>
      <c r="E2035" s="2">
        <v>8111.43</v>
      </c>
      <c r="F2035">
        <v>111</v>
      </c>
      <c r="G2035" s="2">
        <f t="shared" si="124"/>
        <v>73.075945945945946</v>
      </c>
      <c r="H2035" t="str">
        <f t="shared" si="125"/>
        <v>January</v>
      </c>
      <c r="I2035" t="str">
        <f t="shared" si="126"/>
        <v>Q1</v>
      </c>
      <c r="J2035" t="str">
        <f t="shared" si="127"/>
        <v>Large</v>
      </c>
    </row>
    <row r="2036" spans="1:10" x14ac:dyDescent="0.25">
      <c r="A2036" t="s">
        <v>34</v>
      </c>
      <c r="B2036" t="s">
        <v>26</v>
      </c>
      <c r="C2036" t="s">
        <v>58</v>
      </c>
      <c r="D2036" s="1">
        <v>45104</v>
      </c>
      <c r="E2036" s="2">
        <v>2341.8000000000002</v>
      </c>
      <c r="F2036">
        <v>117</v>
      </c>
      <c r="G2036" s="2">
        <f t="shared" si="124"/>
        <v>20.015384615384615</v>
      </c>
      <c r="H2036" t="str">
        <f t="shared" si="125"/>
        <v>June</v>
      </c>
      <c r="I2036" t="str">
        <f t="shared" si="126"/>
        <v>Q2</v>
      </c>
      <c r="J2036" t="str">
        <f t="shared" si="127"/>
        <v>Large</v>
      </c>
    </row>
    <row r="2037" spans="1:10" x14ac:dyDescent="0.25">
      <c r="A2037" t="s">
        <v>25</v>
      </c>
      <c r="B2037" t="s">
        <v>29</v>
      </c>
      <c r="C2037" t="s">
        <v>27</v>
      </c>
      <c r="D2037" s="1">
        <v>45107</v>
      </c>
      <c r="E2037" s="2">
        <v>8650.42</v>
      </c>
      <c r="F2037">
        <v>19</v>
      </c>
      <c r="G2037" s="2">
        <f t="shared" si="124"/>
        <v>455.28526315789475</v>
      </c>
      <c r="H2037" t="str">
        <f t="shared" si="125"/>
        <v>June</v>
      </c>
      <c r="I2037" t="str">
        <f t="shared" si="126"/>
        <v>Q2</v>
      </c>
      <c r="J2037" t="str">
        <f t="shared" si="127"/>
        <v>Large</v>
      </c>
    </row>
    <row r="2038" spans="1:10" x14ac:dyDescent="0.25">
      <c r="A2038" t="s">
        <v>36</v>
      </c>
      <c r="B2038" t="s">
        <v>15</v>
      </c>
      <c r="C2038" t="s">
        <v>11</v>
      </c>
      <c r="D2038" s="1">
        <v>45115</v>
      </c>
      <c r="E2038" s="2">
        <v>4444.72</v>
      </c>
      <c r="F2038">
        <v>77</v>
      </c>
      <c r="G2038" s="2">
        <f t="shared" si="124"/>
        <v>57.723636363636366</v>
      </c>
      <c r="H2038" t="str">
        <f t="shared" si="125"/>
        <v>July</v>
      </c>
      <c r="I2038" t="str">
        <f t="shared" si="126"/>
        <v>Q3</v>
      </c>
      <c r="J2038" t="str">
        <f t="shared" si="127"/>
        <v>Large</v>
      </c>
    </row>
    <row r="2039" spans="1:10" x14ac:dyDescent="0.25">
      <c r="A2039" t="s">
        <v>17</v>
      </c>
      <c r="B2039" t="s">
        <v>10</v>
      </c>
      <c r="C2039" t="s">
        <v>39</v>
      </c>
      <c r="D2039" s="1">
        <v>45085</v>
      </c>
      <c r="E2039" s="2">
        <v>12531.37</v>
      </c>
      <c r="F2039">
        <v>86</v>
      </c>
      <c r="G2039" s="2">
        <f t="shared" si="124"/>
        <v>145.7136046511628</v>
      </c>
      <c r="H2039" t="str">
        <f t="shared" si="125"/>
        <v>June</v>
      </c>
      <c r="I2039" t="str">
        <f t="shared" si="126"/>
        <v>Q2</v>
      </c>
      <c r="J2039" t="str">
        <f t="shared" si="127"/>
        <v>Large</v>
      </c>
    </row>
    <row r="2040" spans="1:10" x14ac:dyDescent="0.25">
      <c r="A2040" t="s">
        <v>14</v>
      </c>
      <c r="B2040" t="s">
        <v>7</v>
      </c>
      <c r="C2040" t="s">
        <v>45</v>
      </c>
      <c r="D2040" s="1">
        <v>45156</v>
      </c>
      <c r="E2040" s="2">
        <v>3558.89</v>
      </c>
      <c r="F2040">
        <v>231</v>
      </c>
      <c r="G2040" s="2">
        <f t="shared" si="124"/>
        <v>15.406450216450216</v>
      </c>
      <c r="H2040" t="str">
        <f t="shared" si="125"/>
        <v>August</v>
      </c>
      <c r="I2040" t="str">
        <f t="shared" si="126"/>
        <v>Q3</v>
      </c>
      <c r="J2040" t="str">
        <f t="shared" si="127"/>
        <v>Large</v>
      </c>
    </row>
    <row r="2041" spans="1:10" x14ac:dyDescent="0.25">
      <c r="A2041" t="s">
        <v>41</v>
      </c>
      <c r="B2041" t="s">
        <v>15</v>
      </c>
      <c r="C2041" t="s">
        <v>20</v>
      </c>
      <c r="D2041" s="1">
        <v>45024</v>
      </c>
      <c r="E2041" s="2">
        <v>7889.9</v>
      </c>
      <c r="F2041">
        <v>300</v>
      </c>
      <c r="G2041" s="2">
        <f t="shared" si="124"/>
        <v>26.299666666666667</v>
      </c>
      <c r="H2041" t="str">
        <f t="shared" si="125"/>
        <v>April</v>
      </c>
      <c r="I2041" t="str">
        <f t="shared" si="126"/>
        <v>Q2</v>
      </c>
      <c r="J2041" t="str">
        <f t="shared" si="127"/>
        <v>Large</v>
      </c>
    </row>
    <row r="2042" spans="1:10" x14ac:dyDescent="0.25">
      <c r="A2042" t="s">
        <v>46</v>
      </c>
      <c r="B2042" t="s">
        <v>29</v>
      </c>
      <c r="C2042" t="s">
        <v>42</v>
      </c>
      <c r="D2042" s="1">
        <v>45146</v>
      </c>
      <c r="E2042" s="2">
        <v>3589.18</v>
      </c>
      <c r="F2042">
        <v>176</v>
      </c>
      <c r="G2042" s="2">
        <f t="shared" si="124"/>
        <v>20.39306818181818</v>
      </c>
      <c r="H2042" t="str">
        <f t="shared" si="125"/>
        <v>August</v>
      </c>
      <c r="I2042" t="str">
        <f t="shared" si="126"/>
        <v>Q3</v>
      </c>
      <c r="J2042" t="str">
        <f t="shared" si="127"/>
        <v>Large</v>
      </c>
    </row>
    <row r="2043" spans="1:10" x14ac:dyDescent="0.25">
      <c r="A2043" t="s">
        <v>46</v>
      </c>
      <c r="B2043" t="s">
        <v>7</v>
      </c>
      <c r="C2043" t="s">
        <v>37</v>
      </c>
      <c r="D2043" s="1">
        <v>45164</v>
      </c>
      <c r="E2043" s="2">
        <v>305.39</v>
      </c>
      <c r="F2043">
        <v>62</v>
      </c>
      <c r="G2043" s="2">
        <f t="shared" si="124"/>
        <v>4.9256451612903227</v>
      </c>
      <c r="H2043" t="str">
        <f t="shared" si="125"/>
        <v>August</v>
      </c>
      <c r="I2043" t="str">
        <f t="shared" si="126"/>
        <v>Q3</v>
      </c>
      <c r="J2043" t="str">
        <f t="shared" si="127"/>
        <v>Small</v>
      </c>
    </row>
    <row r="2044" spans="1:10" x14ac:dyDescent="0.25">
      <c r="A2044" t="s">
        <v>17</v>
      </c>
      <c r="B2044" t="s">
        <v>29</v>
      </c>
      <c r="C2044" t="s">
        <v>42</v>
      </c>
      <c r="D2044" s="1">
        <v>44940</v>
      </c>
      <c r="E2044" s="2">
        <v>1896.64</v>
      </c>
      <c r="F2044">
        <v>161</v>
      </c>
      <c r="G2044" s="2">
        <f t="shared" si="124"/>
        <v>11.780372670807454</v>
      </c>
      <c r="H2044" t="str">
        <f t="shared" si="125"/>
        <v>January</v>
      </c>
      <c r="I2044" t="str">
        <f t="shared" si="126"/>
        <v>Q1</v>
      </c>
      <c r="J2044" t="str">
        <f t="shared" si="127"/>
        <v>Large</v>
      </c>
    </row>
    <row r="2045" spans="1:10" x14ac:dyDescent="0.25">
      <c r="A2045" t="s">
        <v>43</v>
      </c>
      <c r="B2045" t="s">
        <v>26</v>
      </c>
      <c r="C2045" t="s">
        <v>56</v>
      </c>
      <c r="D2045" s="1">
        <v>45149</v>
      </c>
      <c r="E2045" s="2">
        <v>18494.72</v>
      </c>
      <c r="F2045">
        <v>298</v>
      </c>
      <c r="G2045" s="2">
        <f t="shared" si="124"/>
        <v>62.062818791946313</v>
      </c>
      <c r="H2045" t="str">
        <f t="shared" si="125"/>
        <v>August</v>
      </c>
      <c r="I2045" t="str">
        <f t="shared" si="126"/>
        <v>Q3</v>
      </c>
      <c r="J2045" t="str">
        <f t="shared" si="127"/>
        <v>Large</v>
      </c>
    </row>
    <row r="2046" spans="1:10" x14ac:dyDescent="0.25">
      <c r="A2046" t="s">
        <v>53</v>
      </c>
      <c r="B2046" t="s">
        <v>26</v>
      </c>
      <c r="C2046" t="s">
        <v>47</v>
      </c>
      <c r="D2046" s="1">
        <v>45077</v>
      </c>
      <c r="E2046" s="2">
        <v>11103.47</v>
      </c>
      <c r="F2046">
        <v>24</v>
      </c>
      <c r="G2046" s="2">
        <f t="shared" si="124"/>
        <v>462.64458333333329</v>
      </c>
      <c r="H2046" t="str">
        <f t="shared" si="125"/>
        <v>May</v>
      </c>
      <c r="I2046" t="str">
        <f t="shared" si="126"/>
        <v>Q2</v>
      </c>
      <c r="J2046" t="str">
        <f t="shared" si="127"/>
        <v>Large</v>
      </c>
    </row>
    <row r="2047" spans="1:10" x14ac:dyDescent="0.25">
      <c r="A2047" t="s">
        <v>9</v>
      </c>
      <c r="B2047" t="s">
        <v>21</v>
      </c>
      <c r="C2047" t="s">
        <v>22</v>
      </c>
      <c r="D2047" s="1">
        <v>45118</v>
      </c>
      <c r="E2047" s="2">
        <v>4162.28</v>
      </c>
      <c r="F2047">
        <v>11</v>
      </c>
      <c r="G2047" s="2">
        <f t="shared" si="124"/>
        <v>378.3890909090909</v>
      </c>
      <c r="H2047" t="str">
        <f t="shared" si="125"/>
        <v>July</v>
      </c>
      <c r="I2047" t="str">
        <f t="shared" si="126"/>
        <v>Q3</v>
      </c>
      <c r="J2047" t="str">
        <f t="shared" si="127"/>
        <v>Large</v>
      </c>
    </row>
    <row r="2048" spans="1:10" x14ac:dyDescent="0.25">
      <c r="A2048" t="s">
        <v>31</v>
      </c>
      <c r="B2048" t="s">
        <v>29</v>
      </c>
      <c r="C2048" t="s">
        <v>57</v>
      </c>
      <c r="D2048" s="1">
        <v>44987</v>
      </c>
      <c r="E2048" s="2">
        <v>3357.3</v>
      </c>
      <c r="F2048">
        <v>308</v>
      </c>
      <c r="G2048" s="2">
        <f t="shared" si="124"/>
        <v>10.900324675324676</v>
      </c>
      <c r="H2048" t="str">
        <f t="shared" si="125"/>
        <v>March</v>
      </c>
      <c r="I2048" t="str">
        <f t="shared" si="126"/>
        <v>Q1</v>
      </c>
      <c r="J2048" t="str">
        <f t="shared" si="127"/>
        <v>Large</v>
      </c>
    </row>
    <row r="2049" spans="1:10" x14ac:dyDescent="0.25">
      <c r="A2049" t="s">
        <v>53</v>
      </c>
      <c r="B2049" t="s">
        <v>15</v>
      </c>
      <c r="C2049" t="s">
        <v>51</v>
      </c>
      <c r="D2049" s="1">
        <v>45120</v>
      </c>
      <c r="E2049" s="2">
        <v>7033.52</v>
      </c>
      <c r="F2049">
        <v>94</v>
      </c>
      <c r="G2049" s="2">
        <f t="shared" si="124"/>
        <v>74.824680851063832</v>
      </c>
      <c r="H2049" t="str">
        <f t="shared" si="125"/>
        <v>July</v>
      </c>
      <c r="I2049" t="str">
        <f t="shared" si="126"/>
        <v>Q3</v>
      </c>
      <c r="J2049" t="str">
        <f t="shared" si="127"/>
        <v>Large</v>
      </c>
    </row>
    <row r="2050" spans="1:10" x14ac:dyDescent="0.25">
      <c r="A2050" t="s">
        <v>24</v>
      </c>
      <c r="B2050" t="s">
        <v>7</v>
      </c>
      <c r="C2050" t="s">
        <v>39</v>
      </c>
      <c r="D2050" s="1">
        <v>45141</v>
      </c>
      <c r="E2050" s="2">
        <v>9896.7999999999993</v>
      </c>
      <c r="F2050">
        <v>143</v>
      </c>
      <c r="G2050" s="2">
        <f t="shared" si="124"/>
        <v>69.208391608391608</v>
      </c>
      <c r="H2050" t="str">
        <f t="shared" si="125"/>
        <v>August</v>
      </c>
      <c r="I2050" t="str">
        <f t="shared" si="126"/>
        <v>Q3</v>
      </c>
      <c r="J2050" t="str">
        <f t="shared" si="127"/>
        <v>Large</v>
      </c>
    </row>
    <row r="2051" spans="1:10" x14ac:dyDescent="0.25">
      <c r="A2051" t="s">
        <v>38</v>
      </c>
      <c r="B2051" t="s">
        <v>7</v>
      </c>
      <c r="C2051" t="s">
        <v>13</v>
      </c>
      <c r="D2051" s="1">
        <v>44986</v>
      </c>
      <c r="E2051" s="2">
        <v>15653.44</v>
      </c>
      <c r="F2051">
        <v>175</v>
      </c>
      <c r="G2051" s="2">
        <f t="shared" ref="G2051:G2114" si="128">E2051/F2051</f>
        <v>89.448228571428572</v>
      </c>
      <c r="H2051" t="str">
        <f t="shared" ref="H2051:H2114" si="129">TEXT(D2051, "mmmm")</f>
        <v>March</v>
      </c>
      <c r="I2051" t="str">
        <f t="shared" ref="I2051:I2114" si="130">"Q" &amp; ROUNDUP(MONTH(D2051)/3,0)</f>
        <v>Q1</v>
      </c>
      <c r="J2051" t="str">
        <f t="shared" ref="J2051:J2114" si="131">IF(E2051 &gt; 500, "Large", "Small")</f>
        <v>Large</v>
      </c>
    </row>
    <row r="2052" spans="1:10" x14ac:dyDescent="0.25">
      <c r="A2052" t="s">
        <v>49</v>
      </c>
      <c r="B2052" t="s">
        <v>21</v>
      </c>
      <c r="C2052" t="s">
        <v>44</v>
      </c>
      <c r="D2052" s="1">
        <v>45029</v>
      </c>
      <c r="E2052" s="2">
        <v>7899.31</v>
      </c>
      <c r="F2052">
        <v>148</v>
      </c>
      <c r="G2052" s="2">
        <f t="shared" si="128"/>
        <v>53.373716216216216</v>
      </c>
      <c r="H2052" t="str">
        <f t="shared" si="129"/>
        <v>April</v>
      </c>
      <c r="I2052" t="str">
        <f t="shared" si="130"/>
        <v>Q2</v>
      </c>
      <c r="J2052" t="str">
        <f t="shared" si="131"/>
        <v>Large</v>
      </c>
    </row>
    <row r="2053" spans="1:10" x14ac:dyDescent="0.25">
      <c r="A2053" t="s">
        <v>34</v>
      </c>
      <c r="B2053" t="s">
        <v>29</v>
      </c>
      <c r="C2053" t="s">
        <v>42</v>
      </c>
      <c r="D2053" s="1">
        <v>44971</v>
      </c>
      <c r="E2053" s="2">
        <v>10644.74</v>
      </c>
      <c r="F2053">
        <v>172</v>
      </c>
      <c r="G2053" s="2">
        <f t="shared" si="128"/>
        <v>61.888023255813955</v>
      </c>
      <c r="H2053" t="str">
        <f t="shared" si="129"/>
        <v>February</v>
      </c>
      <c r="I2053" t="str">
        <f t="shared" si="130"/>
        <v>Q1</v>
      </c>
      <c r="J2053" t="str">
        <f t="shared" si="131"/>
        <v>Large</v>
      </c>
    </row>
    <row r="2054" spans="1:10" x14ac:dyDescent="0.25">
      <c r="A2054" t="s">
        <v>28</v>
      </c>
      <c r="B2054" t="s">
        <v>10</v>
      </c>
      <c r="C2054" t="s">
        <v>44</v>
      </c>
      <c r="D2054" s="1">
        <v>45133</v>
      </c>
      <c r="E2054" s="2">
        <v>872.83</v>
      </c>
      <c r="F2054">
        <v>224</v>
      </c>
      <c r="G2054" s="2">
        <f t="shared" si="128"/>
        <v>3.8965625000000004</v>
      </c>
      <c r="H2054" t="str">
        <f t="shared" si="129"/>
        <v>July</v>
      </c>
      <c r="I2054" t="str">
        <f t="shared" si="130"/>
        <v>Q3</v>
      </c>
      <c r="J2054" t="str">
        <f t="shared" si="131"/>
        <v>Large</v>
      </c>
    </row>
    <row r="2055" spans="1:10" x14ac:dyDescent="0.25">
      <c r="A2055" t="s">
        <v>23</v>
      </c>
      <c r="B2055" t="s">
        <v>7</v>
      </c>
      <c r="C2055" t="s">
        <v>32</v>
      </c>
      <c r="D2055" s="1">
        <v>44953</v>
      </c>
      <c r="E2055" s="2">
        <v>6337.94</v>
      </c>
      <c r="F2055">
        <v>128</v>
      </c>
      <c r="G2055" s="2">
        <f t="shared" si="128"/>
        <v>49.515156249999997</v>
      </c>
      <c r="H2055" t="str">
        <f t="shared" si="129"/>
        <v>January</v>
      </c>
      <c r="I2055" t="str">
        <f t="shared" si="130"/>
        <v>Q1</v>
      </c>
      <c r="J2055" t="str">
        <f t="shared" si="131"/>
        <v>Large</v>
      </c>
    </row>
    <row r="2056" spans="1:10" x14ac:dyDescent="0.25">
      <c r="A2056" t="s">
        <v>6</v>
      </c>
      <c r="B2056" t="s">
        <v>10</v>
      </c>
      <c r="C2056" t="s">
        <v>13</v>
      </c>
      <c r="D2056" s="1">
        <v>45030</v>
      </c>
      <c r="E2056" s="2">
        <v>31.15</v>
      </c>
      <c r="F2056">
        <v>451</v>
      </c>
      <c r="G2056" s="2">
        <f t="shared" si="128"/>
        <v>6.9068736141906867E-2</v>
      </c>
      <c r="H2056" t="str">
        <f t="shared" si="129"/>
        <v>April</v>
      </c>
      <c r="I2056" t="str">
        <f t="shared" si="130"/>
        <v>Q2</v>
      </c>
      <c r="J2056" t="str">
        <f t="shared" si="131"/>
        <v>Small</v>
      </c>
    </row>
    <row r="2057" spans="1:10" x14ac:dyDescent="0.25">
      <c r="A2057" t="s">
        <v>17</v>
      </c>
      <c r="B2057" t="s">
        <v>26</v>
      </c>
      <c r="C2057" t="s">
        <v>47</v>
      </c>
      <c r="D2057" s="1">
        <v>45065</v>
      </c>
      <c r="E2057" s="2">
        <v>7107.55</v>
      </c>
      <c r="F2057">
        <v>142</v>
      </c>
      <c r="G2057" s="2">
        <f t="shared" si="128"/>
        <v>50.05316901408451</v>
      </c>
      <c r="H2057" t="str">
        <f t="shared" si="129"/>
        <v>May</v>
      </c>
      <c r="I2057" t="str">
        <f t="shared" si="130"/>
        <v>Q2</v>
      </c>
      <c r="J2057" t="str">
        <f t="shared" si="131"/>
        <v>Large</v>
      </c>
    </row>
    <row r="2058" spans="1:10" x14ac:dyDescent="0.25">
      <c r="A2058" t="s">
        <v>40</v>
      </c>
      <c r="B2058" t="s">
        <v>10</v>
      </c>
      <c r="C2058" t="s">
        <v>30</v>
      </c>
      <c r="D2058" s="1">
        <v>44966</v>
      </c>
      <c r="E2058" s="2">
        <v>5465.85</v>
      </c>
      <c r="F2058">
        <v>56</v>
      </c>
      <c r="G2058" s="2">
        <f t="shared" si="128"/>
        <v>97.604464285714286</v>
      </c>
      <c r="H2058" t="str">
        <f t="shared" si="129"/>
        <v>February</v>
      </c>
      <c r="I2058" t="str">
        <f t="shared" si="130"/>
        <v>Q1</v>
      </c>
      <c r="J2058" t="str">
        <f t="shared" si="131"/>
        <v>Large</v>
      </c>
    </row>
    <row r="2059" spans="1:10" x14ac:dyDescent="0.25">
      <c r="A2059" t="s">
        <v>23</v>
      </c>
      <c r="B2059" t="s">
        <v>7</v>
      </c>
      <c r="C2059" t="s">
        <v>39</v>
      </c>
      <c r="D2059" s="1">
        <v>45071</v>
      </c>
      <c r="E2059" s="2">
        <v>2462.14</v>
      </c>
      <c r="F2059">
        <v>60</v>
      </c>
      <c r="G2059" s="2">
        <f t="shared" si="128"/>
        <v>41.035666666666664</v>
      </c>
      <c r="H2059" t="str">
        <f t="shared" si="129"/>
        <v>May</v>
      </c>
      <c r="I2059" t="str">
        <f t="shared" si="130"/>
        <v>Q2</v>
      </c>
      <c r="J2059" t="str">
        <f t="shared" si="131"/>
        <v>Large</v>
      </c>
    </row>
    <row r="2060" spans="1:10" x14ac:dyDescent="0.25">
      <c r="A2060" t="s">
        <v>17</v>
      </c>
      <c r="B2060" t="s">
        <v>15</v>
      </c>
      <c r="C2060" t="s">
        <v>45</v>
      </c>
      <c r="D2060" s="1">
        <v>44952</v>
      </c>
      <c r="E2060" s="2">
        <v>4194.4399999999996</v>
      </c>
      <c r="F2060">
        <v>80</v>
      </c>
      <c r="G2060" s="2">
        <f t="shared" si="128"/>
        <v>52.430499999999995</v>
      </c>
      <c r="H2060" t="str">
        <f t="shared" si="129"/>
        <v>January</v>
      </c>
      <c r="I2060" t="str">
        <f t="shared" si="130"/>
        <v>Q1</v>
      </c>
      <c r="J2060" t="str">
        <f t="shared" si="131"/>
        <v>Large</v>
      </c>
    </row>
    <row r="2061" spans="1:10" x14ac:dyDescent="0.25">
      <c r="A2061" t="s">
        <v>34</v>
      </c>
      <c r="B2061" t="s">
        <v>10</v>
      </c>
      <c r="C2061" t="s">
        <v>44</v>
      </c>
      <c r="D2061" s="1">
        <v>45111</v>
      </c>
      <c r="E2061" s="2">
        <v>1994.44</v>
      </c>
      <c r="F2061">
        <v>299</v>
      </c>
      <c r="G2061" s="2">
        <f t="shared" si="128"/>
        <v>6.6703678929765884</v>
      </c>
      <c r="H2061" t="str">
        <f t="shared" si="129"/>
        <v>July</v>
      </c>
      <c r="I2061" t="str">
        <f t="shared" si="130"/>
        <v>Q3</v>
      </c>
      <c r="J2061" t="str">
        <f t="shared" si="131"/>
        <v>Large</v>
      </c>
    </row>
    <row r="2062" spans="1:10" x14ac:dyDescent="0.25">
      <c r="A2062" t="s">
        <v>55</v>
      </c>
      <c r="B2062" t="s">
        <v>10</v>
      </c>
      <c r="C2062" t="s">
        <v>47</v>
      </c>
      <c r="D2062" s="1">
        <v>45029</v>
      </c>
      <c r="E2062" s="2">
        <v>12124.05</v>
      </c>
      <c r="F2062">
        <v>80</v>
      </c>
      <c r="G2062" s="2">
        <f t="shared" si="128"/>
        <v>151.550625</v>
      </c>
      <c r="H2062" t="str">
        <f t="shared" si="129"/>
        <v>April</v>
      </c>
      <c r="I2062" t="str">
        <f t="shared" si="130"/>
        <v>Q2</v>
      </c>
      <c r="J2062" t="str">
        <f t="shared" si="131"/>
        <v>Large</v>
      </c>
    </row>
    <row r="2063" spans="1:10" x14ac:dyDescent="0.25">
      <c r="A2063" t="s">
        <v>12</v>
      </c>
      <c r="B2063" t="s">
        <v>15</v>
      </c>
      <c r="C2063" t="s">
        <v>16</v>
      </c>
      <c r="D2063" s="1">
        <v>44951</v>
      </c>
      <c r="E2063" s="2">
        <v>5884.09</v>
      </c>
      <c r="F2063">
        <v>117</v>
      </c>
      <c r="G2063" s="2">
        <f t="shared" si="128"/>
        <v>50.291367521367519</v>
      </c>
      <c r="H2063" t="str">
        <f t="shared" si="129"/>
        <v>January</v>
      </c>
      <c r="I2063" t="str">
        <f t="shared" si="130"/>
        <v>Q1</v>
      </c>
      <c r="J2063" t="str">
        <f t="shared" si="131"/>
        <v>Large</v>
      </c>
    </row>
    <row r="2064" spans="1:10" x14ac:dyDescent="0.25">
      <c r="A2064" t="s">
        <v>50</v>
      </c>
      <c r="B2064" t="s">
        <v>26</v>
      </c>
      <c r="C2064" t="s">
        <v>11</v>
      </c>
      <c r="D2064" s="1">
        <v>45041</v>
      </c>
      <c r="E2064" s="2">
        <v>2639.16</v>
      </c>
      <c r="F2064">
        <v>80</v>
      </c>
      <c r="G2064" s="2">
        <f t="shared" si="128"/>
        <v>32.9895</v>
      </c>
      <c r="H2064" t="str">
        <f t="shared" si="129"/>
        <v>April</v>
      </c>
      <c r="I2064" t="str">
        <f t="shared" si="130"/>
        <v>Q2</v>
      </c>
      <c r="J2064" t="str">
        <f t="shared" si="131"/>
        <v>Large</v>
      </c>
    </row>
    <row r="2065" spans="1:10" x14ac:dyDescent="0.25">
      <c r="A2065" t="s">
        <v>50</v>
      </c>
      <c r="B2065" t="s">
        <v>26</v>
      </c>
      <c r="C2065" t="s">
        <v>30</v>
      </c>
      <c r="D2065" s="1">
        <v>45087</v>
      </c>
      <c r="E2065" s="2">
        <v>5031.3999999999996</v>
      </c>
      <c r="F2065">
        <v>401</v>
      </c>
      <c r="G2065" s="2">
        <f t="shared" si="128"/>
        <v>12.547132169576059</v>
      </c>
      <c r="H2065" t="str">
        <f t="shared" si="129"/>
        <v>June</v>
      </c>
      <c r="I2065" t="str">
        <f t="shared" si="130"/>
        <v>Q2</v>
      </c>
      <c r="J2065" t="str">
        <f t="shared" si="131"/>
        <v>Large</v>
      </c>
    </row>
    <row r="2066" spans="1:10" x14ac:dyDescent="0.25">
      <c r="A2066" t="s">
        <v>53</v>
      </c>
      <c r="B2066" t="s">
        <v>21</v>
      </c>
      <c r="C2066" t="s">
        <v>44</v>
      </c>
      <c r="D2066" s="1">
        <v>45160</v>
      </c>
      <c r="E2066" s="2">
        <v>11510.71</v>
      </c>
      <c r="F2066">
        <v>56</v>
      </c>
      <c r="G2066" s="2">
        <f t="shared" si="128"/>
        <v>205.54839285714283</v>
      </c>
      <c r="H2066" t="str">
        <f t="shared" si="129"/>
        <v>August</v>
      </c>
      <c r="I2066" t="str">
        <f t="shared" si="130"/>
        <v>Q3</v>
      </c>
      <c r="J2066" t="str">
        <f t="shared" si="131"/>
        <v>Large</v>
      </c>
    </row>
    <row r="2067" spans="1:10" x14ac:dyDescent="0.25">
      <c r="A2067" t="s">
        <v>9</v>
      </c>
      <c r="B2067" t="s">
        <v>10</v>
      </c>
      <c r="C2067" t="s">
        <v>20</v>
      </c>
      <c r="D2067" s="1">
        <v>45104</v>
      </c>
      <c r="E2067" s="2">
        <v>15021.98</v>
      </c>
      <c r="F2067">
        <v>211</v>
      </c>
      <c r="G2067" s="2">
        <f t="shared" si="128"/>
        <v>71.194218009478675</v>
      </c>
      <c r="H2067" t="str">
        <f t="shared" si="129"/>
        <v>June</v>
      </c>
      <c r="I2067" t="str">
        <f t="shared" si="130"/>
        <v>Q2</v>
      </c>
      <c r="J2067" t="str">
        <f t="shared" si="131"/>
        <v>Large</v>
      </c>
    </row>
    <row r="2068" spans="1:10" x14ac:dyDescent="0.25">
      <c r="A2068" t="s">
        <v>40</v>
      </c>
      <c r="B2068" t="s">
        <v>10</v>
      </c>
      <c r="C2068" t="s">
        <v>27</v>
      </c>
      <c r="D2068" s="1">
        <v>45107</v>
      </c>
      <c r="E2068" s="2">
        <v>4517.1899999999996</v>
      </c>
      <c r="F2068">
        <v>40</v>
      </c>
      <c r="G2068" s="2">
        <f t="shared" si="128"/>
        <v>112.92974999999998</v>
      </c>
      <c r="H2068" t="str">
        <f t="shared" si="129"/>
        <v>June</v>
      </c>
      <c r="I2068" t="str">
        <f t="shared" si="130"/>
        <v>Q2</v>
      </c>
      <c r="J2068" t="str">
        <f t="shared" si="131"/>
        <v>Large</v>
      </c>
    </row>
    <row r="2069" spans="1:10" x14ac:dyDescent="0.25">
      <c r="A2069" t="s">
        <v>6</v>
      </c>
      <c r="B2069" t="s">
        <v>10</v>
      </c>
      <c r="C2069" t="s">
        <v>47</v>
      </c>
      <c r="D2069" s="1">
        <v>45168</v>
      </c>
      <c r="E2069" s="2">
        <v>10778.53</v>
      </c>
      <c r="F2069">
        <v>99</v>
      </c>
      <c r="G2069" s="2">
        <f t="shared" si="128"/>
        <v>108.87404040404041</v>
      </c>
      <c r="H2069" t="str">
        <f t="shared" si="129"/>
        <v>August</v>
      </c>
      <c r="I2069" t="str">
        <f t="shared" si="130"/>
        <v>Q3</v>
      </c>
      <c r="J2069" t="str">
        <f t="shared" si="131"/>
        <v>Large</v>
      </c>
    </row>
    <row r="2070" spans="1:10" x14ac:dyDescent="0.25">
      <c r="A2070" t="s">
        <v>31</v>
      </c>
      <c r="B2070" t="s">
        <v>15</v>
      </c>
      <c r="C2070" t="s">
        <v>51</v>
      </c>
      <c r="D2070" s="1">
        <v>45161</v>
      </c>
      <c r="E2070" s="2">
        <v>1145.72</v>
      </c>
      <c r="F2070">
        <v>60</v>
      </c>
      <c r="G2070" s="2">
        <f t="shared" si="128"/>
        <v>19.095333333333333</v>
      </c>
      <c r="H2070" t="str">
        <f t="shared" si="129"/>
        <v>August</v>
      </c>
      <c r="I2070" t="str">
        <f t="shared" si="130"/>
        <v>Q3</v>
      </c>
      <c r="J2070" t="str">
        <f t="shared" si="131"/>
        <v>Large</v>
      </c>
    </row>
    <row r="2071" spans="1:10" x14ac:dyDescent="0.25">
      <c r="A2071" t="s">
        <v>50</v>
      </c>
      <c r="B2071" t="s">
        <v>21</v>
      </c>
      <c r="C2071" t="s">
        <v>18</v>
      </c>
      <c r="D2071" s="1">
        <v>45164</v>
      </c>
      <c r="E2071" s="2">
        <v>2518.5</v>
      </c>
      <c r="F2071">
        <v>45</v>
      </c>
      <c r="G2071" s="2">
        <f t="shared" si="128"/>
        <v>55.966666666666669</v>
      </c>
      <c r="H2071" t="str">
        <f t="shared" si="129"/>
        <v>August</v>
      </c>
      <c r="I2071" t="str">
        <f t="shared" si="130"/>
        <v>Q3</v>
      </c>
      <c r="J2071" t="str">
        <f t="shared" si="131"/>
        <v>Large</v>
      </c>
    </row>
    <row r="2072" spans="1:10" x14ac:dyDescent="0.25">
      <c r="A2072" t="s">
        <v>12</v>
      </c>
      <c r="B2072" t="s">
        <v>15</v>
      </c>
      <c r="C2072" t="s">
        <v>27</v>
      </c>
      <c r="D2072" s="1">
        <v>44994</v>
      </c>
      <c r="E2072" s="2">
        <v>596.63</v>
      </c>
      <c r="F2072">
        <v>158</v>
      </c>
      <c r="G2072" s="2">
        <f t="shared" si="128"/>
        <v>3.7761392405063292</v>
      </c>
      <c r="H2072" t="str">
        <f t="shared" si="129"/>
        <v>March</v>
      </c>
      <c r="I2072" t="str">
        <f t="shared" si="130"/>
        <v>Q1</v>
      </c>
      <c r="J2072" t="str">
        <f t="shared" si="131"/>
        <v>Large</v>
      </c>
    </row>
    <row r="2073" spans="1:10" x14ac:dyDescent="0.25">
      <c r="A2073" t="s">
        <v>49</v>
      </c>
      <c r="B2073" t="s">
        <v>7</v>
      </c>
      <c r="C2073" t="s">
        <v>32</v>
      </c>
      <c r="D2073" s="1">
        <v>45036</v>
      </c>
      <c r="E2073" s="2">
        <v>1858.71</v>
      </c>
      <c r="F2073">
        <v>24</v>
      </c>
      <c r="G2073" s="2">
        <f t="shared" si="128"/>
        <v>77.446250000000006</v>
      </c>
      <c r="H2073" t="str">
        <f t="shared" si="129"/>
        <v>April</v>
      </c>
      <c r="I2073" t="str">
        <f t="shared" si="130"/>
        <v>Q2</v>
      </c>
      <c r="J2073" t="str">
        <f t="shared" si="131"/>
        <v>Large</v>
      </c>
    </row>
    <row r="2074" spans="1:10" x14ac:dyDescent="0.25">
      <c r="A2074" t="s">
        <v>28</v>
      </c>
      <c r="B2074" t="s">
        <v>29</v>
      </c>
      <c r="C2074" t="s">
        <v>57</v>
      </c>
      <c r="D2074" s="1">
        <v>45087</v>
      </c>
      <c r="E2074" s="2">
        <v>5194.28</v>
      </c>
      <c r="F2074">
        <v>547</v>
      </c>
      <c r="G2074" s="2">
        <f t="shared" si="128"/>
        <v>9.495941499085923</v>
      </c>
      <c r="H2074" t="str">
        <f t="shared" si="129"/>
        <v>June</v>
      </c>
      <c r="I2074" t="str">
        <f t="shared" si="130"/>
        <v>Q2</v>
      </c>
      <c r="J2074" t="str">
        <f t="shared" si="131"/>
        <v>Large</v>
      </c>
    </row>
    <row r="2075" spans="1:10" x14ac:dyDescent="0.25">
      <c r="A2075" t="s">
        <v>40</v>
      </c>
      <c r="B2075" t="s">
        <v>15</v>
      </c>
      <c r="C2075" t="s">
        <v>35</v>
      </c>
      <c r="D2075" s="1">
        <v>44965</v>
      </c>
      <c r="E2075" s="2">
        <v>960.69</v>
      </c>
      <c r="F2075">
        <v>155</v>
      </c>
      <c r="G2075" s="2">
        <f t="shared" si="128"/>
        <v>6.1980000000000004</v>
      </c>
      <c r="H2075" t="str">
        <f t="shared" si="129"/>
        <v>February</v>
      </c>
      <c r="I2075" t="str">
        <f t="shared" si="130"/>
        <v>Q1</v>
      </c>
      <c r="J2075" t="str">
        <f t="shared" si="131"/>
        <v>Large</v>
      </c>
    </row>
    <row r="2076" spans="1:10" x14ac:dyDescent="0.25">
      <c r="A2076" t="s">
        <v>23</v>
      </c>
      <c r="B2076" t="s">
        <v>15</v>
      </c>
      <c r="C2076" t="s">
        <v>44</v>
      </c>
      <c r="D2076" s="1">
        <v>45163</v>
      </c>
      <c r="E2076" s="2">
        <v>5347.12</v>
      </c>
      <c r="F2076">
        <v>23</v>
      </c>
      <c r="G2076" s="2">
        <f t="shared" si="128"/>
        <v>232.48347826086956</v>
      </c>
      <c r="H2076" t="str">
        <f t="shared" si="129"/>
        <v>August</v>
      </c>
      <c r="I2076" t="str">
        <f t="shared" si="130"/>
        <v>Q3</v>
      </c>
      <c r="J2076" t="str">
        <f t="shared" si="131"/>
        <v>Large</v>
      </c>
    </row>
    <row r="2077" spans="1:10" x14ac:dyDescent="0.25">
      <c r="A2077" t="s">
        <v>54</v>
      </c>
      <c r="B2077" t="s">
        <v>10</v>
      </c>
      <c r="C2077" t="s">
        <v>13</v>
      </c>
      <c r="D2077" s="1">
        <v>44973</v>
      </c>
      <c r="E2077" s="2">
        <v>9805.11</v>
      </c>
      <c r="F2077">
        <v>76</v>
      </c>
      <c r="G2077" s="2">
        <f t="shared" si="128"/>
        <v>129.0146052631579</v>
      </c>
      <c r="H2077" t="str">
        <f t="shared" si="129"/>
        <v>February</v>
      </c>
      <c r="I2077" t="str">
        <f t="shared" si="130"/>
        <v>Q1</v>
      </c>
      <c r="J2077" t="str">
        <f t="shared" si="131"/>
        <v>Large</v>
      </c>
    </row>
    <row r="2078" spans="1:10" x14ac:dyDescent="0.25">
      <c r="A2078" t="s">
        <v>43</v>
      </c>
      <c r="B2078" t="s">
        <v>7</v>
      </c>
      <c r="C2078" t="s">
        <v>18</v>
      </c>
      <c r="D2078" s="1">
        <v>45076</v>
      </c>
      <c r="E2078" s="2">
        <v>13205.42</v>
      </c>
      <c r="F2078">
        <v>26</v>
      </c>
      <c r="G2078" s="2">
        <f t="shared" si="128"/>
        <v>507.90076923076924</v>
      </c>
      <c r="H2078" t="str">
        <f t="shared" si="129"/>
        <v>May</v>
      </c>
      <c r="I2078" t="str">
        <f t="shared" si="130"/>
        <v>Q2</v>
      </c>
      <c r="J2078" t="str">
        <f t="shared" si="131"/>
        <v>Large</v>
      </c>
    </row>
    <row r="2079" spans="1:10" x14ac:dyDescent="0.25">
      <c r="A2079" t="s">
        <v>12</v>
      </c>
      <c r="B2079" t="s">
        <v>21</v>
      </c>
      <c r="C2079" t="s">
        <v>22</v>
      </c>
      <c r="D2079" s="1">
        <v>45106</v>
      </c>
      <c r="E2079" s="2">
        <v>5929.2</v>
      </c>
      <c r="F2079">
        <v>65</v>
      </c>
      <c r="G2079" s="2">
        <f t="shared" si="128"/>
        <v>91.21846153846154</v>
      </c>
      <c r="H2079" t="str">
        <f t="shared" si="129"/>
        <v>June</v>
      </c>
      <c r="I2079" t="str">
        <f t="shared" si="130"/>
        <v>Q2</v>
      </c>
      <c r="J2079" t="str">
        <f t="shared" si="131"/>
        <v>Large</v>
      </c>
    </row>
    <row r="2080" spans="1:10" x14ac:dyDescent="0.25">
      <c r="A2080" t="s">
        <v>12</v>
      </c>
      <c r="B2080" t="s">
        <v>26</v>
      </c>
      <c r="C2080" t="s">
        <v>37</v>
      </c>
      <c r="D2080" s="1">
        <v>45093</v>
      </c>
      <c r="E2080" s="2">
        <v>516.91999999999996</v>
      </c>
      <c r="F2080">
        <v>141</v>
      </c>
      <c r="G2080" s="2">
        <f t="shared" si="128"/>
        <v>3.6660992907801417</v>
      </c>
      <c r="H2080" t="str">
        <f t="shared" si="129"/>
        <v>June</v>
      </c>
      <c r="I2080" t="str">
        <f t="shared" si="130"/>
        <v>Q2</v>
      </c>
      <c r="J2080" t="str">
        <f t="shared" si="131"/>
        <v>Large</v>
      </c>
    </row>
    <row r="2081" spans="1:10" x14ac:dyDescent="0.25">
      <c r="A2081" t="s">
        <v>23</v>
      </c>
      <c r="B2081" t="s">
        <v>7</v>
      </c>
      <c r="C2081" t="s">
        <v>57</v>
      </c>
      <c r="D2081" s="1">
        <v>44989</v>
      </c>
      <c r="E2081" s="2">
        <v>2882.76</v>
      </c>
      <c r="F2081">
        <v>145</v>
      </c>
      <c r="G2081" s="2">
        <f t="shared" si="128"/>
        <v>19.881103448275862</v>
      </c>
      <c r="H2081" t="str">
        <f t="shared" si="129"/>
        <v>March</v>
      </c>
      <c r="I2081" t="str">
        <f t="shared" si="130"/>
        <v>Q1</v>
      </c>
      <c r="J2081" t="str">
        <f t="shared" si="131"/>
        <v>Large</v>
      </c>
    </row>
    <row r="2082" spans="1:10" x14ac:dyDescent="0.25">
      <c r="A2082" t="s">
        <v>38</v>
      </c>
      <c r="B2082" t="s">
        <v>21</v>
      </c>
      <c r="C2082" t="s">
        <v>13</v>
      </c>
      <c r="D2082" s="1">
        <v>45000</v>
      </c>
      <c r="E2082" s="2">
        <v>1637.72</v>
      </c>
      <c r="F2082">
        <v>454</v>
      </c>
      <c r="G2082" s="2">
        <f t="shared" si="128"/>
        <v>3.6073127753303966</v>
      </c>
      <c r="H2082" t="str">
        <f t="shared" si="129"/>
        <v>March</v>
      </c>
      <c r="I2082" t="str">
        <f t="shared" si="130"/>
        <v>Q1</v>
      </c>
      <c r="J2082" t="str">
        <f t="shared" si="131"/>
        <v>Large</v>
      </c>
    </row>
    <row r="2083" spans="1:10" x14ac:dyDescent="0.25">
      <c r="A2083" t="s">
        <v>38</v>
      </c>
      <c r="B2083" t="s">
        <v>21</v>
      </c>
      <c r="C2083" t="s">
        <v>22</v>
      </c>
      <c r="D2083" s="1">
        <v>44953</v>
      </c>
      <c r="E2083" s="2">
        <v>10791.46</v>
      </c>
      <c r="F2083">
        <v>88</v>
      </c>
      <c r="G2083" s="2">
        <f t="shared" si="128"/>
        <v>122.63022727272727</v>
      </c>
      <c r="H2083" t="str">
        <f t="shared" si="129"/>
        <v>January</v>
      </c>
      <c r="I2083" t="str">
        <f t="shared" si="130"/>
        <v>Q1</v>
      </c>
      <c r="J2083" t="str">
        <f t="shared" si="131"/>
        <v>Large</v>
      </c>
    </row>
    <row r="2084" spans="1:10" x14ac:dyDescent="0.25">
      <c r="A2084" t="s">
        <v>34</v>
      </c>
      <c r="B2084" t="s">
        <v>29</v>
      </c>
      <c r="C2084" t="s">
        <v>32</v>
      </c>
      <c r="D2084" s="1">
        <v>45112</v>
      </c>
      <c r="E2084" s="2">
        <v>1093.46</v>
      </c>
      <c r="F2084">
        <v>115</v>
      </c>
      <c r="G2084" s="2">
        <f t="shared" si="128"/>
        <v>9.5083478260869576</v>
      </c>
      <c r="H2084" t="str">
        <f t="shared" si="129"/>
        <v>July</v>
      </c>
      <c r="I2084" t="str">
        <f t="shared" si="130"/>
        <v>Q3</v>
      </c>
      <c r="J2084" t="str">
        <f t="shared" si="131"/>
        <v>Large</v>
      </c>
    </row>
    <row r="2085" spans="1:10" x14ac:dyDescent="0.25">
      <c r="A2085" t="s">
        <v>25</v>
      </c>
      <c r="B2085" t="s">
        <v>26</v>
      </c>
      <c r="C2085" t="s">
        <v>57</v>
      </c>
      <c r="D2085" s="1">
        <v>45014</v>
      </c>
      <c r="E2085" s="2">
        <v>3407.61</v>
      </c>
      <c r="F2085">
        <v>316</v>
      </c>
      <c r="G2085" s="2">
        <f t="shared" si="128"/>
        <v>10.783575949367089</v>
      </c>
      <c r="H2085" t="str">
        <f t="shared" si="129"/>
        <v>March</v>
      </c>
      <c r="I2085" t="str">
        <f t="shared" si="130"/>
        <v>Q1</v>
      </c>
      <c r="J2085" t="str">
        <f t="shared" si="131"/>
        <v>Large</v>
      </c>
    </row>
    <row r="2086" spans="1:10" x14ac:dyDescent="0.25">
      <c r="A2086" t="s">
        <v>28</v>
      </c>
      <c r="B2086" t="s">
        <v>29</v>
      </c>
      <c r="C2086" t="s">
        <v>47</v>
      </c>
      <c r="D2086" s="1">
        <v>45058</v>
      </c>
      <c r="E2086" s="2">
        <v>4753.93</v>
      </c>
      <c r="F2086">
        <v>37</v>
      </c>
      <c r="G2086" s="2">
        <f t="shared" si="128"/>
        <v>128.4845945945946</v>
      </c>
      <c r="H2086" t="str">
        <f t="shared" si="129"/>
        <v>May</v>
      </c>
      <c r="I2086" t="str">
        <f t="shared" si="130"/>
        <v>Q2</v>
      </c>
      <c r="J2086" t="str">
        <f t="shared" si="131"/>
        <v>Large</v>
      </c>
    </row>
    <row r="2087" spans="1:10" x14ac:dyDescent="0.25">
      <c r="A2087" t="s">
        <v>17</v>
      </c>
      <c r="B2087" t="s">
        <v>26</v>
      </c>
      <c r="C2087" t="s">
        <v>32</v>
      </c>
      <c r="D2087" s="1">
        <v>44996</v>
      </c>
      <c r="E2087" s="2">
        <v>8280.6200000000008</v>
      </c>
      <c r="F2087">
        <v>47</v>
      </c>
      <c r="G2087" s="2">
        <f t="shared" si="128"/>
        <v>176.18340425531918</v>
      </c>
      <c r="H2087" t="str">
        <f t="shared" si="129"/>
        <v>March</v>
      </c>
      <c r="I2087" t="str">
        <f t="shared" si="130"/>
        <v>Q1</v>
      </c>
      <c r="J2087" t="str">
        <f t="shared" si="131"/>
        <v>Large</v>
      </c>
    </row>
    <row r="2088" spans="1:10" x14ac:dyDescent="0.25">
      <c r="A2088" t="s">
        <v>23</v>
      </c>
      <c r="B2088" t="s">
        <v>21</v>
      </c>
      <c r="C2088" t="s">
        <v>30</v>
      </c>
      <c r="D2088" s="1">
        <v>45118</v>
      </c>
      <c r="E2088" s="2">
        <v>4981.78</v>
      </c>
      <c r="F2088">
        <v>299</v>
      </c>
      <c r="G2088" s="2">
        <f t="shared" si="128"/>
        <v>16.661471571906354</v>
      </c>
      <c r="H2088" t="str">
        <f t="shared" si="129"/>
        <v>July</v>
      </c>
      <c r="I2088" t="str">
        <f t="shared" si="130"/>
        <v>Q3</v>
      </c>
      <c r="J2088" t="str">
        <f t="shared" si="131"/>
        <v>Large</v>
      </c>
    </row>
    <row r="2089" spans="1:10" x14ac:dyDescent="0.25">
      <c r="A2089" t="s">
        <v>19</v>
      </c>
      <c r="B2089" t="s">
        <v>21</v>
      </c>
      <c r="C2089" t="s">
        <v>52</v>
      </c>
      <c r="D2089" s="1">
        <v>45139</v>
      </c>
      <c r="E2089" s="2">
        <v>13998.33</v>
      </c>
      <c r="F2089">
        <v>60</v>
      </c>
      <c r="G2089" s="2">
        <f t="shared" si="128"/>
        <v>233.30549999999999</v>
      </c>
      <c r="H2089" t="str">
        <f t="shared" si="129"/>
        <v>August</v>
      </c>
      <c r="I2089" t="str">
        <f t="shared" si="130"/>
        <v>Q3</v>
      </c>
      <c r="J2089" t="str">
        <f t="shared" si="131"/>
        <v>Large</v>
      </c>
    </row>
    <row r="2090" spans="1:10" x14ac:dyDescent="0.25">
      <c r="A2090" t="s">
        <v>19</v>
      </c>
      <c r="B2090" t="s">
        <v>7</v>
      </c>
      <c r="C2090" t="s">
        <v>39</v>
      </c>
      <c r="D2090" s="1">
        <v>44973</v>
      </c>
      <c r="E2090" s="2">
        <v>13105.65</v>
      </c>
      <c r="F2090">
        <v>199</v>
      </c>
      <c r="G2090" s="2">
        <f t="shared" si="128"/>
        <v>65.857537688442207</v>
      </c>
      <c r="H2090" t="str">
        <f t="shared" si="129"/>
        <v>February</v>
      </c>
      <c r="I2090" t="str">
        <f t="shared" si="130"/>
        <v>Q1</v>
      </c>
      <c r="J2090" t="str">
        <f t="shared" si="131"/>
        <v>Large</v>
      </c>
    </row>
    <row r="2091" spans="1:10" x14ac:dyDescent="0.25">
      <c r="A2091" t="s">
        <v>38</v>
      </c>
      <c r="B2091" t="s">
        <v>26</v>
      </c>
      <c r="C2091" t="s">
        <v>20</v>
      </c>
      <c r="D2091" s="1">
        <v>45029</v>
      </c>
      <c r="E2091" s="2">
        <v>15728.81</v>
      </c>
      <c r="F2091">
        <v>256</v>
      </c>
      <c r="G2091" s="2">
        <f t="shared" si="128"/>
        <v>61.440664062499998</v>
      </c>
      <c r="H2091" t="str">
        <f t="shared" si="129"/>
        <v>April</v>
      </c>
      <c r="I2091" t="str">
        <f t="shared" si="130"/>
        <v>Q2</v>
      </c>
      <c r="J2091" t="str">
        <f t="shared" si="131"/>
        <v>Large</v>
      </c>
    </row>
    <row r="2092" spans="1:10" x14ac:dyDescent="0.25">
      <c r="A2092" t="s">
        <v>17</v>
      </c>
      <c r="B2092" t="s">
        <v>10</v>
      </c>
      <c r="C2092" t="s">
        <v>52</v>
      </c>
      <c r="D2092" s="1">
        <v>44971</v>
      </c>
      <c r="E2092" s="2">
        <v>53.85</v>
      </c>
      <c r="F2092">
        <v>399</v>
      </c>
      <c r="G2092" s="2">
        <f t="shared" si="128"/>
        <v>0.13496240601503759</v>
      </c>
      <c r="H2092" t="str">
        <f t="shared" si="129"/>
        <v>February</v>
      </c>
      <c r="I2092" t="str">
        <f t="shared" si="130"/>
        <v>Q1</v>
      </c>
      <c r="J2092" t="str">
        <f t="shared" si="131"/>
        <v>Small</v>
      </c>
    </row>
    <row r="2093" spans="1:10" x14ac:dyDescent="0.25">
      <c r="A2093" t="s">
        <v>55</v>
      </c>
      <c r="B2093" t="s">
        <v>15</v>
      </c>
      <c r="C2093" t="s">
        <v>13</v>
      </c>
      <c r="D2093" s="1">
        <v>44999</v>
      </c>
      <c r="E2093" s="2">
        <v>10857.23</v>
      </c>
      <c r="F2093">
        <v>73</v>
      </c>
      <c r="G2093" s="2">
        <f t="shared" si="128"/>
        <v>148.72917808219177</v>
      </c>
      <c r="H2093" t="str">
        <f t="shared" si="129"/>
        <v>March</v>
      </c>
      <c r="I2093" t="str">
        <f t="shared" si="130"/>
        <v>Q1</v>
      </c>
      <c r="J2093" t="str">
        <f t="shared" si="131"/>
        <v>Large</v>
      </c>
    </row>
    <row r="2094" spans="1:10" x14ac:dyDescent="0.25">
      <c r="A2094" t="s">
        <v>17</v>
      </c>
      <c r="B2094" t="s">
        <v>15</v>
      </c>
      <c r="C2094" t="s">
        <v>39</v>
      </c>
      <c r="D2094" s="1">
        <v>45042</v>
      </c>
      <c r="E2094" s="2">
        <v>12412.53</v>
      </c>
      <c r="F2094">
        <v>25</v>
      </c>
      <c r="G2094" s="2">
        <f t="shared" si="128"/>
        <v>496.50120000000004</v>
      </c>
      <c r="H2094" t="str">
        <f t="shared" si="129"/>
        <v>April</v>
      </c>
      <c r="I2094" t="str">
        <f t="shared" si="130"/>
        <v>Q2</v>
      </c>
      <c r="J2094" t="str">
        <f t="shared" si="131"/>
        <v>Large</v>
      </c>
    </row>
    <row r="2095" spans="1:10" x14ac:dyDescent="0.25">
      <c r="A2095" t="s">
        <v>6</v>
      </c>
      <c r="B2095" t="s">
        <v>29</v>
      </c>
      <c r="C2095" t="s">
        <v>45</v>
      </c>
      <c r="D2095" s="1">
        <v>45021</v>
      </c>
      <c r="E2095" s="2">
        <v>3669.15</v>
      </c>
      <c r="F2095">
        <v>209</v>
      </c>
      <c r="G2095" s="2">
        <f t="shared" si="128"/>
        <v>17.555741626794259</v>
      </c>
      <c r="H2095" t="str">
        <f t="shared" si="129"/>
        <v>April</v>
      </c>
      <c r="I2095" t="str">
        <f t="shared" si="130"/>
        <v>Q2</v>
      </c>
      <c r="J2095" t="str">
        <f t="shared" si="131"/>
        <v>Large</v>
      </c>
    </row>
    <row r="2096" spans="1:10" x14ac:dyDescent="0.25">
      <c r="A2096" t="s">
        <v>50</v>
      </c>
      <c r="B2096" t="s">
        <v>29</v>
      </c>
      <c r="C2096" t="s">
        <v>32</v>
      </c>
      <c r="D2096" s="1">
        <v>44988</v>
      </c>
      <c r="E2096" s="2">
        <v>13555.26</v>
      </c>
      <c r="F2096">
        <v>279</v>
      </c>
      <c r="G2096" s="2">
        <f t="shared" si="128"/>
        <v>48.585161290322581</v>
      </c>
      <c r="H2096" t="str">
        <f t="shared" si="129"/>
        <v>March</v>
      </c>
      <c r="I2096" t="str">
        <f t="shared" si="130"/>
        <v>Q1</v>
      </c>
      <c r="J2096" t="str">
        <f t="shared" si="131"/>
        <v>Large</v>
      </c>
    </row>
    <row r="2097" spans="1:10" x14ac:dyDescent="0.25">
      <c r="A2097" t="s">
        <v>41</v>
      </c>
      <c r="B2097" t="s">
        <v>26</v>
      </c>
      <c r="C2097" t="s">
        <v>39</v>
      </c>
      <c r="D2097" s="1">
        <v>45090</v>
      </c>
      <c r="E2097" s="2">
        <v>2333.84</v>
      </c>
      <c r="F2097">
        <v>171</v>
      </c>
      <c r="G2097" s="2">
        <f t="shared" si="128"/>
        <v>13.648187134502924</v>
      </c>
      <c r="H2097" t="str">
        <f t="shared" si="129"/>
        <v>June</v>
      </c>
      <c r="I2097" t="str">
        <f t="shared" si="130"/>
        <v>Q2</v>
      </c>
      <c r="J2097" t="str">
        <f t="shared" si="131"/>
        <v>Large</v>
      </c>
    </row>
    <row r="2098" spans="1:10" x14ac:dyDescent="0.25">
      <c r="A2098" t="s">
        <v>33</v>
      </c>
      <c r="B2098" t="s">
        <v>21</v>
      </c>
      <c r="C2098" t="s">
        <v>58</v>
      </c>
      <c r="D2098" s="1">
        <v>44971</v>
      </c>
      <c r="E2098" s="2">
        <v>8973.0499999999993</v>
      </c>
      <c r="F2098">
        <v>360</v>
      </c>
      <c r="G2098" s="2">
        <f t="shared" si="128"/>
        <v>24.925138888888888</v>
      </c>
      <c r="H2098" t="str">
        <f t="shared" si="129"/>
        <v>February</v>
      </c>
      <c r="I2098" t="str">
        <f t="shared" si="130"/>
        <v>Q1</v>
      </c>
      <c r="J2098" t="str">
        <f t="shared" si="131"/>
        <v>Large</v>
      </c>
    </row>
    <row r="2099" spans="1:10" x14ac:dyDescent="0.25">
      <c r="A2099" t="s">
        <v>36</v>
      </c>
      <c r="B2099" t="s">
        <v>21</v>
      </c>
      <c r="C2099" t="s">
        <v>18</v>
      </c>
      <c r="D2099" s="1">
        <v>45034</v>
      </c>
      <c r="E2099" s="2">
        <v>8610.3799999999992</v>
      </c>
      <c r="F2099">
        <v>188</v>
      </c>
      <c r="G2099" s="2">
        <f t="shared" si="128"/>
        <v>45.799893617021276</v>
      </c>
      <c r="H2099" t="str">
        <f t="shared" si="129"/>
        <v>April</v>
      </c>
      <c r="I2099" t="str">
        <f t="shared" si="130"/>
        <v>Q2</v>
      </c>
      <c r="J2099" t="str">
        <f t="shared" si="131"/>
        <v>Large</v>
      </c>
    </row>
    <row r="2100" spans="1:10" x14ac:dyDescent="0.25">
      <c r="A2100" t="s">
        <v>17</v>
      </c>
      <c r="B2100" t="s">
        <v>21</v>
      </c>
      <c r="C2100" t="s">
        <v>11</v>
      </c>
      <c r="D2100" s="1">
        <v>44958</v>
      </c>
      <c r="E2100" s="2">
        <v>3432.3</v>
      </c>
      <c r="F2100">
        <v>452</v>
      </c>
      <c r="G2100" s="2">
        <f t="shared" si="128"/>
        <v>7.5935840707964601</v>
      </c>
      <c r="H2100" t="str">
        <f t="shared" si="129"/>
        <v>February</v>
      </c>
      <c r="I2100" t="str">
        <f t="shared" si="130"/>
        <v>Q1</v>
      </c>
      <c r="J2100" t="str">
        <f t="shared" si="131"/>
        <v>Large</v>
      </c>
    </row>
    <row r="2101" spans="1:10" x14ac:dyDescent="0.25">
      <c r="A2101" t="s">
        <v>54</v>
      </c>
      <c r="B2101" t="s">
        <v>21</v>
      </c>
      <c r="C2101" t="s">
        <v>27</v>
      </c>
      <c r="D2101" s="1">
        <v>45142</v>
      </c>
      <c r="E2101" s="2">
        <v>2283.39</v>
      </c>
      <c r="F2101">
        <v>155</v>
      </c>
      <c r="G2101" s="2">
        <f t="shared" si="128"/>
        <v>14.731548387096773</v>
      </c>
      <c r="H2101" t="str">
        <f t="shared" si="129"/>
        <v>August</v>
      </c>
      <c r="I2101" t="str">
        <f t="shared" si="130"/>
        <v>Q3</v>
      </c>
      <c r="J2101" t="str">
        <f t="shared" si="131"/>
        <v>Large</v>
      </c>
    </row>
    <row r="2102" spans="1:10" x14ac:dyDescent="0.25">
      <c r="A2102" t="s">
        <v>48</v>
      </c>
      <c r="B2102" t="s">
        <v>21</v>
      </c>
      <c r="C2102" t="s">
        <v>47</v>
      </c>
      <c r="D2102" s="1">
        <v>45021</v>
      </c>
      <c r="E2102" s="2">
        <v>7190.49</v>
      </c>
      <c r="F2102">
        <v>165</v>
      </c>
      <c r="G2102" s="2">
        <f t="shared" si="128"/>
        <v>43.578727272727271</v>
      </c>
      <c r="H2102" t="str">
        <f t="shared" si="129"/>
        <v>April</v>
      </c>
      <c r="I2102" t="str">
        <f t="shared" si="130"/>
        <v>Q2</v>
      </c>
      <c r="J2102" t="str">
        <f t="shared" si="131"/>
        <v>Large</v>
      </c>
    </row>
    <row r="2103" spans="1:10" x14ac:dyDescent="0.25">
      <c r="A2103" t="s">
        <v>31</v>
      </c>
      <c r="B2103" t="s">
        <v>15</v>
      </c>
      <c r="C2103" t="s">
        <v>18</v>
      </c>
      <c r="D2103" s="1">
        <v>44952</v>
      </c>
      <c r="E2103" s="2">
        <v>11303.07</v>
      </c>
      <c r="F2103">
        <v>166</v>
      </c>
      <c r="G2103" s="2">
        <f t="shared" si="128"/>
        <v>68.09078313253012</v>
      </c>
      <c r="H2103" t="str">
        <f t="shared" si="129"/>
        <v>January</v>
      </c>
      <c r="I2103" t="str">
        <f t="shared" si="130"/>
        <v>Q1</v>
      </c>
      <c r="J2103" t="str">
        <f t="shared" si="131"/>
        <v>Large</v>
      </c>
    </row>
    <row r="2104" spans="1:10" x14ac:dyDescent="0.25">
      <c r="A2104" t="s">
        <v>41</v>
      </c>
      <c r="B2104" t="s">
        <v>7</v>
      </c>
      <c r="C2104" t="s">
        <v>20</v>
      </c>
      <c r="D2104" s="1">
        <v>44947</v>
      </c>
      <c r="E2104" s="2">
        <v>18911.490000000002</v>
      </c>
      <c r="F2104">
        <v>171</v>
      </c>
      <c r="G2104" s="2">
        <f t="shared" si="128"/>
        <v>110.59350877192983</v>
      </c>
      <c r="H2104" t="str">
        <f t="shared" si="129"/>
        <v>January</v>
      </c>
      <c r="I2104" t="str">
        <f t="shared" si="130"/>
        <v>Q1</v>
      </c>
      <c r="J2104" t="str">
        <f t="shared" si="131"/>
        <v>Large</v>
      </c>
    </row>
    <row r="2105" spans="1:10" x14ac:dyDescent="0.25">
      <c r="A2105" t="s">
        <v>41</v>
      </c>
      <c r="B2105" t="s">
        <v>29</v>
      </c>
      <c r="C2105" t="s">
        <v>20</v>
      </c>
      <c r="D2105" s="1">
        <v>45160</v>
      </c>
      <c r="E2105" s="2">
        <v>6233.02</v>
      </c>
      <c r="F2105">
        <v>178</v>
      </c>
      <c r="G2105" s="2">
        <f t="shared" si="128"/>
        <v>35.016966292134832</v>
      </c>
      <c r="H2105" t="str">
        <f t="shared" si="129"/>
        <v>August</v>
      </c>
      <c r="I2105" t="str">
        <f t="shared" si="130"/>
        <v>Q3</v>
      </c>
      <c r="J2105" t="str">
        <f t="shared" si="131"/>
        <v>Large</v>
      </c>
    </row>
    <row r="2106" spans="1:10" x14ac:dyDescent="0.25">
      <c r="A2106" t="s">
        <v>41</v>
      </c>
      <c r="B2106" t="s">
        <v>7</v>
      </c>
      <c r="C2106" t="s">
        <v>32</v>
      </c>
      <c r="D2106" s="1">
        <v>44953</v>
      </c>
      <c r="E2106" s="2">
        <v>2334.5</v>
      </c>
      <c r="F2106">
        <v>233</v>
      </c>
      <c r="G2106" s="2">
        <f t="shared" si="128"/>
        <v>10.019313304721029</v>
      </c>
      <c r="H2106" t="str">
        <f t="shared" si="129"/>
        <v>January</v>
      </c>
      <c r="I2106" t="str">
        <f t="shared" si="130"/>
        <v>Q1</v>
      </c>
      <c r="J2106" t="str">
        <f t="shared" si="131"/>
        <v>Large</v>
      </c>
    </row>
    <row r="2107" spans="1:10" x14ac:dyDescent="0.25">
      <c r="A2107" t="s">
        <v>24</v>
      </c>
      <c r="B2107" t="s">
        <v>7</v>
      </c>
      <c r="C2107" t="s">
        <v>22</v>
      </c>
      <c r="D2107" s="1">
        <v>44973</v>
      </c>
      <c r="E2107" s="2">
        <v>11099.73</v>
      </c>
      <c r="F2107">
        <v>73</v>
      </c>
      <c r="G2107" s="2">
        <f t="shared" si="128"/>
        <v>152.05109589041095</v>
      </c>
      <c r="H2107" t="str">
        <f t="shared" si="129"/>
        <v>February</v>
      </c>
      <c r="I2107" t="str">
        <f t="shared" si="130"/>
        <v>Q1</v>
      </c>
      <c r="J2107" t="str">
        <f t="shared" si="131"/>
        <v>Large</v>
      </c>
    </row>
    <row r="2108" spans="1:10" x14ac:dyDescent="0.25">
      <c r="A2108" t="s">
        <v>54</v>
      </c>
      <c r="B2108" t="s">
        <v>26</v>
      </c>
      <c r="C2108" t="s">
        <v>51</v>
      </c>
      <c r="D2108" s="1">
        <v>44929</v>
      </c>
      <c r="E2108" s="2">
        <v>3590.55</v>
      </c>
      <c r="F2108">
        <v>47</v>
      </c>
      <c r="G2108" s="2">
        <f t="shared" si="128"/>
        <v>76.394680851063839</v>
      </c>
      <c r="H2108" t="str">
        <f t="shared" si="129"/>
        <v>January</v>
      </c>
      <c r="I2108" t="str">
        <f t="shared" si="130"/>
        <v>Q1</v>
      </c>
      <c r="J2108" t="str">
        <f t="shared" si="131"/>
        <v>Large</v>
      </c>
    </row>
    <row r="2109" spans="1:10" x14ac:dyDescent="0.25">
      <c r="A2109" t="s">
        <v>31</v>
      </c>
      <c r="B2109" t="s">
        <v>26</v>
      </c>
      <c r="C2109" t="s">
        <v>44</v>
      </c>
      <c r="D2109" s="1">
        <v>45162</v>
      </c>
      <c r="E2109" s="2">
        <v>5209.3999999999996</v>
      </c>
      <c r="F2109">
        <v>2</v>
      </c>
      <c r="G2109" s="2">
        <f t="shared" si="128"/>
        <v>2604.6999999999998</v>
      </c>
      <c r="H2109" t="str">
        <f t="shared" si="129"/>
        <v>August</v>
      </c>
      <c r="I2109" t="str">
        <f t="shared" si="130"/>
        <v>Q3</v>
      </c>
      <c r="J2109" t="str">
        <f t="shared" si="131"/>
        <v>Large</v>
      </c>
    </row>
    <row r="2110" spans="1:10" x14ac:dyDescent="0.25">
      <c r="A2110" t="s">
        <v>17</v>
      </c>
      <c r="B2110" t="s">
        <v>26</v>
      </c>
      <c r="C2110" t="s">
        <v>39</v>
      </c>
      <c r="D2110" s="1">
        <v>44964</v>
      </c>
      <c r="E2110" s="2">
        <v>6315.14</v>
      </c>
      <c r="F2110">
        <v>398</v>
      </c>
      <c r="G2110" s="2">
        <f t="shared" si="128"/>
        <v>15.867185929648242</v>
      </c>
      <c r="H2110" t="str">
        <f t="shared" si="129"/>
        <v>February</v>
      </c>
      <c r="I2110" t="str">
        <f t="shared" si="130"/>
        <v>Q1</v>
      </c>
      <c r="J2110" t="str">
        <f t="shared" si="131"/>
        <v>Large</v>
      </c>
    </row>
    <row r="2111" spans="1:10" x14ac:dyDescent="0.25">
      <c r="A2111" t="s">
        <v>28</v>
      </c>
      <c r="B2111" t="s">
        <v>15</v>
      </c>
      <c r="C2111" t="s">
        <v>16</v>
      </c>
      <c r="D2111" s="1">
        <v>44968</v>
      </c>
      <c r="E2111" s="2">
        <v>4454.71</v>
      </c>
      <c r="F2111">
        <v>117</v>
      </c>
      <c r="G2111" s="2">
        <f t="shared" si="128"/>
        <v>38.074444444444445</v>
      </c>
      <c r="H2111" t="str">
        <f t="shared" si="129"/>
        <v>February</v>
      </c>
      <c r="I2111" t="str">
        <f t="shared" si="130"/>
        <v>Q1</v>
      </c>
      <c r="J2111" t="str">
        <f t="shared" si="131"/>
        <v>Large</v>
      </c>
    </row>
    <row r="2112" spans="1:10" x14ac:dyDescent="0.25">
      <c r="A2112" t="s">
        <v>41</v>
      </c>
      <c r="B2112" t="s">
        <v>29</v>
      </c>
      <c r="C2112" t="s">
        <v>35</v>
      </c>
      <c r="D2112" s="1">
        <v>45014</v>
      </c>
      <c r="E2112" s="2">
        <v>6078.71</v>
      </c>
      <c r="F2112">
        <v>78</v>
      </c>
      <c r="G2112" s="2">
        <f t="shared" si="128"/>
        <v>77.932179487179482</v>
      </c>
      <c r="H2112" t="str">
        <f t="shared" si="129"/>
        <v>March</v>
      </c>
      <c r="I2112" t="str">
        <f t="shared" si="130"/>
        <v>Q1</v>
      </c>
      <c r="J2112" t="str">
        <f t="shared" si="131"/>
        <v>Large</v>
      </c>
    </row>
    <row r="2113" spans="1:10" x14ac:dyDescent="0.25">
      <c r="A2113" t="s">
        <v>33</v>
      </c>
      <c r="B2113" t="s">
        <v>26</v>
      </c>
      <c r="C2113" t="s">
        <v>13</v>
      </c>
      <c r="D2113" s="1">
        <v>45092</v>
      </c>
      <c r="E2113" s="2">
        <v>695.96</v>
      </c>
      <c r="F2113">
        <v>363</v>
      </c>
      <c r="G2113" s="2">
        <f t="shared" si="128"/>
        <v>1.9172451790633609</v>
      </c>
      <c r="H2113" t="str">
        <f t="shared" si="129"/>
        <v>June</v>
      </c>
      <c r="I2113" t="str">
        <f t="shared" si="130"/>
        <v>Q2</v>
      </c>
      <c r="J2113" t="str">
        <f t="shared" si="131"/>
        <v>Large</v>
      </c>
    </row>
    <row r="2114" spans="1:10" x14ac:dyDescent="0.25">
      <c r="A2114" t="s">
        <v>43</v>
      </c>
      <c r="B2114" t="s">
        <v>7</v>
      </c>
      <c r="C2114" t="s">
        <v>16</v>
      </c>
      <c r="D2114" s="1">
        <v>45042</v>
      </c>
      <c r="E2114" s="2">
        <v>563.76</v>
      </c>
      <c r="F2114">
        <v>151</v>
      </c>
      <c r="G2114" s="2">
        <f t="shared" si="128"/>
        <v>3.7335099337748345</v>
      </c>
      <c r="H2114" t="str">
        <f t="shared" si="129"/>
        <v>April</v>
      </c>
      <c r="I2114" t="str">
        <f t="shared" si="130"/>
        <v>Q2</v>
      </c>
      <c r="J2114" t="str">
        <f t="shared" si="131"/>
        <v>Large</v>
      </c>
    </row>
    <row r="2115" spans="1:10" x14ac:dyDescent="0.25">
      <c r="A2115" t="s">
        <v>23</v>
      </c>
      <c r="B2115" t="s">
        <v>15</v>
      </c>
      <c r="C2115" t="s">
        <v>35</v>
      </c>
      <c r="D2115" s="1">
        <v>45122</v>
      </c>
      <c r="E2115" s="2">
        <v>4479.6899999999996</v>
      </c>
      <c r="F2115">
        <v>261</v>
      </c>
      <c r="G2115" s="2">
        <f t="shared" ref="G2115:G2178" si="132">E2115/F2115</f>
        <v>17.163563218390802</v>
      </c>
      <c r="H2115" t="str">
        <f t="shared" ref="H2115:H2178" si="133">TEXT(D2115, "mmmm")</f>
        <v>July</v>
      </c>
      <c r="I2115" t="str">
        <f t="shared" ref="I2115:I2178" si="134">"Q" &amp; ROUNDUP(MONTH(D2115)/3,0)</f>
        <v>Q3</v>
      </c>
      <c r="J2115" t="str">
        <f t="shared" ref="J2115:J2178" si="135">IF(E2115 &gt; 500, "Large", "Small")</f>
        <v>Large</v>
      </c>
    </row>
    <row r="2116" spans="1:10" x14ac:dyDescent="0.25">
      <c r="A2116" t="s">
        <v>34</v>
      </c>
      <c r="B2116" t="s">
        <v>10</v>
      </c>
      <c r="C2116" t="s">
        <v>35</v>
      </c>
      <c r="D2116" s="1">
        <v>45100</v>
      </c>
      <c r="E2116" s="2">
        <v>1093.72</v>
      </c>
      <c r="F2116">
        <v>22</v>
      </c>
      <c r="G2116" s="2">
        <f t="shared" si="132"/>
        <v>49.714545454545458</v>
      </c>
      <c r="H2116" t="str">
        <f t="shared" si="133"/>
        <v>June</v>
      </c>
      <c r="I2116" t="str">
        <f t="shared" si="134"/>
        <v>Q2</v>
      </c>
      <c r="J2116" t="str">
        <f t="shared" si="135"/>
        <v>Large</v>
      </c>
    </row>
    <row r="2117" spans="1:10" x14ac:dyDescent="0.25">
      <c r="A2117" t="s">
        <v>43</v>
      </c>
      <c r="B2117" t="s">
        <v>15</v>
      </c>
      <c r="C2117" t="s">
        <v>56</v>
      </c>
      <c r="D2117" s="1">
        <v>44937</v>
      </c>
      <c r="E2117" s="2">
        <v>15870.43</v>
      </c>
      <c r="F2117">
        <v>449</v>
      </c>
      <c r="G2117" s="2">
        <f t="shared" si="132"/>
        <v>35.34616926503341</v>
      </c>
      <c r="H2117" t="str">
        <f t="shared" si="133"/>
        <v>January</v>
      </c>
      <c r="I2117" t="str">
        <f t="shared" si="134"/>
        <v>Q1</v>
      </c>
      <c r="J2117" t="str">
        <f t="shared" si="135"/>
        <v>Large</v>
      </c>
    </row>
    <row r="2118" spans="1:10" x14ac:dyDescent="0.25">
      <c r="A2118" t="s">
        <v>34</v>
      </c>
      <c r="B2118" t="s">
        <v>7</v>
      </c>
      <c r="C2118" t="s">
        <v>22</v>
      </c>
      <c r="D2118" s="1">
        <v>44966</v>
      </c>
      <c r="E2118" s="2">
        <v>2529.8200000000002</v>
      </c>
      <c r="F2118">
        <v>297</v>
      </c>
      <c r="G2118" s="2">
        <f t="shared" si="132"/>
        <v>8.517912457912459</v>
      </c>
      <c r="H2118" t="str">
        <f t="shared" si="133"/>
        <v>February</v>
      </c>
      <c r="I2118" t="str">
        <f t="shared" si="134"/>
        <v>Q1</v>
      </c>
      <c r="J2118" t="str">
        <f t="shared" si="135"/>
        <v>Large</v>
      </c>
    </row>
    <row r="2119" spans="1:10" x14ac:dyDescent="0.25">
      <c r="A2119" t="s">
        <v>9</v>
      </c>
      <c r="B2119" t="s">
        <v>7</v>
      </c>
      <c r="C2119" t="s">
        <v>47</v>
      </c>
      <c r="D2119" s="1">
        <v>45083</v>
      </c>
      <c r="E2119" s="2">
        <v>11258.39</v>
      </c>
      <c r="F2119">
        <v>217</v>
      </c>
      <c r="G2119" s="2">
        <f t="shared" si="132"/>
        <v>51.881981566820272</v>
      </c>
      <c r="H2119" t="str">
        <f t="shared" si="133"/>
        <v>June</v>
      </c>
      <c r="I2119" t="str">
        <f t="shared" si="134"/>
        <v>Q2</v>
      </c>
      <c r="J2119" t="str">
        <f t="shared" si="135"/>
        <v>Large</v>
      </c>
    </row>
    <row r="2120" spans="1:10" x14ac:dyDescent="0.25">
      <c r="A2120" t="s">
        <v>54</v>
      </c>
      <c r="B2120" t="s">
        <v>7</v>
      </c>
      <c r="C2120" t="s">
        <v>57</v>
      </c>
      <c r="D2120" s="1">
        <v>45148</v>
      </c>
      <c r="E2120" s="2">
        <v>6180.45</v>
      </c>
      <c r="F2120">
        <v>230</v>
      </c>
      <c r="G2120" s="2">
        <f t="shared" si="132"/>
        <v>26.871521739130433</v>
      </c>
      <c r="H2120" t="str">
        <f t="shared" si="133"/>
        <v>August</v>
      </c>
      <c r="I2120" t="str">
        <f t="shared" si="134"/>
        <v>Q3</v>
      </c>
      <c r="J2120" t="str">
        <f t="shared" si="135"/>
        <v>Large</v>
      </c>
    </row>
    <row r="2121" spans="1:10" x14ac:dyDescent="0.25">
      <c r="A2121" t="s">
        <v>46</v>
      </c>
      <c r="B2121" t="s">
        <v>15</v>
      </c>
      <c r="C2121" t="s">
        <v>16</v>
      </c>
      <c r="D2121" s="1">
        <v>44930</v>
      </c>
      <c r="E2121" s="2">
        <v>2496.06</v>
      </c>
      <c r="F2121">
        <v>45</v>
      </c>
      <c r="G2121" s="2">
        <f t="shared" si="132"/>
        <v>55.467999999999996</v>
      </c>
      <c r="H2121" t="str">
        <f t="shared" si="133"/>
        <v>January</v>
      </c>
      <c r="I2121" t="str">
        <f t="shared" si="134"/>
        <v>Q1</v>
      </c>
      <c r="J2121" t="str">
        <f t="shared" si="135"/>
        <v>Large</v>
      </c>
    </row>
    <row r="2122" spans="1:10" x14ac:dyDescent="0.25">
      <c r="A2122" t="s">
        <v>48</v>
      </c>
      <c r="B2122" t="s">
        <v>29</v>
      </c>
      <c r="C2122" t="s">
        <v>58</v>
      </c>
      <c r="D2122" s="1">
        <v>45024</v>
      </c>
      <c r="E2122" s="2">
        <v>10964.29</v>
      </c>
      <c r="F2122">
        <v>16</v>
      </c>
      <c r="G2122" s="2">
        <f t="shared" si="132"/>
        <v>685.26812500000005</v>
      </c>
      <c r="H2122" t="str">
        <f t="shared" si="133"/>
        <v>April</v>
      </c>
      <c r="I2122" t="str">
        <f t="shared" si="134"/>
        <v>Q2</v>
      </c>
      <c r="J2122" t="str">
        <f t="shared" si="135"/>
        <v>Large</v>
      </c>
    </row>
    <row r="2123" spans="1:10" x14ac:dyDescent="0.25">
      <c r="A2123" t="s">
        <v>25</v>
      </c>
      <c r="B2123" t="s">
        <v>7</v>
      </c>
      <c r="C2123" t="s">
        <v>37</v>
      </c>
      <c r="D2123" s="1">
        <v>44987</v>
      </c>
      <c r="E2123" s="2">
        <v>4012.51</v>
      </c>
      <c r="F2123">
        <v>409</v>
      </c>
      <c r="G2123" s="2">
        <f t="shared" si="132"/>
        <v>9.810537897310514</v>
      </c>
      <c r="H2123" t="str">
        <f t="shared" si="133"/>
        <v>March</v>
      </c>
      <c r="I2123" t="str">
        <f t="shared" si="134"/>
        <v>Q1</v>
      </c>
      <c r="J2123" t="str">
        <f t="shared" si="135"/>
        <v>Large</v>
      </c>
    </row>
    <row r="2124" spans="1:10" x14ac:dyDescent="0.25">
      <c r="A2124" t="s">
        <v>9</v>
      </c>
      <c r="B2124" t="s">
        <v>29</v>
      </c>
      <c r="C2124" t="s">
        <v>32</v>
      </c>
      <c r="D2124" s="1">
        <v>45092</v>
      </c>
      <c r="E2124" s="2">
        <v>4919.25</v>
      </c>
      <c r="F2124">
        <v>746</v>
      </c>
      <c r="G2124" s="2">
        <f t="shared" si="132"/>
        <v>6.5941689008042896</v>
      </c>
      <c r="H2124" t="str">
        <f t="shared" si="133"/>
        <v>June</v>
      </c>
      <c r="I2124" t="str">
        <f t="shared" si="134"/>
        <v>Q2</v>
      </c>
      <c r="J2124" t="str">
        <f t="shared" si="135"/>
        <v>Large</v>
      </c>
    </row>
    <row r="2125" spans="1:10" x14ac:dyDescent="0.25">
      <c r="A2125" t="s">
        <v>6</v>
      </c>
      <c r="B2125" t="s">
        <v>15</v>
      </c>
      <c r="C2125" t="s">
        <v>20</v>
      </c>
      <c r="D2125" s="1">
        <v>44971</v>
      </c>
      <c r="E2125" s="2">
        <v>5602.02</v>
      </c>
      <c r="F2125">
        <v>51</v>
      </c>
      <c r="G2125" s="2">
        <f t="shared" si="132"/>
        <v>109.84352941176472</v>
      </c>
      <c r="H2125" t="str">
        <f t="shared" si="133"/>
        <v>February</v>
      </c>
      <c r="I2125" t="str">
        <f t="shared" si="134"/>
        <v>Q1</v>
      </c>
      <c r="J2125" t="str">
        <f t="shared" si="135"/>
        <v>Large</v>
      </c>
    </row>
    <row r="2126" spans="1:10" x14ac:dyDescent="0.25">
      <c r="A2126" t="s">
        <v>40</v>
      </c>
      <c r="B2126" t="s">
        <v>7</v>
      </c>
      <c r="C2126" t="s">
        <v>20</v>
      </c>
      <c r="D2126" s="1">
        <v>45112</v>
      </c>
      <c r="E2126" s="2">
        <v>3563.87</v>
      </c>
      <c r="F2126">
        <v>372</v>
      </c>
      <c r="G2126" s="2">
        <f t="shared" si="132"/>
        <v>9.580295698924731</v>
      </c>
      <c r="H2126" t="str">
        <f t="shared" si="133"/>
        <v>July</v>
      </c>
      <c r="I2126" t="str">
        <f t="shared" si="134"/>
        <v>Q3</v>
      </c>
      <c r="J2126" t="str">
        <f t="shared" si="135"/>
        <v>Large</v>
      </c>
    </row>
    <row r="2127" spans="1:10" x14ac:dyDescent="0.25">
      <c r="A2127" t="s">
        <v>25</v>
      </c>
      <c r="B2127" t="s">
        <v>10</v>
      </c>
      <c r="C2127" t="s">
        <v>8</v>
      </c>
      <c r="D2127" s="1">
        <v>44938</v>
      </c>
      <c r="E2127" s="2">
        <v>8313.09</v>
      </c>
      <c r="F2127">
        <v>493</v>
      </c>
      <c r="G2127" s="2">
        <f t="shared" si="132"/>
        <v>16.862251521298173</v>
      </c>
      <c r="H2127" t="str">
        <f t="shared" si="133"/>
        <v>January</v>
      </c>
      <c r="I2127" t="str">
        <f t="shared" si="134"/>
        <v>Q1</v>
      </c>
      <c r="J2127" t="str">
        <f t="shared" si="135"/>
        <v>Large</v>
      </c>
    </row>
    <row r="2128" spans="1:10" x14ac:dyDescent="0.25">
      <c r="A2128" t="s">
        <v>38</v>
      </c>
      <c r="B2128" t="s">
        <v>10</v>
      </c>
      <c r="C2128" t="s">
        <v>8</v>
      </c>
      <c r="D2128" s="1">
        <v>44988</v>
      </c>
      <c r="E2128" s="2">
        <v>8447.48</v>
      </c>
      <c r="F2128">
        <v>96</v>
      </c>
      <c r="G2128" s="2">
        <f t="shared" si="132"/>
        <v>87.994583333333324</v>
      </c>
      <c r="H2128" t="str">
        <f t="shared" si="133"/>
        <v>March</v>
      </c>
      <c r="I2128" t="str">
        <f t="shared" si="134"/>
        <v>Q1</v>
      </c>
      <c r="J2128" t="str">
        <f t="shared" si="135"/>
        <v>Large</v>
      </c>
    </row>
    <row r="2129" spans="1:10" x14ac:dyDescent="0.25">
      <c r="A2129" t="s">
        <v>6</v>
      </c>
      <c r="B2129" t="s">
        <v>21</v>
      </c>
      <c r="C2129" t="s">
        <v>37</v>
      </c>
      <c r="D2129" s="1">
        <v>45064</v>
      </c>
      <c r="E2129" s="2">
        <v>2646.23</v>
      </c>
      <c r="F2129">
        <v>198</v>
      </c>
      <c r="G2129" s="2">
        <f t="shared" si="132"/>
        <v>13.364797979797979</v>
      </c>
      <c r="H2129" t="str">
        <f t="shared" si="133"/>
        <v>May</v>
      </c>
      <c r="I2129" t="str">
        <f t="shared" si="134"/>
        <v>Q2</v>
      </c>
      <c r="J2129" t="str">
        <f t="shared" si="135"/>
        <v>Large</v>
      </c>
    </row>
    <row r="2130" spans="1:10" x14ac:dyDescent="0.25">
      <c r="A2130" t="s">
        <v>19</v>
      </c>
      <c r="B2130" t="s">
        <v>10</v>
      </c>
      <c r="C2130" t="s">
        <v>57</v>
      </c>
      <c r="D2130" s="1">
        <v>45135</v>
      </c>
      <c r="E2130" s="2">
        <v>2706.83</v>
      </c>
      <c r="F2130">
        <v>198</v>
      </c>
      <c r="G2130" s="2">
        <f t="shared" si="132"/>
        <v>13.670858585858586</v>
      </c>
      <c r="H2130" t="str">
        <f t="shared" si="133"/>
        <v>July</v>
      </c>
      <c r="I2130" t="str">
        <f t="shared" si="134"/>
        <v>Q3</v>
      </c>
      <c r="J2130" t="str">
        <f t="shared" si="135"/>
        <v>Large</v>
      </c>
    </row>
    <row r="2131" spans="1:10" x14ac:dyDescent="0.25">
      <c r="A2131" t="s">
        <v>38</v>
      </c>
      <c r="B2131" t="s">
        <v>7</v>
      </c>
      <c r="C2131" t="s">
        <v>45</v>
      </c>
      <c r="D2131" s="1">
        <v>44964</v>
      </c>
      <c r="E2131" s="2">
        <v>1710.48</v>
      </c>
      <c r="F2131">
        <v>108</v>
      </c>
      <c r="G2131" s="2">
        <f t="shared" si="132"/>
        <v>15.837777777777777</v>
      </c>
      <c r="H2131" t="str">
        <f t="shared" si="133"/>
        <v>February</v>
      </c>
      <c r="I2131" t="str">
        <f t="shared" si="134"/>
        <v>Q1</v>
      </c>
      <c r="J2131" t="str">
        <f t="shared" si="135"/>
        <v>Large</v>
      </c>
    </row>
    <row r="2132" spans="1:10" x14ac:dyDescent="0.25">
      <c r="A2132" t="s">
        <v>48</v>
      </c>
      <c r="B2132" t="s">
        <v>10</v>
      </c>
      <c r="C2132" t="s">
        <v>27</v>
      </c>
      <c r="D2132" s="1">
        <v>45076</v>
      </c>
      <c r="E2132" s="2">
        <v>318.19</v>
      </c>
      <c r="F2132">
        <v>417</v>
      </c>
      <c r="G2132" s="2">
        <f t="shared" si="132"/>
        <v>0.76304556354916064</v>
      </c>
      <c r="H2132" t="str">
        <f t="shared" si="133"/>
        <v>May</v>
      </c>
      <c r="I2132" t="str">
        <f t="shared" si="134"/>
        <v>Q2</v>
      </c>
      <c r="J2132" t="str">
        <f t="shared" si="135"/>
        <v>Small</v>
      </c>
    </row>
    <row r="2133" spans="1:10" x14ac:dyDescent="0.25">
      <c r="A2133" t="s">
        <v>28</v>
      </c>
      <c r="B2133" t="s">
        <v>15</v>
      </c>
      <c r="C2133" t="s">
        <v>51</v>
      </c>
      <c r="D2133" s="1">
        <v>45041</v>
      </c>
      <c r="E2133" s="2">
        <v>9479.65</v>
      </c>
      <c r="F2133">
        <v>26</v>
      </c>
      <c r="G2133" s="2">
        <f t="shared" si="132"/>
        <v>364.60192307692307</v>
      </c>
      <c r="H2133" t="str">
        <f t="shared" si="133"/>
        <v>April</v>
      </c>
      <c r="I2133" t="str">
        <f t="shared" si="134"/>
        <v>Q2</v>
      </c>
      <c r="J2133" t="str">
        <f t="shared" si="135"/>
        <v>Large</v>
      </c>
    </row>
    <row r="2134" spans="1:10" x14ac:dyDescent="0.25">
      <c r="A2134" t="s">
        <v>34</v>
      </c>
      <c r="B2134" t="s">
        <v>29</v>
      </c>
      <c r="C2134" t="s">
        <v>11</v>
      </c>
      <c r="D2134" s="1">
        <v>44973</v>
      </c>
      <c r="E2134" s="2">
        <v>6393.2</v>
      </c>
      <c r="F2134">
        <v>44</v>
      </c>
      <c r="G2134" s="2">
        <f t="shared" si="132"/>
        <v>145.29999999999998</v>
      </c>
      <c r="H2134" t="str">
        <f t="shared" si="133"/>
        <v>February</v>
      </c>
      <c r="I2134" t="str">
        <f t="shared" si="134"/>
        <v>Q1</v>
      </c>
      <c r="J2134" t="str">
        <f t="shared" si="135"/>
        <v>Large</v>
      </c>
    </row>
    <row r="2135" spans="1:10" x14ac:dyDescent="0.25">
      <c r="A2135" t="s">
        <v>49</v>
      </c>
      <c r="B2135" t="s">
        <v>15</v>
      </c>
      <c r="C2135" t="s">
        <v>32</v>
      </c>
      <c r="D2135" s="1">
        <v>45050</v>
      </c>
      <c r="E2135" s="2">
        <v>1355.65</v>
      </c>
      <c r="F2135">
        <v>60</v>
      </c>
      <c r="G2135" s="2">
        <f t="shared" si="132"/>
        <v>22.59416666666667</v>
      </c>
      <c r="H2135" t="str">
        <f t="shared" si="133"/>
        <v>May</v>
      </c>
      <c r="I2135" t="str">
        <f t="shared" si="134"/>
        <v>Q2</v>
      </c>
      <c r="J2135" t="str">
        <f t="shared" si="135"/>
        <v>Large</v>
      </c>
    </row>
    <row r="2136" spans="1:10" x14ac:dyDescent="0.25">
      <c r="A2136" t="s">
        <v>9</v>
      </c>
      <c r="B2136" t="s">
        <v>29</v>
      </c>
      <c r="C2136" t="s">
        <v>58</v>
      </c>
      <c r="D2136" s="1">
        <v>45079</v>
      </c>
      <c r="E2136" s="2">
        <v>7911.23</v>
      </c>
      <c r="F2136">
        <v>74</v>
      </c>
      <c r="G2136" s="2">
        <f t="shared" si="132"/>
        <v>106.90851351351351</v>
      </c>
      <c r="H2136" t="str">
        <f t="shared" si="133"/>
        <v>June</v>
      </c>
      <c r="I2136" t="str">
        <f t="shared" si="134"/>
        <v>Q2</v>
      </c>
      <c r="J2136" t="str">
        <f t="shared" si="135"/>
        <v>Large</v>
      </c>
    </row>
    <row r="2137" spans="1:10" x14ac:dyDescent="0.25">
      <c r="A2137" t="s">
        <v>43</v>
      </c>
      <c r="B2137" t="s">
        <v>26</v>
      </c>
      <c r="C2137" t="s">
        <v>57</v>
      </c>
      <c r="D2137" s="1">
        <v>45118</v>
      </c>
      <c r="E2137" s="2">
        <v>2583.0300000000002</v>
      </c>
      <c r="F2137">
        <v>501</v>
      </c>
      <c r="G2137" s="2">
        <f t="shared" si="132"/>
        <v>5.1557485029940127</v>
      </c>
      <c r="H2137" t="str">
        <f t="shared" si="133"/>
        <v>July</v>
      </c>
      <c r="I2137" t="str">
        <f t="shared" si="134"/>
        <v>Q3</v>
      </c>
      <c r="J2137" t="str">
        <f t="shared" si="135"/>
        <v>Large</v>
      </c>
    </row>
    <row r="2138" spans="1:10" x14ac:dyDescent="0.25">
      <c r="A2138" t="s">
        <v>34</v>
      </c>
      <c r="B2138" t="s">
        <v>21</v>
      </c>
      <c r="C2138" t="s">
        <v>39</v>
      </c>
      <c r="D2138" s="1">
        <v>45084</v>
      </c>
      <c r="E2138" s="2">
        <v>66.13</v>
      </c>
      <c r="F2138">
        <v>65</v>
      </c>
      <c r="G2138" s="2">
        <f t="shared" si="132"/>
        <v>1.0173846153846153</v>
      </c>
      <c r="H2138" t="str">
        <f t="shared" si="133"/>
        <v>June</v>
      </c>
      <c r="I2138" t="str">
        <f t="shared" si="134"/>
        <v>Q2</v>
      </c>
      <c r="J2138" t="str">
        <f t="shared" si="135"/>
        <v>Small</v>
      </c>
    </row>
    <row r="2139" spans="1:10" x14ac:dyDescent="0.25">
      <c r="A2139" t="s">
        <v>14</v>
      </c>
      <c r="B2139" t="s">
        <v>7</v>
      </c>
      <c r="C2139" t="s">
        <v>47</v>
      </c>
      <c r="D2139" s="1">
        <v>45113</v>
      </c>
      <c r="E2139" s="2">
        <v>10668.69</v>
      </c>
      <c r="F2139">
        <v>150</v>
      </c>
      <c r="G2139" s="2">
        <f t="shared" si="132"/>
        <v>71.124600000000001</v>
      </c>
      <c r="H2139" t="str">
        <f t="shared" si="133"/>
        <v>July</v>
      </c>
      <c r="I2139" t="str">
        <f t="shared" si="134"/>
        <v>Q3</v>
      </c>
      <c r="J2139" t="str">
        <f t="shared" si="135"/>
        <v>Large</v>
      </c>
    </row>
    <row r="2140" spans="1:10" x14ac:dyDescent="0.25">
      <c r="A2140" t="s">
        <v>40</v>
      </c>
      <c r="B2140" t="s">
        <v>10</v>
      </c>
      <c r="C2140" t="s">
        <v>51</v>
      </c>
      <c r="D2140" s="1">
        <v>45092</v>
      </c>
      <c r="E2140" s="2">
        <v>10994.3</v>
      </c>
      <c r="F2140">
        <v>152</v>
      </c>
      <c r="G2140" s="2">
        <f t="shared" si="132"/>
        <v>72.330921052631581</v>
      </c>
      <c r="H2140" t="str">
        <f t="shared" si="133"/>
        <v>June</v>
      </c>
      <c r="I2140" t="str">
        <f t="shared" si="134"/>
        <v>Q2</v>
      </c>
      <c r="J2140" t="str">
        <f t="shared" si="135"/>
        <v>Large</v>
      </c>
    </row>
    <row r="2141" spans="1:10" x14ac:dyDescent="0.25">
      <c r="A2141" t="s">
        <v>54</v>
      </c>
      <c r="B2141" t="s">
        <v>10</v>
      </c>
      <c r="C2141" t="s">
        <v>8</v>
      </c>
      <c r="D2141" s="1">
        <v>45030</v>
      </c>
      <c r="E2141" s="2">
        <v>1259.6099999999999</v>
      </c>
      <c r="F2141">
        <v>227</v>
      </c>
      <c r="G2141" s="2">
        <f t="shared" si="132"/>
        <v>5.548942731277533</v>
      </c>
      <c r="H2141" t="str">
        <f t="shared" si="133"/>
        <v>April</v>
      </c>
      <c r="I2141" t="str">
        <f t="shared" si="134"/>
        <v>Q2</v>
      </c>
      <c r="J2141" t="str">
        <f t="shared" si="135"/>
        <v>Large</v>
      </c>
    </row>
    <row r="2142" spans="1:10" x14ac:dyDescent="0.25">
      <c r="A2142" t="s">
        <v>50</v>
      </c>
      <c r="B2142" t="s">
        <v>10</v>
      </c>
      <c r="C2142" t="s">
        <v>32</v>
      </c>
      <c r="D2142" s="1">
        <v>45146</v>
      </c>
      <c r="E2142" s="2">
        <v>492.13</v>
      </c>
      <c r="F2142">
        <v>164</v>
      </c>
      <c r="G2142" s="2">
        <f t="shared" si="132"/>
        <v>3.0007926829268294</v>
      </c>
      <c r="H2142" t="str">
        <f t="shared" si="133"/>
        <v>August</v>
      </c>
      <c r="I2142" t="str">
        <f t="shared" si="134"/>
        <v>Q3</v>
      </c>
      <c r="J2142" t="str">
        <f t="shared" si="135"/>
        <v>Small</v>
      </c>
    </row>
    <row r="2143" spans="1:10" x14ac:dyDescent="0.25">
      <c r="A2143" t="s">
        <v>33</v>
      </c>
      <c r="B2143" t="s">
        <v>7</v>
      </c>
      <c r="C2143" t="s">
        <v>32</v>
      </c>
      <c r="D2143" s="1">
        <v>45014</v>
      </c>
      <c r="E2143" s="2">
        <v>1016.77</v>
      </c>
      <c r="F2143">
        <v>28</v>
      </c>
      <c r="G2143" s="2">
        <f t="shared" si="132"/>
        <v>36.313214285714288</v>
      </c>
      <c r="H2143" t="str">
        <f t="shared" si="133"/>
        <v>March</v>
      </c>
      <c r="I2143" t="str">
        <f t="shared" si="134"/>
        <v>Q1</v>
      </c>
      <c r="J2143" t="str">
        <f t="shared" si="135"/>
        <v>Large</v>
      </c>
    </row>
    <row r="2144" spans="1:10" x14ac:dyDescent="0.25">
      <c r="A2144" t="s">
        <v>36</v>
      </c>
      <c r="B2144" t="s">
        <v>15</v>
      </c>
      <c r="C2144" t="s">
        <v>35</v>
      </c>
      <c r="D2144" s="1">
        <v>45111</v>
      </c>
      <c r="E2144" s="2">
        <v>4111.42</v>
      </c>
      <c r="F2144">
        <v>81</v>
      </c>
      <c r="G2144" s="2">
        <f t="shared" si="132"/>
        <v>50.758271604938273</v>
      </c>
      <c r="H2144" t="str">
        <f t="shared" si="133"/>
        <v>July</v>
      </c>
      <c r="I2144" t="str">
        <f t="shared" si="134"/>
        <v>Q3</v>
      </c>
      <c r="J2144" t="str">
        <f t="shared" si="135"/>
        <v>Large</v>
      </c>
    </row>
    <row r="2145" spans="1:10" x14ac:dyDescent="0.25">
      <c r="A2145" t="s">
        <v>55</v>
      </c>
      <c r="B2145" t="s">
        <v>10</v>
      </c>
      <c r="C2145" t="s">
        <v>18</v>
      </c>
      <c r="D2145" s="1">
        <v>44973</v>
      </c>
      <c r="E2145" s="2">
        <v>503.97</v>
      </c>
      <c r="F2145">
        <v>105</v>
      </c>
      <c r="G2145" s="2">
        <f t="shared" si="132"/>
        <v>4.7997142857142858</v>
      </c>
      <c r="H2145" t="str">
        <f t="shared" si="133"/>
        <v>February</v>
      </c>
      <c r="I2145" t="str">
        <f t="shared" si="134"/>
        <v>Q1</v>
      </c>
      <c r="J2145" t="str">
        <f t="shared" si="135"/>
        <v>Large</v>
      </c>
    </row>
    <row r="2146" spans="1:10" x14ac:dyDescent="0.25">
      <c r="A2146" t="s">
        <v>24</v>
      </c>
      <c r="B2146" t="s">
        <v>29</v>
      </c>
      <c r="C2146" t="s">
        <v>39</v>
      </c>
      <c r="D2146" s="1">
        <v>45048</v>
      </c>
      <c r="E2146" s="2">
        <v>2883.71</v>
      </c>
      <c r="F2146">
        <v>163</v>
      </c>
      <c r="G2146" s="2">
        <f t="shared" si="132"/>
        <v>17.691472392638037</v>
      </c>
      <c r="H2146" t="str">
        <f t="shared" si="133"/>
        <v>May</v>
      </c>
      <c r="I2146" t="str">
        <f t="shared" si="134"/>
        <v>Q2</v>
      </c>
      <c r="J2146" t="str">
        <f t="shared" si="135"/>
        <v>Large</v>
      </c>
    </row>
    <row r="2147" spans="1:10" x14ac:dyDescent="0.25">
      <c r="A2147" t="s">
        <v>9</v>
      </c>
      <c r="B2147" t="s">
        <v>10</v>
      </c>
      <c r="C2147" t="s">
        <v>30</v>
      </c>
      <c r="D2147" s="1">
        <v>45128</v>
      </c>
      <c r="E2147" s="2">
        <v>11861.89</v>
      </c>
      <c r="F2147">
        <v>105</v>
      </c>
      <c r="G2147" s="2">
        <f t="shared" si="132"/>
        <v>112.97038095238095</v>
      </c>
      <c r="H2147" t="str">
        <f t="shared" si="133"/>
        <v>July</v>
      </c>
      <c r="I2147" t="str">
        <f t="shared" si="134"/>
        <v>Q3</v>
      </c>
      <c r="J2147" t="str">
        <f t="shared" si="135"/>
        <v>Large</v>
      </c>
    </row>
    <row r="2148" spans="1:10" x14ac:dyDescent="0.25">
      <c r="A2148" t="s">
        <v>19</v>
      </c>
      <c r="B2148" t="s">
        <v>15</v>
      </c>
      <c r="C2148" t="s">
        <v>18</v>
      </c>
      <c r="D2148" s="1">
        <v>45156</v>
      </c>
      <c r="E2148" s="2">
        <v>8564.73</v>
      </c>
      <c r="F2148">
        <v>237</v>
      </c>
      <c r="G2148" s="2">
        <f t="shared" si="132"/>
        <v>36.138101265822783</v>
      </c>
      <c r="H2148" t="str">
        <f t="shared" si="133"/>
        <v>August</v>
      </c>
      <c r="I2148" t="str">
        <f t="shared" si="134"/>
        <v>Q3</v>
      </c>
      <c r="J2148" t="str">
        <f t="shared" si="135"/>
        <v>Large</v>
      </c>
    </row>
    <row r="2149" spans="1:10" x14ac:dyDescent="0.25">
      <c r="A2149" t="s">
        <v>41</v>
      </c>
      <c r="B2149" t="s">
        <v>26</v>
      </c>
      <c r="C2149" t="s">
        <v>11</v>
      </c>
      <c r="D2149" s="1">
        <v>45099</v>
      </c>
      <c r="E2149" s="2">
        <v>538.03</v>
      </c>
      <c r="F2149">
        <v>271</v>
      </c>
      <c r="G2149" s="2">
        <f t="shared" si="132"/>
        <v>1.9853505535055349</v>
      </c>
      <c r="H2149" t="str">
        <f t="shared" si="133"/>
        <v>June</v>
      </c>
      <c r="I2149" t="str">
        <f t="shared" si="134"/>
        <v>Q2</v>
      </c>
      <c r="J2149" t="str">
        <f t="shared" si="135"/>
        <v>Large</v>
      </c>
    </row>
    <row r="2150" spans="1:10" x14ac:dyDescent="0.25">
      <c r="A2150" t="s">
        <v>50</v>
      </c>
      <c r="B2150" t="s">
        <v>7</v>
      </c>
      <c r="C2150" t="s">
        <v>13</v>
      </c>
      <c r="D2150" s="1">
        <v>45126</v>
      </c>
      <c r="E2150" s="2">
        <v>5231.88</v>
      </c>
      <c r="F2150">
        <v>125</v>
      </c>
      <c r="G2150" s="2">
        <f t="shared" si="132"/>
        <v>41.855040000000002</v>
      </c>
      <c r="H2150" t="str">
        <f t="shared" si="133"/>
        <v>July</v>
      </c>
      <c r="I2150" t="str">
        <f t="shared" si="134"/>
        <v>Q3</v>
      </c>
      <c r="J2150" t="str">
        <f t="shared" si="135"/>
        <v>Large</v>
      </c>
    </row>
    <row r="2151" spans="1:10" x14ac:dyDescent="0.25">
      <c r="A2151" t="s">
        <v>53</v>
      </c>
      <c r="B2151" t="s">
        <v>7</v>
      </c>
      <c r="C2151" t="s">
        <v>13</v>
      </c>
      <c r="D2151" s="1">
        <v>45150</v>
      </c>
      <c r="E2151" s="2">
        <v>7916.13</v>
      </c>
      <c r="F2151">
        <v>84</v>
      </c>
      <c r="G2151" s="2">
        <f t="shared" si="132"/>
        <v>94.239642857142854</v>
      </c>
      <c r="H2151" t="str">
        <f t="shared" si="133"/>
        <v>August</v>
      </c>
      <c r="I2151" t="str">
        <f t="shared" si="134"/>
        <v>Q3</v>
      </c>
      <c r="J2151" t="str">
        <f t="shared" si="135"/>
        <v>Large</v>
      </c>
    </row>
    <row r="2152" spans="1:10" x14ac:dyDescent="0.25">
      <c r="A2152" t="s">
        <v>53</v>
      </c>
      <c r="B2152" t="s">
        <v>26</v>
      </c>
      <c r="C2152" t="s">
        <v>52</v>
      </c>
      <c r="D2152" s="1">
        <v>45084</v>
      </c>
      <c r="E2152" s="2">
        <v>6016.32</v>
      </c>
      <c r="F2152">
        <v>143</v>
      </c>
      <c r="G2152" s="2">
        <f t="shared" si="132"/>
        <v>42.072167832167828</v>
      </c>
      <c r="H2152" t="str">
        <f t="shared" si="133"/>
        <v>June</v>
      </c>
      <c r="I2152" t="str">
        <f t="shared" si="134"/>
        <v>Q2</v>
      </c>
      <c r="J2152" t="str">
        <f t="shared" si="135"/>
        <v>Large</v>
      </c>
    </row>
    <row r="2153" spans="1:10" x14ac:dyDescent="0.25">
      <c r="A2153" t="s">
        <v>33</v>
      </c>
      <c r="B2153" t="s">
        <v>29</v>
      </c>
      <c r="C2153" t="s">
        <v>13</v>
      </c>
      <c r="D2153" s="1">
        <v>44993</v>
      </c>
      <c r="E2153" s="2">
        <v>7504.86</v>
      </c>
      <c r="F2153">
        <v>97</v>
      </c>
      <c r="G2153" s="2">
        <f t="shared" si="132"/>
        <v>77.369690721649476</v>
      </c>
      <c r="H2153" t="str">
        <f t="shared" si="133"/>
        <v>March</v>
      </c>
      <c r="I2153" t="str">
        <f t="shared" si="134"/>
        <v>Q1</v>
      </c>
      <c r="J2153" t="str">
        <f t="shared" si="135"/>
        <v>Large</v>
      </c>
    </row>
    <row r="2154" spans="1:10" x14ac:dyDescent="0.25">
      <c r="A2154" t="s">
        <v>55</v>
      </c>
      <c r="B2154" t="s">
        <v>15</v>
      </c>
      <c r="C2154" t="s">
        <v>52</v>
      </c>
      <c r="D2154" s="1">
        <v>45024</v>
      </c>
      <c r="E2154" s="2">
        <v>1590.98</v>
      </c>
      <c r="F2154">
        <v>182</v>
      </c>
      <c r="G2154" s="2">
        <f t="shared" si="132"/>
        <v>8.741648351648351</v>
      </c>
      <c r="H2154" t="str">
        <f t="shared" si="133"/>
        <v>April</v>
      </c>
      <c r="I2154" t="str">
        <f t="shared" si="134"/>
        <v>Q2</v>
      </c>
      <c r="J2154" t="str">
        <f t="shared" si="135"/>
        <v>Large</v>
      </c>
    </row>
    <row r="2155" spans="1:10" x14ac:dyDescent="0.25">
      <c r="A2155" t="s">
        <v>38</v>
      </c>
      <c r="B2155" t="s">
        <v>29</v>
      </c>
      <c r="C2155" t="s">
        <v>30</v>
      </c>
      <c r="D2155" s="1">
        <v>45052</v>
      </c>
      <c r="E2155" s="2">
        <v>740.07</v>
      </c>
      <c r="F2155">
        <v>205</v>
      </c>
      <c r="G2155" s="2">
        <f t="shared" si="132"/>
        <v>3.6100975609756101</v>
      </c>
      <c r="H2155" t="str">
        <f t="shared" si="133"/>
        <v>May</v>
      </c>
      <c r="I2155" t="str">
        <f t="shared" si="134"/>
        <v>Q2</v>
      </c>
      <c r="J2155" t="str">
        <f t="shared" si="135"/>
        <v>Large</v>
      </c>
    </row>
    <row r="2156" spans="1:10" x14ac:dyDescent="0.25">
      <c r="A2156" t="s">
        <v>36</v>
      </c>
      <c r="B2156" t="s">
        <v>10</v>
      </c>
      <c r="C2156" t="s">
        <v>32</v>
      </c>
      <c r="D2156" s="1">
        <v>45077</v>
      </c>
      <c r="E2156" s="2">
        <v>4591.1099999999997</v>
      </c>
      <c r="F2156">
        <v>11</v>
      </c>
      <c r="G2156" s="2">
        <f t="shared" si="132"/>
        <v>417.37363636363631</v>
      </c>
      <c r="H2156" t="str">
        <f t="shared" si="133"/>
        <v>May</v>
      </c>
      <c r="I2156" t="str">
        <f t="shared" si="134"/>
        <v>Q2</v>
      </c>
      <c r="J2156" t="str">
        <f t="shared" si="135"/>
        <v>Large</v>
      </c>
    </row>
    <row r="2157" spans="1:10" x14ac:dyDescent="0.25">
      <c r="A2157" t="s">
        <v>9</v>
      </c>
      <c r="B2157" t="s">
        <v>15</v>
      </c>
      <c r="C2157" t="s">
        <v>8</v>
      </c>
      <c r="D2157" s="1">
        <v>44939</v>
      </c>
      <c r="E2157" s="2">
        <v>2686.51</v>
      </c>
      <c r="F2157">
        <v>324</v>
      </c>
      <c r="G2157" s="2">
        <f t="shared" si="132"/>
        <v>8.291697530864198</v>
      </c>
      <c r="H2157" t="str">
        <f t="shared" si="133"/>
        <v>January</v>
      </c>
      <c r="I2157" t="str">
        <f t="shared" si="134"/>
        <v>Q1</v>
      </c>
      <c r="J2157" t="str">
        <f t="shared" si="135"/>
        <v>Large</v>
      </c>
    </row>
    <row r="2158" spans="1:10" x14ac:dyDescent="0.25">
      <c r="A2158" t="s">
        <v>43</v>
      </c>
      <c r="B2158" t="s">
        <v>26</v>
      </c>
      <c r="C2158" t="s">
        <v>58</v>
      </c>
      <c r="D2158" s="1">
        <v>45000</v>
      </c>
      <c r="E2158" s="2">
        <v>735.48</v>
      </c>
      <c r="F2158">
        <v>77</v>
      </c>
      <c r="G2158" s="2">
        <f t="shared" si="132"/>
        <v>9.5516883116883111</v>
      </c>
      <c r="H2158" t="str">
        <f t="shared" si="133"/>
        <v>March</v>
      </c>
      <c r="I2158" t="str">
        <f t="shared" si="134"/>
        <v>Q1</v>
      </c>
      <c r="J2158" t="str">
        <f t="shared" si="135"/>
        <v>Large</v>
      </c>
    </row>
    <row r="2159" spans="1:10" x14ac:dyDescent="0.25">
      <c r="A2159" t="s">
        <v>48</v>
      </c>
      <c r="B2159" t="s">
        <v>29</v>
      </c>
      <c r="C2159" t="s">
        <v>13</v>
      </c>
      <c r="D2159" s="1">
        <v>44973</v>
      </c>
      <c r="E2159" s="2">
        <v>1160.54</v>
      </c>
      <c r="F2159">
        <v>311</v>
      </c>
      <c r="G2159" s="2">
        <f t="shared" si="132"/>
        <v>3.7316398713826366</v>
      </c>
      <c r="H2159" t="str">
        <f t="shared" si="133"/>
        <v>February</v>
      </c>
      <c r="I2159" t="str">
        <f t="shared" si="134"/>
        <v>Q1</v>
      </c>
      <c r="J2159" t="str">
        <f t="shared" si="135"/>
        <v>Large</v>
      </c>
    </row>
    <row r="2160" spans="1:10" x14ac:dyDescent="0.25">
      <c r="A2160" t="s">
        <v>12</v>
      </c>
      <c r="B2160" t="s">
        <v>26</v>
      </c>
      <c r="C2160" t="s">
        <v>58</v>
      </c>
      <c r="D2160" s="1">
        <v>44940</v>
      </c>
      <c r="E2160" s="2">
        <v>8078.15</v>
      </c>
      <c r="F2160">
        <v>189</v>
      </c>
      <c r="G2160" s="2">
        <f t="shared" si="132"/>
        <v>42.741534391534387</v>
      </c>
      <c r="H2160" t="str">
        <f t="shared" si="133"/>
        <v>January</v>
      </c>
      <c r="I2160" t="str">
        <f t="shared" si="134"/>
        <v>Q1</v>
      </c>
      <c r="J2160" t="str">
        <f t="shared" si="135"/>
        <v>Large</v>
      </c>
    </row>
    <row r="2161" spans="1:10" x14ac:dyDescent="0.25">
      <c r="A2161" t="s">
        <v>24</v>
      </c>
      <c r="B2161" t="s">
        <v>15</v>
      </c>
      <c r="C2161" t="s">
        <v>44</v>
      </c>
      <c r="D2161" s="1">
        <v>45006</v>
      </c>
      <c r="E2161" s="2">
        <v>7467.74</v>
      </c>
      <c r="F2161">
        <v>111</v>
      </c>
      <c r="G2161" s="2">
        <f t="shared" si="132"/>
        <v>67.276936936936934</v>
      </c>
      <c r="H2161" t="str">
        <f t="shared" si="133"/>
        <v>March</v>
      </c>
      <c r="I2161" t="str">
        <f t="shared" si="134"/>
        <v>Q1</v>
      </c>
      <c r="J2161" t="str">
        <f t="shared" si="135"/>
        <v>Large</v>
      </c>
    </row>
    <row r="2162" spans="1:10" x14ac:dyDescent="0.25">
      <c r="A2162" t="s">
        <v>36</v>
      </c>
      <c r="B2162" t="s">
        <v>29</v>
      </c>
      <c r="C2162" t="s">
        <v>32</v>
      </c>
      <c r="D2162" s="1">
        <v>45063</v>
      </c>
      <c r="E2162" s="2">
        <v>7588.41</v>
      </c>
      <c r="F2162">
        <v>342</v>
      </c>
      <c r="G2162" s="2">
        <f t="shared" si="132"/>
        <v>22.188333333333333</v>
      </c>
      <c r="H2162" t="str">
        <f t="shared" si="133"/>
        <v>May</v>
      </c>
      <c r="I2162" t="str">
        <f t="shared" si="134"/>
        <v>Q2</v>
      </c>
      <c r="J2162" t="str">
        <f t="shared" si="135"/>
        <v>Large</v>
      </c>
    </row>
    <row r="2163" spans="1:10" x14ac:dyDescent="0.25">
      <c r="A2163" t="s">
        <v>50</v>
      </c>
      <c r="B2163" t="s">
        <v>21</v>
      </c>
      <c r="C2163" t="s">
        <v>11</v>
      </c>
      <c r="D2163" s="1">
        <v>45146</v>
      </c>
      <c r="E2163" s="2">
        <v>15372.54</v>
      </c>
      <c r="F2163">
        <v>57</v>
      </c>
      <c r="G2163" s="2">
        <f t="shared" si="132"/>
        <v>269.69368421052633</v>
      </c>
      <c r="H2163" t="str">
        <f t="shared" si="133"/>
        <v>August</v>
      </c>
      <c r="I2163" t="str">
        <f t="shared" si="134"/>
        <v>Q3</v>
      </c>
      <c r="J2163" t="str">
        <f t="shared" si="135"/>
        <v>Large</v>
      </c>
    </row>
    <row r="2164" spans="1:10" x14ac:dyDescent="0.25">
      <c r="A2164" t="s">
        <v>53</v>
      </c>
      <c r="B2164" t="s">
        <v>29</v>
      </c>
      <c r="C2164" t="s">
        <v>37</v>
      </c>
      <c r="D2164" s="1">
        <v>45042</v>
      </c>
      <c r="E2164" s="2">
        <v>3907.5</v>
      </c>
      <c r="F2164">
        <v>86</v>
      </c>
      <c r="G2164" s="2">
        <f t="shared" si="132"/>
        <v>45.436046511627907</v>
      </c>
      <c r="H2164" t="str">
        <f t="shared" si="133"/>
        <v>April</v>
      </c>
      <c r="I2164" t="str">
        <f t="shared" si="134"/>
        <v>Q2</v>
      </c>
      <c r="J2164" t="str">
        <f t="shared" si="135"/>
        <v>Large</v>
      </c>
    </row>
    <row r="2165" spans="1:10" x14ac:dyDescent="0.25">
      <c r="A2165" t="s">
        <v>53</v>
      </c>
      <c r="B2165" t="s">
        <v>15</v>
      </c>
      <c r="C2165" t="s">
        <v>58</v>
      </c>
      <c r="D2165" s="1">
        <v>45031</v>
      </c>
      <c r="E2165" s="2">
        <v>3740.76</v>
      </c>
      <c r="F2165">
        <v>255</v>
      </c>
      <c r="G2165" s="2">
        <f t="shared" si="132"/>
        <v>14.66964705882353</v>
      </c>
      <c r="H2165" t="str">
        <f t="shared" si="133"/>
        <v>April</v>
      </c>
      <c r="I2165" t="str">
        <f t="shared" si="134"/>
        <v>Q2</v>
      </c>
      <c r="J2165" t="str">
        <f t="shared" si="135"/>
        <v>Large</v>
      </c>
    </row>
    <row r="2166" spans="1:10" x14ac:dyDescent="0.25">
      <c r="A2166" t="s">
        <v>17</v>
      </c>
      <c r="B2166" t="s">
        <v>29</v>
      </c>
      <c r="C2166" t="s">
        <v>30</v>
      </c>
      <c r="D2166" s="1">
        <v>45065</v>
      </c>
      <c r="E2166" s="2">
        <v>6211.75</v>
      </c>
      <c r="F2166">
        <v>561</v>
      </c>
      <c r="G2166" s="2">
        <f t="shared" si="132"/>
        <v>11.072638146167558</v>
      </c>
      <c r="H2166" t="str">
        <f t="shared" si="133"/>
        <v>May</v>
      </c>
      <c r="I2166" t="str">
        <f t="shared" si="134"/>
        <v>Q2</v>
      </c>
      <c r="J2166" t="str">
        <f t="shared" si="135"/>
        <v>Large</v>
      </c>
    </row>
    <row r="2167" spans="1:10" x14ac:dyDescent="0.25">
      <c r="A2167" t="s">
        <v>43</v>
      </c>
      <c r="B2167" t="s">
        <v>29</v>
      </c>
      <c r="C2167" t="s">
        <v>32</v>
      </c>
      <c r="D2167" s="1">
        <v>44936</v>
      </c>
      <c r="E2167" s="2">
        <v>2924.46</v>
      </c>
      <c r="F2167">
        <v>25</v>
      </c>
      <c r="G2167" s="2">
        <f t="shared" si="132"/>
        <v>116.97840000000001</v>
      </c>
      <c r="H2167" t="str">
        <f t="shared" si="133"/>
        <v>January</v>
      </c>
      <c r="I2167" t="str">
        <f t="shared" si="134"/>
        <v>Q1</v>
      </c>
      <c r="J2167" t="str">
        <f t="shared" si="135"/>
        <v>Large</v>
      </c>
    </row>
    <row r="2168" spans="1:10" x14ac:dyDescent="0.25">
      <c r="A2168" t="s">
        <v>28</v>
      </c>
      <c r="B2168" t="s">
        <v>21</v>
      </c>
      <c r="C2168" t="s">
        <v>20</v>
      </c>
      <c r="D2168" s="1">
        <v>45050</v>
      </c>
      <c r="E2168" s="2">
        <v>501.79</v>
      </c>
      <c r="F2168">
        <v>241</v>
      </c>
      <c r="G2168" s="2">
        <f t="shared" si="132"/>
        <v>2.082116182572614</v>
      </c>
      <c r="H2168" t="str">
        <f t="shared" si="133"/>
        <v>May</v>
      </c>
      <c r="I2168" t="str">
        <f t="shared" si="134"/>
        <v>Q2</v>
      </c>
      <c r="J2168" t="str">
        <f t="shared" si="135"/>
        <v>Large</v>
      </c>
    </row>
    <row r="2169" spans="1:10" x14ac:dyDescent="0.25">
      <c r="A2169" t="s">
        <v>36</v>
      </c>
      <c r="B2169" t="s">
        <v>29</v>
      </c>
      <c r="C2169" t="s">
        <v>44</v>
      </c>
      <c r="D2169" s="1">
        <v>45021</v>
      </c>
      <c r="E2169" s="2">
        <v>6594.09</v>
      </c>
      <c r="F2169">
        <v>270</v>
      </c>
      <c r="G2169" s="2">
        <f t="shared" si="132"/>
        <v>24.422555555555554</v>
      </c>
      <c r="H2169" t="str">
        <f t="shared" si="133"/>
        <v>April</v>
      </c>
      <c r="I2169" t="str">
        <f t="shared" si="134"/>
        <v>Q2</v>
      </c>
      <c r="J2169" t="str">
        <f t="shared" si="135"/>
        <v>Large</v>
      </c>
    </row>
    <row r="2170" spans="1:10" x14ac:dyDescent="0.25">
      <c r="A2170" t="s">
        <v>48</v>
      </c>
      <c r="B2170" t="s">
        <v>10</v>
      </c>
      <c r="C2170" t="s">
        <v>20</v>
      </c>
      <c r="D2170" s="1">
        <v>44943</v>
      </c>
      <c r="E2170" s="2">
        <v>960.68</v>
      </c>
      <c r="F2170">
        <v>71</v>
      </c>
      <c r="G2170" s="2">
        <f t="shared" si="132"/>
        <v>13.530704225352112</v>
      </c>
      <c r="H2170" t="str">
        <f t="shared" si="133"/>
        <v>January</v>
      </c>
      <c r="I2170" t="str">
        <f t="shared" si="134"/>
        <v>Q1</v>
      </c>
      <c r="J2170" t="str">
        <f t="shared" si="135"/>
        <v>Large</v>
      </c>
    </row>
    <row r="2171" spans="1:10" x14ac:dyDescent="0.25">
      <c r="A2171" t="s">
        <v>36</v>
      </c>
      <c r="B2171" t="s">
        <v>10</v>
      </c>
      <c r="C2171" t="s">
        <v>39</v>
      </c>
      <c r="D2171" s="1">
        <v>45007</v>
      </c>
      <c r="E2171" s="2">
        <v>11370.32</v>
      </c>
      <c r="F2171">
        <v>170</v>
      </c>
      <c r="G2171" s="2">
        <f t="shared" si="132"/>
        <v>66.884235294117644</v>
      </c>
      <c r="H2171" t="str">
        <f t="shared" si="133"/>
        <v>March</v>
      </c>
      <c r="I2171" t="str">
        <f t="shared" si="134"/>
        <v>Q1</v>
      </c>
      <c r="J2171" t="str">
        <f t="shared" si="135"/>
        <v>Large</v>
      </c>
    </row>
    <row r="2172" spans="1:10" x14ac:dyDescent="0.25">
      <c r="A2172" t="s">
        <v>54</v>
      </c>
      <c r="B2172" t="s">
        <v>15</v>
      </c>
      <c r="C2172" t="s">
        <v>44</v>
      </c>
      <c r="D2172" s="1">
        <v>45112</v>
      </c>
      <c r="E2172" s="2">
        <v>6067.94</v>
      </c>
      <c r="F2172">
        <v>94</v>
      </c>
      <c r="G2172" s="2">
        <f t="shared" si="132"/>
        <v>64.552553191489352</v>
      </c>
      <c r="H2172" t="str">
        <f t="shared" si="133"/>
        <v>July</v>
      </c>
      <c r="I2172" t="str">
        <f t="shared" si="134"/>
        <v>Q3</v>
      </c>
      <c r="J2172" t="str">
        <f t="shared" si="135"/>
        <v>Large</v>
      </c>
    </row>
    <row r="2173" spans="1:10" x14ac:dyDescent="0.25">
      <c r="A2173" t="s">
        <v>17</v>
      </c>
      <c r="B2173" t="s">
        <v>29</v>
      </c>
      <c r="C2173" t="s">
        <v>27</v>
      </c>
      <c r="D2173" s="1">
        <v>45043</v>
      </c>
      <c r="E2173" s="2">
        <v>8909.75</v>
      </c>
      <c r="F2173">
        <v>355</v>
      </c>
      <c r="G2173" s="2">
        <f t="shared" si="132"/>
        <v>25.097887323943663</v>
      </c>
      <c r="H2173" t="str">
        <f t="shared" si="133"/>
        <v>April</v>
      </c>
      <c r="I2173" t="str">
        <f t="shared" si="134"/>
        <v>Q2</v>
      </c>
      <c r="J2173" t="str">
        <f t="shared" si="135"/>
        <v>Large</v>
      </c>
    </row>
    <row r="2174" spans="1:10" x14ac:dyDescent="0.25">
      <c r="A2174" t="s">
        <v>41</v>
      </c>
      <c r="B2174" t="s">
        <v>29</v>
      </c>
      <c r="C2174" t="s">
        <v>47</v>
      </c>
      <c r="D2174" s="1">
        <v>45150</v>
      </c>
      <c r="E2174" s="2">
        <v>6865.35</v>
      </c>
      <c r="F2174">
        <v>75</v>
      </c>
      <c r="G2174" s="2">
        <f t="shared" si="132"/>
        <v>91.538000000000011</v>
      </c>
      <c r="H2174" t="str">
        <f t="shared" si="133"/>
        <v>August</v>
      </c>
      <c r="I2174" t="str">
        <f t="shared" si="134"/>
        <v>Q3</v>
      </c>
      <c r="J2174" t="str">
        <f t="shared" si="135"/>
        <v>Large</v>
      </c>
    </row>
    <row r="2175" spans="1:10" x14ac:dyDescent="0.25">
      <c r="A2175" t="s">
        <v>14</v>
      </c>
      <c r="B2175" t="s">
        <v>7</v>
      </c>
      <c r="C2175" t="s">
        <v>56</v>
      </c>
      <c r="D2175" s="1">
        <v>44996</v>
      </c>
      <c r="E2175" s="2">
        <v>805.23</v>
      </c>
      <c r="F2175">
        <v>259</v>
      </c>
      <c r="G2175" s="2">
        <f t="shared" si="132"/>
        <v>3.1089961389961389</v>
      </c>
      <c r="H2175" t="str">
        <f t="shared" si="133"/>
        <v>March</v>
      </c>
      <c r="I2175" t="str">
        <f t="shared" si="134"/>
        <v>Q1</v>
      </c>
      <c r="J2175" t="str">
        <f t="shared" si="135"/>
        <v>Large</v>
      </c>
    </row>
    <row r="2176" spans="1:10" x14ac:dyDescent="0.25">
      <c r="A2176" t="s">
        <v>6</v>
      </c>
      <c r="B2176" t="s">
        <v>7</v>
      </c>
      <c r="C2176" t="s">
        <v>42</v>
      </c>
      <c r="D2176" s="1">
        <v>45059</v>
      </c>
      <c r="E2176" s="2">
        <v>9851.6200000000008</v>
      </c>
      <c r="F2176">
        <v>221</v>
      </c>
      <c r="G2176" s="2">
        <f t="shared" si="132"/>
        <v>44.577466063348417</v>
      </c>
      <c r="H2176" t="str">
        <f t="shared" si="133"/>
        <v>May</v>
      </c>
      <c r="I2176" t="str">
        <f t="shared" si="134"/>
        <v>Q2</v>
      </c>
      <c r="J2176" t="str">
        <f t="shared" si="135"/>
        <v>Large</v>
      </c>
    </row>
    <row r="2177" spans="1:10" x14ac:dyDescent="0.25">
      <c r="A2177" t="s">
        <v>43</v>
      </c>
      <c r="B2177" t="s">
        <v>26</v>
      </c>
      <c r="C2177" t="s">
        <v>16</v>
      </c>
      <c r="D2177" s="1">
        <v>45058</v>
      </c>
      <c r="E2177" s="2">
        <v>11823.35</v>
      </c>
      <c r="F2177">
        <v>90</v>
      </c>
      <c r="G2177" s="2">
        <f t="shared" si="132"/>
        <v>131.37055555555557</v>
      </c>
      <c r="H2177" t="str">
        <f t="shared" si="133"/>
        <v>May</v>
      </c>
      <c r="I2177" t="str">
        <f t="shared" si="134"/>
        <v>Q2</v>
      </c>
      <c r="J2177" t="str">
        <f t="shared" si="135"/>
        <v>Large</v>
      </c>
    </row>
    <row r="2178" spans="1:10" x14ac:dyDescent="0.25">
      <c r="A2178" t="s">
        <v>23</v>
      </c>
      <c r="B2178" t="s">
        <v>26</v>
      </c>
      <c r="C2178" t="s">
        <v>51</v>
      </c>
      <c r="D2178" s="1">
        <v>44938</v>
      </c>
      <c r="E2178" s="2">
        <v>683.63</v>
      </c>
      <c r="F2178">
        <v>202</v>
      </c>
      <c r="G2178" s="2">
        <f t="shared" si="132"/>
        <v>3.3843069306930693</v>
      </c>
      <c r="H2178" t="str">
        <f t="shared" si="133"/>
        <v>January</v>
      </c>
      <c r="I2178" t="str">
        <f t="shared" si="134"/>
        <v>Q1</v>
      </c>
      <c r="J2178" t="str">
        <f t="shared" si="135"/>
        <v>Large</v>
      </c>
    </row>
    <row r="2179" spans="1:10" x14ac:dyDescent="0.25">
      <c r="A2179" t="s">
        <v>53</v>
      </c>
      <c r="B2179" t="s">
        <v>21</v>
      </c>
      <c r="C2179" t="s">
        <v>37</v>
      </c>
      <c r="D2179" s="1">
        <v>45014</v>
      </c>
      <c r="E2179" s="2">
        <v>14002.42</v>
      </c>
      <c r="F2179">
        <v>388</v>
      </c>
      <c r="G2179" s="2">
        <f t="shared" ref="G2179:G2242" si="136">E2179/F2179</f>
        <v>36.088711340206189</v>
      </c>
      <c r="H2179" t="str">
        <f t="shared" ref="H2179:H2242" si="137">TEXT(D2179, "mmmm")</f>
        <v>March</v>
      </c>
      <c r="I2179" t="str">
        <f t="shared" ref="I2179:I2242" si="138">"Q" &amp; ROUNDUP(MONTH(D2179)/3,0)</f>
        <v>Q1</v>
      </c>
      <c r="J2179" t="str">
        <f t="shared" ref="J2179:J2242" si="139">IF(E2179 &gt; 500, "Large", "Small")</f>
        <v>Large</v>
      </c>
    </row>
    <row r="2180" spans="1:10" x14ac:dyDescent="0.25">
      <c r="A2180" t="s">
        <v>36</v>
      </c>
      <c r="B2180" t="s">
        <v>10</v>
      </c>
      <c r="C2180" t="s">
        <v>22</v>
      </c>
      <c r="D2180" s="1">
        <v>44999</v>
      </c>
      <c r="E2180" s="2">
        <v>8744.9500000000007</v>
      </c>
      <c r="F2180">
        <v>12</v>
      </c>
      <c r="G2180" s="2">
        <f t="shared" si="136"/>
        <v>728.74583333333339</v>
      </c>
      <c r="H2180" t="str">
        <f t="shared" si="137"/>
        <v>March</v>
      </c>
      <c r="I2180" t="str">
        <f t="shared" si="138"/>
        <v>Q1</v>
      </c>
      <c r="J2180" t="str">
        <f t="shared" si="139"/>
        <v>Large</v>
      </c>
    </row>
    <row r="2181" spans="1:10" x14ac:dyDescent="0.25">
      <c r="A2181" t="s">
        <v>25</v>
      </c>
      <c r="B2181" t="s">
        <v>21</v>
      </c>
      <c r="C2181" t="s">
        <v>18</v>
      </c>
      <c r="D2181" s="1">
        <v>45070</v>
      </c>
      <c r="E2181" s="2">
        <v>9294.14</v>
      </c>
      <c r="F2181">
        <v>201</v>
      </c>
      <c r="G2181" s="2">
        <f t="shared" si="136"/>
        <v>46.239502487562184</v>
      </c>
      <c r="H2181" t="str">
        <f t="shared" si="137"/>
        <v>May</v>
      </c>
      <c r="I2181" t="str">
        <f t="shared" si="138"/>
        <v>Q2</v>
      </c>
      <c r="J2181" t="str">
        <f t="shared" si="139"/>
        <v>Large</v>
      </c>
    </row>
    <row r="2182" spans="1:10" x14ac:dyDescent="0.25">
      <c r="A2182" t="s">
        <v>43</v>
      </c>
      <c r="B2182" t="s">
        <v>29</v>
      </c>
      <c r="C2182" t="s">
        <v>35</v>
      </c>
      <c r="D2182" s="1">
        <v>44954</v>
      </c>
      <c r="E2182" s="2">
        <v>8831.89</v>
      </c>
      <c r="F2182">
        <v>79</v>
      </c>
      <c r="G2182" s="2">
        <f t="shared" si="136"/>
        <v>111.79607594936708</v>
      </c>
      <c r="H2182" t="str">
        <f t="shared" si="137"/>
        <v>January</v>
      </c>
      <c r="I2182" t="str">
        <f t="shared" si="138"/>
        <v>Q1</v>
      </c>
      <c r="J2182" t="str">
        <f t="shared" si="139"/>
        <v>Large</v>
      </c>
    </row>
    <row r="2183" spans="1:10" x14ac:dyDescent="0.25">
      <c r="A2183" t="s">
        <v>34</v>
      </c>
      <c r="B2183" t="s">
        <v>10</v>
      </c>
      <c r="C2183" t="s">
        <v>47</v>
      </c>
      <c r="D2183" s="1">
        <v>45070</v>
      </c>
      <c r="E2183" s="2">
        <v>3474.98</v>
      </c>
      <c r="F2183">
        <v>104</v>
      </c>
      <c r="G2183" s="2">
        <f t="shared" si="136"/>
        <v>33.413269230769231</v>
      </c>
      <c r="H2183" t="str">
        <f t="shared" si="137"/>
        <v>May</v>
      </c>
      <c r="I2183" t="str">
        <f t="shared" si="138"/>
        <v>Q2</v>
      </c>
      <c r="J2183" t="str">
        <f t="shared" si="139"/>
        <v>Large</v>
      </c>
    </row>
    <row r="2184" spans="1:10" x14ac:dyDescent="0.25">
      <c r="A2184" t="s">
        <v>23</v>
      </c>
      <c r="B2184" t="s">
        <v>15</v>
      </c>
      <c r="C2184" t="s">
        <v>13</v>
      </c>
      <c r="D2184" s="1">
        <v>45157</v>
      </c>
      <c r="E2184" s="2">
        <v>311.61</v>
      </c>
      <c r="F2184">
        <v>204</v>
      </c>
      <c r="G2184" s="2">
        <f t="shared" si="136"/>
        <v>1.5275000000000001</v>
      </c>
      <c r="H2184" t="str">
        <f t="shared" si="137"/>
        <v>August</v>
      </c>
      <c r="I2184" t="str">
        <f t="shared" si="138"/>
        <v>Q3</v>
      </c>
      <c r="J2184" t="str">
        <f t="shared" si="139"/>
        <v>Small</v>
      </c>
    </row>
    <row r="2185" spans="1:10" x14ac:dyDescent="0.25">
      <c r="A2185" t="s">
        <v>31</v>
      </c>
      <c r="B2185" t="s">
        <v>15</v>
      </c>
      <c r="C2185" t="s">
        <v>39</v>
      </c>
      <c r="D2185" s="1">
        <v>45063</v>
      </c>
      <c r="E2185" s="2">
        <v>4791.2</v>
      </c>
      <c r="F2185">
        <v>335</v>
      </c>
      <c r="G2185" s="2">
        <f t="shared" si="136"/>
        <v>14.302089552238806</v>
      </c>
      <c r="H2185" t="str">
        <f t="shared" si="137"/>
        <v>May</v>
      </c>
      <c r="I2185" t="str">
        <f t="shared" si="138"/>
        <v>Q2</v>
      </c>
      <c r="J2185" t="str">
        <f t="shared" si="139"/>
        <v>Large</v>
      </c>
    </row>
    <row r="2186" spans="1:10" x14ac:dyDescent="0.25">
      <c r="A2186" t="s">
        <v>6</v>
      </c>
      <c r="B2186" t="s">
        <v>26</v>
      </c>
      <c r="C2186" t="s">
        <v>44</v>
      </c>
      <c r="D2186" s="1">
        <v>45084</v>
      </c>
      <c r="E2186" s="2">
        <v>6646.33</v>
      </c>
      <c r="F2186">
        <v>117</v>
      </c>
      <c r="G2186" s="2">
        <f t="shared" si="136"/>
        <v>56.806239316239314</v>
      </c>
      <c r="H2186" t="str">
        <f t="shared" si="137"/>
        <v>June</v>
      </c>
      <c r="I2186" t="str">
        <f t="shared" si="138"/>
        <v>Q2</v>
      </c>
      <c r="J2186" t="str">
        <f t="shared" si="139"/>
        <v>Large</v>
      </c>
    </row>
    <row r="2187" spans="1:10" x14ac:dyDescent="0.25">
      <c r="A2187" t="s">
        <v>55</v>
      </c>
      <c r="B2187" t="s">
        <v>29</v>
      </c>
      <c r="C2187" t="s">
        <v>35</v>
      </c>
      <c r="D2187" s="1">
        <v>45133</v>
      </c>
      <c r="E2187" s="2">
        <v>593.63</v>
      </c>
      <c r="F2187">
        <v>229</v>
      </c>
      <c r="G2187" s="2">
        <f t="shared" si="136"/>
        <v>2.5922707423580786</v>
      </c>
      <c r="H2187" t="str">
        <f t="shared" si="137"/>
        <v>July</v>
      </c>
      <c r="I2187" t="str">
        <f t="shared" si="138"/>
        <v>Q3</v>
      </c>
      <c r="J2187" t="str">
        <f t="shared" si="139"/>
        <v>Large</v>
      </c>
    </row>
    <row r="2188" spans="1:10" x14ac:dyDescent="0.25">
      <c r="A2188" t="s">
        <v>54</v>
      </c>
      <c r="B2188" t="s">
        <v>10</v>
      </c>
      <c r="C2188" t="s">
        <v>30</v>
      </c>
      <c r="D2188" s="1">
        <v>45135</v>
      </c>
      <c r="E2188" s="2">
        <v>2345.9499999999998</v>
      </c>
      <c r="F2188">
        <v>406</v>
      </c>
      <c r="G2188" s="2">
        <f t="shared" si="136"/>
        <v>5.7782019704433489</v>
      </c>
      <c r="H2188" t="str">
        <f t="shared" si="137"/>
        <v>July</v>
      </c>
      <c r="I2188" t="str">
        <f t="shared" si="138"/>
        <v>Q3</v>
      </c>
      <c r="J2188" t="str">
        <f t="shared" si="139"/>
        <v>Large</v>
      </c>
    </row>
    <row r="2189" spans="1:10" x14ac:dyDescent="0.25">
      <c r="A2189" t="s">
        <v>31</v>
      </c>
      <c r="B2189" t="s">
        <v>10</v>
      </c>
      <c r="C2189" t="s">
        <v>58</v>
      </c>
      <c r="D2189" s="1">
        <v>45069</v>
      </c>
      <c r="E2189" s="2">
        <v>5083.07</v>
      </c>
      <c r="F2189">
        <v>368</v>
      </c>
      <c r="G2189" s="2">
        <f t="shared" si="136"/>
        <v>13.812690217391303</v>
      </c>
      <c r="H2189" t="str">
        <f t="shared" si="137"/>
        <v>May</v>
      </c>
      <c r="I2189" t="str">
        <f t="shared" si="138"/>
        <v>Q2</v>
      </c>
      <c r="J2189" t="str">
        <f t="shared" si="139"/>
        <v>Large</v>
      </c>
    </row>
    <row r="2190" spans="1:10" x14ac:dyDescent="0.25">
      <c r="A2190" t="s">
        <v>6</v>
      </c>
      <c r="B2190" t="s">
        <v>7</v>
      </c>
      <c r="C2190" t="s">
        <v>8</v>
      </c>
      <c r="D2190" s="1">
        <v>45295</v>
      </c>
      <c r="E2190" s="2">
        <v>6339.57</v>
      </c>
      <c r="F2190">
        <v>187</v>
      </c>
      <c r="G2190" s="2">
        <f t="shared" si="136"/>
        <v>33.901443850267377</v>
      </c>
      <c r="H2190" t="str">
        <f t="shared" si="137"/>
        <v>January</v>
      </c>
      <c r="I2190" t="str">
        <f t="shared" si="138"/>
        <v>Q1</v>
      </c>
      <c r="J2190" t="str">
        <f t="shared" si="139"/>
        <v>Large</v>
      </c>
    </row>
    <row r="2191" spans="1:10" x14ac:dyDescent="0.25">
      <c r="A2191" t="s">
        <v>9</v>
      </c>
      <c r="B2191" t="s">
        <v>10</v>
      </c>
      <c r="C2191" t="s">
        <v>11</v>
      </c>
      <c r="D2191" s="1">
        <v>45505</v>
      </c>
      <c r="E2191" s="2">
        <v>9005.8700000000008</v>
      </c>
      <c r="F2191">
        <v>90</v>
      </c>
      <c r="G2191" s="2">
        <f t="shared" si="136"/>
        <v>100.06522222222223</v>
      </c>
      <c r="H2191" t="str">
        <f t="shared" si="137"/>
        <v>August</v>
      </c>
      <c r="I2191" t="str">
        <f t="shared" si="138"/>
        <v>Q3</v>
      </c>
      <c r="J2191" t="str">
        <f t="shared" si="139"/>
        <v>Large</v>
      </c>
    </row>
    <row r="2192" spans="1:10" x14ac:dyDescent="0.25">
      <c r="A2192" t="s">
        <v>12</v>
      </c>
      <c r="B2192" t="s">
        <v>10</v>
      </c>
      <c r="C2192" t="s">
        <v>13</v>
      </c>
      <c r="D2192" s="1">
        <v>45480</v>
      </c>
      <c r="E2192" s="2">
        <v>5159.07</v>
      </c>
      <c r="F2192">
        <v>87</v>
      </c>
      <c r="G2192" s="2">
        <f t="shared" si="136"/>
        <v>59.299655172413793</v>
      </c>
      <c r="H2192" t="str">
        <f t="shared" si="137"/>
        <v>July</v>
      </c>
      <c r="I2192" t="str">
        <f t="shared" si="138"/>
        <v>Q3</v>
      </c>
      <c r="J2192" t="str">
        <f t="shared" si="139"/>
        <v>Large</v>
      </c>
    </row>
    <row r="2193" spans="1:10" x14ac:dyDescent="0.25">
      <c r="A2193" t="s">
        <v>14</v>
      </c>
      <c r="B2193" t="s">
        <v>15</v>
      </c>
      <c r="C2193" t="s">
        <v>13</v>
      </c>
      <c r="D2193" s="1">
        <v>45409</v>
      </c>
      <c r="E2193" s="2">
        <v>13370.97</v>
      </c>
      <c r="F2193">
        <v>349</v>
      </c>
      <c r="G2193" s="2">
        <f t="shared" si="136"/>
        <v>38.312234957020053</v>
      </c>
      <c r="H2193" t="str">
        <f t="shared" si="137"/>
        <v>April</v>
      </c>
      <c r="I2193" t="str">
        <f t="shared" si="138"/>
        <v>Q2</v>
      </c>
      <c r="J2193" t="str">
        <f t="shared" si="139"/>
        <v>Large</v>
      </c>
    </row>
    <row r="2194" spans="1:10" x14ac:dyDescent="0.25">
      <c r="A2194" t="s">
        <v>6</v>
      </c>
      <c r="B2194" t="s">
        <v>7</v>
      </c>
      <c r="C2194" t="s">
        <v>13</v>
      </c>
      <c r="D2194" s="1">
        <v>45346</v>
      </c>
      <c r="E2194" s="2">
        <v>14791.64</v>
      </c>
      <c r="F2194">
        <v>182</v>
      </c>
      <c r="G2194" s="2">
        <f t="shared" si="136"/>
        <v>81.272747252747251</v>
      </c>
      <c r="H2194" t="str">
        <f t="shared" si="137"/>
        <v>February</v>
      </c>
      <c r="I2194" t="str">
        <f t="shared" si="138"/>
        <v>Q1</v>
      </c>
      <c r="J2194" t="str">
        <f t="shared" si="139"/>
        <v>Large</v>
      </c>
    </row>
    <row r="2195" spans="1:10" x14ac:dyDescent="0.25">
      <c r="A2195" t="s">
        <v>9</v>
      </c>
      <c r="B2195" t="s">
        <v>10</v>
      </c>
      <c r="C2195" t="s">
        <v>16</v>
      </c>
      <c r="D2195" s="1">
        <v>45449</v>
      </c>
      <c r="E2195" s="2">
        <v>6429.35</v>
      </c>
      <c r="F2195">
        <v>40</v>
      </c>
      <c r="G2195" s="2">
        <f t="shared" si="136"/>
        <v>160.73375000000001</v>
      </c>
      <c r="H2195" t="str">
        <f t="shared" si="137"/>
        <v>June</v>
      </c>
      <c r="I2195" t="str">
        <f t="shared" si="138"/>
        <v>Q2</v>
      </c>
      <c r="J2195" t="str">
        <f t="shared" si="139"/>
        <v>Large</v>
      </c>
    </row>
    <row r="2196" spans="1:10" x14ac:dyDescent="0.25">
      <c r="A2196" t="s">
        <v>17</v>
      </c>
      <c r="B2196" t="s">
        <v>7</v>
      </c>
      <c r="C2196" t="s">
        <v>18</v>
      </c>
      <c r="D2196" s="1">
        <v>45316</v>
      </c>
      <c r="E2196" s="2">
        <v>15900.6</v>
      </c>
      <c r="F2196">
        <v>188</v>
      </c>
      <c r="G2196" s="2">
        <f t="shared" si="136"/>
        <v>84.577659574468086</v>
      </c>
      <c r="H2196" t="str">
        <f t="shared" si="137"/>
        <v>January</v>
      </c>
      <c r="I2196" t="str">
        <f t="shared" si="138"/>
        <v>Q1</v>
      </c>
      <c r="J2196" t="str">
        <f t="shared" si="139"/>
        <v>Large</v>
      </c>
    </row>
    <row r="2197" spans="1:10" x14ac:dyDescent="0.25">
      <c r="A2197" t="s">
        <v>19</v>
      </c>
      <c r="B2197" t="s">
        <v>15</v>
      </c>
      <c r="C2197" t="s">
        <v>20</v>
      </c>
      <c r="D2197" s="1">
        <v>45375</v>
      </c>
      <c r="E2197" s="2">
        <v>3400.26</v>
      </c>
      <c r="F2197">
        <v>77</v>
      </c>
      <c r="G2197" s="2">
        <f t="shared" si="136"/>
        <v>44.159220779220782</v>
      </c>
      <c r="H2197" t="str">
        <f t="shared" si="137"/>
        <v>March</v>
      </c>
      <c r="I2197" t="str">
        <f t="shared" si="138"/>
        <v>Q1</v>
      </c>
      <c r="J2197" t="str">
        <f t="shared" si="139"/>
        <v>Large</v>
      </c>
    </row>
    <row r="2198" spans="1:10" x14ac:dyDescent="0.25">
      <c r="A2198" t="s">
        <v>6</v>
      </c>
      <c r="B2198" t="s">
        <v>21</v>
      </c>
      <c r="C2198" t="s">
        <v>22</v>
      </c>
      <c r="D2198" s="1">
        <v>45402</v>
      </c>
      <c r="E2198" s="2">
        <v>4357.76</v>
      </c>
      <c r="F2198">
        <v>63</v>
      </c>
      <c r="G2198" s="2">
        <f t="shared" si="136"/>
        <v>69.170793650793655</v>
      </c>
      <c r="H2198" t="str">
        <f t="shared" si="137"/>
        <v>April</v>
      </c>
      <c r="I2198" t="str">
        <f t="shared" si="138"/>
        <v>Q2</v>
      </c>
      <c r="J2198" t="str">
        <f t="shared" si="139"/>
        <v>Large</v>
      </c>
    </row>
    <row r="2199" spans="1:10" x14ac:dyDescent="0.25">
      <c r="A2199" t="s">
        <v>23</v>
      </c>
      <c r="B2199" t="s">
        <v>15</v>
      </c>
      <c r="C2199" t="s">
        <v>18</v>
      </c>
      <c r="D2199" s="1">
        <v>45477</v>
      </c>
      <c r="E2199" s="2">
        <v>3356.17</v>
      </c>
      <c r="F2199">
        <v>111</v>
      </c>
      <c r="G2199" s="2">
        <f t="shared" si="136"/>
        <v>30.235765765765766</v>
      </c>
      <c r="H2199" t="str">
        <f t="shared" si="137"/>
        <v>July</v>
      </c>
      <c r="I2199" t="str">
        <f t="shared" si="138"/>
        <v>Q3</v>
      </c>
      <c r="J2199" t="str">
        <f t="shared" si="139"/>
        <v>Large</v>
      </c>
    </row>
    <row r="2200" spans="1:10" x14ac:dyDescent="0.25">
      <c r="A2200" t="s">
        <v>24</v>
      </c>
      <c r="B2200" t="s">
        <v>7</v>
      </c>
      <c r="C2200" t="s">
        <v>16</v>
      </c>
      <c r="D2200" s="1">
        <v>45304</v>
      </c>
      <c r="E2200" s="2">
        <v>5287.86</v>
      </c>
      <c r="F2200">
        <v>67</v>
      </c>
      <c r="G2200" s="2">
        <f t="shared" si="136"/>
        <v>78.923283582089553</v>
      </c>
      <c r="H2200" t="str">
        <f t="shared" si="137"/>
        <v>January</v>
      </c>
      <c r="I2200" t="str">
        <f t="shared" si="138"/>
        <v>Q1</v>
      </c>
      <c r="J2200" t="str">
        <f t="shared" si="139"/>
        <v>Large</v>
      </c>
    </row>
    <row r="2201" spans="1:10" x14ac:dyDescent="0.25">
      <c r="A2201" t="s">
        <v>25</v>
      </c>
      <c r="B2201" t="s">
        <v>26</v>
      </c>
      <c r="C2201" t="s">
        <v>27</v>
      </c>
      <c r="D2201" s="1">
        <v>45361</v>
      </c>
      <c r="E2201" s="2">
        <v>4244.3599999999997</v>
      </c>
      <c r="F2201">
        <v>11</v>
      </c>
      <c r="G2201" s="2">
        <f t="shared" si="136"/>
        <v>385.85090909090906</v>
      </c>
      <c r="H2201" t="str">
        <f t="shared" si="137"/>
        <v>March</v>
      </c>
      <c r="I2201" t="str">
        <f t="shared" si="138"/>
        <v>Q1</v>
      </c>
      <c r="J2201" t="str">
        <f t="shared" si="139"/>
        <v>Large</v>
      </c>
    </row>
    <row r="2202" spans="1:10" x14ac:dyDescent="0.25">
      <c r="A2202" t="s">
        <v>28</v>
      </c>
      <c r="B2202" t="s">
        <v>29</v>
      </c>
      <c r="C2202" t="s">
        <v>30</v>
      </c>
      <c r="D2202" s="1">
        <v>45304</v>
      </c>
      <c r="E2202" s="2">
        <v>1671.64</v>
      </c>
      <c r="F2202">
        <v>277</v>
      </c>
      <c r="G2202" s="2">
        <f t="shared" si="136"/>
        <v>6.034801444043322</v>
      </c>
      <c r="H2202" t="str">
        <f t="shared" si="137"/>
        <v>January</v>
      </c>
      <c r="I2202" t="str">
        <f t="shared" si="138"/>
        <v>Q1</v>
      </c>
      <c r="J2202" t="str">
        <f t="shared" si="139"/>
        <v>Large</v>
      </c>
    </row>
    <row r="2203" spans="1:10" x14ac:dyDescent="0.25">
      <c r="A2203" t="s">
        <v>31</v>
      </c>
      <c r="B2203" t="s">
        <v>21</v>
      </c>
      <c r="C2203" t="s">
        <v>32</v>
      </c>
      <c r="D2203" s="1">
        <v>45501</v>
      </c>
      <c r="E2203" s="2">
        <v>181.84</v>
      </c>
      <c r="F2203">
        <v>167</v>
      </c>
      <c r="G2203" s="2">
        <f t="shared" si="136"/>
        <v>1.0888622754491017</v>
      </c>
      <c r="H2203" t="str">
        <f t="shared" si="137"/>
        <v>July</v>
      </c>
      <c r="I2203" t="str">
        <f t="shared" si="138"/>
        <v>Q3</v>
      </c>
      <c r="J2203" t="str">
        <f t="shared" si="139"/>
        <v>Small</v>
      </c>
    </row>
    <row r="2204" spans="1:10" x14ac:dyDescent="0.25">
      <c r="A2204" t="s">
        <v>33</v>
      </c>
      <c r="B2204" t="s">
        <v>21</v>
      </c>
      <c r="C2204" t="s">
        <v>13</v>
      </c>
      <c r="D2204" s="1">
        <v>45507</v>
      </c>
      <c r="E2204" s="2">
        <v>8950.59</v>
      </c>
      <c r="F2204">
        <v>189</v>
      </c>
      <c r="G2204" s="2">
        <f t="shared" si="136"/>
        <v>47.357619047619046</v>
      </c>
      <c r="H2204" t="str">
        <f t="shared" si="137"/>
        <v>August</v>
      </c>
      <c r="I2204" t="str">
        <f t="shared" si="138"/>
        <v>Q3</v>
      </c>
      <c r="J2204" t="str">
        <f t="shared" si="139"/>
        <v>Large</v>
      </c>
    </row>
    <row r="2205" spans="1:10" x14ac:dyDescent="0.25">
      <c r="A2205" t="s">
        <v>34</v>
      </c>
      <c r="B2205" t="s">
        <v>15</v>
      </c>
      <c r="C2205" t="s">
        <v>35</v>
      </c>
      <c r="D2205" s="1">
        <v>45317</v>
      </c>
      <c r="E2205" s="2">
        <v>7271.76</v>
      </c>
      <c r="F2205">
        <v>385</v>
      </c>
      <c r="G2205" s="2">
        <f t="shared" si="136"/>
        <v>18.887688311688311</v>
      </c>
      <c r="H2205" t="str">
        <f t="shared" si="137"/>
        <v>January</v>
      </c>
      <c r="I2205" t="str">
        <f t="shared" si="138"/>
        <v>Q1</v>
      </c>
      <c r="J2205" t="str">
        <f t="shared" si="139"/>
        <v>Large</v>
      </c>
    </row>
    <row r="2206" spans="1:10" x14ac:dyDescent="0.25">
      <c r="A2206" t="s">
        <v>9</v>
      </c>
      <c r="B2206" t="s">
        <v>29</v>
      </c>
      <c r="C2206" t="s">
        <v>35</v>
      </c>
      <c r="D2206" s="1">
        <v>45336</v>
      </c>
      <c r="E2206" s="2">
        <v>4864.83</v>
      </c>
      <c r="F2206">
        <v>42</v>
      </c>
      <c r="G2206" s="2">
        <f t="shared" si="136"/>
        <v>115.82928571428572</v>
      </c>
      <c r="H2206" t="str">
        <f t="shared" si="137"/>
        <v>February</v>
      </c>
      <c r="I2206" t="str">
        <f t="shared" si="138"/>
        <v>Q1</v>
      </c>
      <c r="J2206" t="str">
        <f t="shared" si="139"/>
        <v>Large</v>
      </c>
    </row>
    <row r="2207" spans="1:10" x14ac:dyDescent="0.25">
      <c r="A2207" t="s">
        <v>36</v>
      </c>
      <c r="B2207" t="s">
        <v>26</v>
      </c>
      <c r="C2207" t="s">
        <v>16</v>
      </c>
      <c r="D2207" s="1">
        <v>45387</v>
      </c>
      <c r="E2207" s="2">
        <v>3175.11</v>
      </c>
      <c r="F2207">
        <v>149</v>
      </c>
      <c r="G2207" s="2">
        <f t="shared" si="136"/>
        <v>21.309463087248322</v>
      </c>
      <c r="H2207" t="str">
        <f t="shared" si="137"/>
        <v>April</v>
      </c>
      <c r="I2207" t="str">
        <f t="shared" si="138"/>
        <v>Q2</v>
      </c>
      <c r="J2207" t="str">
        <f t="shared" si="139"/>
        <v>Large</v>
      </c>
    </row>
    <row r="2208" spans="1:10" x14ac:dyDescent="0.25">
      <c r="A2208" t="s">
        <v>34</v>
      </c>
      <c r="B2208" t="s">
        <v>29</v>
      </c>
      <c r="C2208" t="s">
        <v>37</v>
      </c>
      <c r="D2208" s="1">
        <v>45338</v>
      </c>
      <c r="E2208" s="2">
        <v>10137.790000000001</v>
      </c>
      <c r="F2208">
        <v>250</v>
      </c>
      <c r="G2208" s="2">
        <f t="shared" si="136"/>
        <v>40.551160000000003</v>
      </c>
      <c r="H2208" t="str">
        <f t="shared" si="137"/>
        <v>February</v>
      </c>
      <c r="I2208" t="str">
        <f t="shared" si="138"/>
        <v>Q1</v>
      </c>
      <c r="J2208" t="str">
        <f t="shared" si="139"/>
        <v>Large</v>
      </c>
    </row>
    <row r="2209" spans="1:10" x14ac:dyDescent="0.25">
      <c r="A2209" t="s">
        <v>38</v>
      </c>
      <c r="B2209" t="s">
        <v>7</v>
      </c>
      <c r="C2209" t="s">
        <v>11</v>
      </c>
      <c r="D2209" s="1">
        <v>45451</v>
      </c>
      <c r="E2209" s="2">
        <v>1206.95</v>
      </c>
      <c r="F2209">
        <v>174</v>
      </c>
      <c r="G2209" s="2">
        <f t="shared" si="136"/>
        <v>6.9364942528735636</v>
      </c>
      <c r="H2209" t="str">
        <f t="shared" si="137"/>
        <v>June</v>
      </c>
      <c r="I2209" t="str">
        <f t="shared" si="138"/>
        <v>Q2</v>
      </c>
      <c r="J2209" t="str">
        <f t="shared" si="139"/>
        <v>Large</v>
      </c>
    </row>
    <row r="2210" spans="1:10" x14ac:dyDescent="0.25">
      <c r="A2210" t="s">
        <v>23</v>
      </c>
      <c r="B2210" t="s">
        <v>15</v>
      </c>
      <c r="C2210" t="s">
        <v>30</v>
      </c>
      <c r="D2210" s="1">
        <v>45470</v>
      </c>
      <c r="E2210" s="2">
        <v>8222.65</v>
      </c>
      <c r="F2210">
        <v>92</v>
      </c>
      <c r="G2210" s="2">
        <f t="shared" si="136"/>
        <v>89.376630434782598</v>
      </c>
      <c r="H2210" t="str">
        <f t="shared" si="137"/>
        <v>June</v>
      </c>
      <c r="I2210" t="str">
        <f t="shared" si="138"/>
        <v>Q2</v>
      </c>
      <c r="J2210" t="str">
        <f t="shared" si="139"/>
        <v>Large</v>
      </c>
    </row>
    <row r="2211" spans="1:10" x14ac:dyDescent="0.25">
      <c r="A2211" t="s">
        <v>19</v>
      </c>
      <c r="B2211" t="s">
        <v>26</v>
      </c>
      <c r="C2211" t="s">
        <v>39</v>
      </c>
      <c r="D2211" s="1">
        <v>45339</v>
      </c>
      <c r="E2211" s="2">
        <v>1440.85</v>
      </c>
      <c r="F2211">
        <v>152</v>
      </c>
      <c r="G2211" s="2">
        <f t="shared" si="136"/>
        <v>9.4792763157894733</v>
      </c>
      <c r="H2211" t="str">
        <f t="shared" si="137"/>
        <v>February</v>
      </c>
      <c r="I2211" t="str">
        <f t="shared" si="138"/>
        <v>Q1</v>
      </c>
      <c r="J2211" t="str">
        <f t="shared" si="139"/>
        <v>Large</v>
      </c>
    </row>
    <row r="2212" spans="1:10" x14ac:dyDescent="0.25">
      <c r="A2212" t="s">
        <v>33</v>
      </c>
      <c r="B2212" t="s">
        <v>26</v>
      </c>
      <c r="C2212" t="s">
        <v>20</v>
      </c>
      <c r="D2212" s="1">
        <v>45442</v>
      </c>
      <c r="E2212" s="2">
        <v>5611.65</v>
      </c>
      <c r="F2212">
        <v>159</v>
      </c>
      <c r="G2212" s="2">
        <f t="shared" si="136"/>
        <v>35.293396226415091</v>
      </c>
      <c r="H2212" t="str">
        <f t="shared" si="137"/>
        <v>May</v>
      </c>
      <c r="I2212" t="str">
        <f t="shared" si="138"/>
        <v>Q2</v>
      </c>
      <c r="J2212" t="str">
        <f t="shared" si="139"/>
        <v>Large</v>
      </c>
    </row>
    <row r="2213" spans="1:10" x14ac:dyDescent="0.25">
      <c r="A2213" t="s">
        <v>40</v>
      </c>
      <c r="B2213" t="s">
        <v>7</v>
      </c>
      <c r="C2213" t="s">
        <v>32</v>
      </c>
      <c r="D2213" s="1">
        <v>45365</v>
      </c>
      <c r="E2213" s="2">
        <v>3562.44</v>
      </c>
      <c r="F2213">
        <v>111</v>
      </c>
      <c r="G2213" s="2">
        <f t="shared" si="136"/>
        <v>32.094054054054055</v>
      </c>
      <c r="H2213" t="str">
        <f t="shared" si="137"/>
        <v>March</v>
      </c>
      <c r="I2213" t="str">
        <f t="shared" si="138"/>
        <v>Q1</v>
      </c>
      <c r="J2213" t="str">
        <f t="shared" si="139"/>
        <v>Large</v>
      </c>
    </row>
    <row r="2214" spans="1:10" x14ac:dyDescent="0.25">
      <c r="A2214" t="s">
        <v>41</v>
      </c>
      <c r="B2214" t="s">
        <v>15</v>
      </c>
      <c r="C2214" t="s">
        <v>30</v>
      </c>
      <c r="D2214" s="1">
        <v>45350</v>
      </c>
      <c r="E2214" s="2">
        <v>8385.26</v>
      </c>
      <c r="F2214">
        <v>122</v>
      </c>
      <c r="G2214" s="2">
        <f t="shared" si="136"/>
        <v>68.731639344262291</v>
      </c>
      <c r="H2214" t="str">
        <f t="shared" si="137"/>
        <v>February</v>
      </c>
      <c r="I2214" t="str">
        <f t="shared" si="138"/>
        <v>Q1</v>
      </c>
      <c r="J2214" t="str">
        <f t="shared" si="139"/>
        <v>Large</v>
      </c>
    </row>
    <row r="2215" spans="1:10" x14ac:dyDescent="0.25">
      <c r="A2215" t="s">
        <v>31</v>
      </c>
      <c r="B2215" t="s">
        <v>10</v>
      </c>
      <c r="C2215" t="s">
        <v>42</v>
      </c>
      <c r="D2215" s="1">
        <v>45317</v>
      </c>
      <c r="E2215" s="2">
        <v>181.31</v>
      </c>
      <c r="F2215">
        <v>330</v>
      </c>
      <c r="G2215" s="2">
        <f t="shared" si="136"/>
        <v>0.54942424242424248</v>
      </c>
      <c r="H2215" t="str">
        <f t="shared" si="137"/>
        <v>January</v>
      </c>
      <c r="I2215" t="str">
        <f t="shared" si="138"/>
        <v>Q1</v>
      </c>
      <c r="J2215" t="str">
        <f t="shared" si="139"/>
        <v>Small</v>
      </c>
    </row>
    <row r="2216" spans="1:10" x14ac:dyDescent="0.25">
      <c r="A2216" t="s">
        <v>36</v>
      </c>
      <c r="B2216" t="s">
        <v>29</v>
      </c>
      <c r="C2216" t="s">
        <v>39</v>
      </c>
      <c r="D2216" s="1">
        <v>45331</v>
      </c>
      <c r="E2216" s="2">
        <v>1800.27</v>
      </c>
      <c r="F2216">
        <v>191</v>
      </c>
      <c r="G2216" s="2">
        <f t="shared" si="136"/>
        <v>9.4254973821989534</v>
      </c>
      <c r="H2216" t="str">
        <f t="shared" si="137"/>
        <v>February</v>
      </c>
      <c r="I2216" t="str">
        <f t="shared" si="138"/>
        <v>Q1</v>
      </c>
      <c r="J2216" t="str">
        <f t="shared" si="139"/>
        <v>Large</v>
      </c>
    </row>
    <row r="2217" spans="1:10" x14ac:dyDescent="0.25">
      <c r="A2217" t="s">
        <v>40</v>
      </c>
      <c r="B2217" t="s">
        <v>26</v>
      </c>
      <c r="C2217" t="s">
        <v>30</v>
      </c>
      <c r="D2217" s="1">
        <v>45480</v>
      </c>
      <c r="E2217" s="2">
        <v>4449.37</v>
      </c>
      <c r="F2217">
        <v>113</v>
      </c>
      <c r="G2217" s="2">
        <f t="shared" si="136"/>
        <v>39.374955752212387</v>
      </c>
      <c r="H2217" t="str">
        <f t="shared" si="137"/>
        <v>July</v>
      </c>
      <c r="I2217" t="str">
        <f t="shared" si="138"/>
        <v>Q3</v>
      </c>
      <c r="J2217" t="str">
        <f t="shared" si="139"/>
        <v>Large</v>
      </c>
    </row>
    <row r="2218" spans="1:10" x14ac:dyDescent="0.25">
      <c r="A2218" t="s">
        <v>43</v>
      </c>
      <c r="B2218" t="s">
        <v>21</v>
      </c>
      <c r="C2218" t="s">
        <v>44</v>
      </c>
      <c r="D2218" s="1">
        <v>45478</v>
      </c>
      <c r="E2218" s="2">
        <v>10113.4</v>
      </c>
      <c r="F2218">
        <v>155</v>
      </c>
      <c r="G2218" s="2">
        <f t="shared" si="136"/>
        <v>65.247741935483873</v>
      </c>
      <c r="H2218" t="str">
        <f t="shared" si="137"/>
        <v>July</v>
      </c>
      <c r="I2218" t="str">
        <f t="shared" si="138"/>
        <v>Q3</v>
      </c>
      <c r="J2218" t="str">
        <f t="shared" si="139"/>
        <v>Large</v>
      </c>
    </row>
    <row r="2219" spans="1:10" x14ac:dyDescent="0.25">
      <c r="A2219" t="s">
        <v>43</v>
      </c>
      <c r="B2219" t="s">
        <v>21</v>
      </c>
      <c r="C2219" t="s">
        <v>45</v>
      </c>
      <c r="D2219" s="1">
        <v>45458</v>
      </c>
      <c r="E2219" s="2">
        <v>5932.84</v>
      </c>
      <c r="F2219">
        <v>303</v>
      </c>
      <c r="G2219" s="2">
        <f t="shared" si="136"/>
        <v>19.5803300330033</v>
      </c>
      <c r="H2219" t="str">
        <f t="shared" si="137"/>
        <v>June</v>
      </c>
      <c r="I2219" t="str">
        <f t="shared" si="138"/>
        <v>Q2</v>
      </c>
      <c r="J2219" t="str">
        <f t="shared" si="139"/>
        <v>Large</v>
      </c>
    </row>
    <row r="2220" spans="1:10" x14ac:dyDescent="0.25">
      <c r="A2220" t="s">
        <v>9</v>
      </c>
      <c r="B2220" t="s">
        <v>21</v>
      </c>
      <c r="C2220" t="s">
        <v>11</v>
      </c>
      <c r="D2220" s="1">
        <v>45436</v>
      </c>
      <c r="E2220" s="2">
        <v>2006.71</v>
      </c>
      <c r="F2220">
        <v>124</v>
      </c>
      <c r="G2220" s="2">
        <f t="shared" si="136"/>
        <v>16.183145161290323</v>
      </c>
      <c r="H2220" t="str">
        <f t="shared" si="137"/>
        <v>May</v>
      </c>
      <c r="I2220" t="str">
        <f t="shared" si="138"/>
        <v>Q2</v>
      </c>
      <c r="J2220" t="str">
        <f t="shared" si="139"/>
        <v>Large</v>
      </c>
    </row>
    <row r="2221" spans="1:10" x14ac:dyDescent="0.25">
      <c r="A2221" t="s">
        <v>24</v>
      </c>
      <c r="B2221" t="s">
        <v>7</v>
      </c>
      <c r="C2221" t="s">
        <v>18</v>
      </c>
      <c r="D2221" s="1">
        <v>45472</v>
      </c>
      <c r="E2221" s="2">
        <v>14086.69</v>
      </c>
      <c r="F2221">
        <v>157</v>
      </c>
      <c r="G2221" s="2">
        <f t="shared" si="136"/>
        <v>89.724140127388537</v>
      </c>
      <c r="H2221" t="str">
        <f t="shared" si="137"/>
        <v>June</v>
      </c>
      <c r="I2221" t="str">
        <f t="shared" si="138"/>
        <v>Q2</v>
      </c>
      <c r="J2221" t="str">
        <f t="shared" si="139"/>
        <v>Large</v>
      </c>
    </row>
    <row r="2222" spans="1:10" x14ac:dyDescent="0.25">
      <c r="A2222" t="s">
        <v>46</v>
      </c>
      <c r="B2222" t="s">
        <v>15</v>
      </c>
      <c r="C2222" t="s">
        <v>45</v>
      </c>
      <c r="D2222" s="1">
        <v>45423</v>
      </c>
      <c r="E2222" s="2">
        <v>4799.54</v>
      </c>
      <c r="F2222">
        <v>90</v>
      </c>
      <c r="G2222" s="2">
        <f t="shared" si="136"/>
        <v>53.328222222222223</v>
      </c>
      <c r="H2222" t="str">
        <f t="shared" si="137"/>
        <v>May</v>
      </c>
      <c r="I2222" t="str">
        <f t="shared" si="138"/>
        <v>Q2</v>
      </c>
      <c r="J2222" t="str">
        <f t="shared" si="139"/>
        <v>Large</v>
      </c>
    </row>
    <row r="2223" spans="1:10" x14ac:dyDescent="0.25">
      <c r="A2223" t="s">
        <v>31</v>
      </c>
      <c r="B2223" t="s">
        <v>7</v>
      </c>
      <c r="C2223" t="s">
        <v>47</v>
      </c>
      <c r="D2223" s="1">
        <v>45473</v>
      </c>
      <c r="E2223" s="2">
        <v>8101.98</v>
      </c>
      <c r="F2223">
        <v>138</v>
      </c>
      <c r="G2223" s="2">
        <f t="shared" si="136"/>
        <v>58.709999999999994</v>
      </c>
      <c r="H2223" t="str">
        <f t="shared" si="137"/>
        <v>June</v>
      </c>
      <c r="I2223" t="str">
        <f t="shared" si="138"/>
        <v>Q2</v>
      </c>
      <c r="J2223" t="str">
        <f t="shared" si="139"/>
        <v>Large</v>
      </c>
    </row>
    <row r="2224" spans="1:10" x14ac:dyDescent="0.25">
      <c r="A2224" t="s">
        <v>48</v>
      </c>
      <c r="B2224" t="s">
        <v>29</v>
      </c>
      <c r="C2224" t="s">
        <v>20</v>
      </c>
      <c r="D2224" s="1">
        <v>45423</v>
      </c>
      <c r="E2224" s="2">
        <v>2321.9699999999998</v>
      </c>
      <c r="F2224">
        <v>71</v>
      </c>
      <c r="G2224" s="2">
        <f t="shared" si="136"/>
        <v>32.703802816901408</v>
      </c>
      <c r="H2224" t="str">
        <f t="shared" si="137"/>
        <v>May</v>
      </c>
      <c r="I2224" t="str">
        <f t="shared" si="138"/>
        <v>Q2</v>
      </c>
      <c r="J2224" t="str">
        <f t="shared" si="139"/>
        <v>Large</v>
      </c>
    </row>
    <row r="2225" spans="1:10" x14ac:dyDescent="0.25">
      <c r="A2225" t="s">
        <v>36</v>
      </c>
      <c r="B2225" t="s">
        <v>26</v>
      </c>
      <c r="C2225" t="s">
        <v>45</v>
      </c>
      <c r="D2225" s="1">
        <v>45495</v>
      </c>
      <c r="E2225" s="2">
        <v>10245</v>
      </c>
      <c r="F2225">
        <v>329</v>
      </c>
      <c r="G2225" s="2">
        <f t="shared" si="136"/>
        <v>31.13981762917933</v>
      </c>
      <c r="H2225" t="str">
        <f t="shared" si="137"/>
        <v>July</v>
      </c>
      <c r="I2225" t="str">
        <f t="shared" si="138"/>
        <v>Q3</v>
      </c>
      <c r="J2225" t="str">
        <f t="shared" si="139"/>
        <v>Large</v>
      </c>
    </row>
    <row r="2226" spans="1:10" x14ac:dyDescent="0.25">
      <c r="A2226" t="s">
        <v>48</v>
      </c>
      <c r="B2226" t="s">
        <v>7</v>
      </c>
      <c r="C2226" t="s">
        <v>22</v>
      </c>
      <c r="D2226" s="1">
        <v>45528</v>
      </c>
      <c r="E2226" s="2">
        <v>2930.4</v>
      </c>
      <c r="F2226">
        <v>344</v>
      </c>
      <c r="G2226" s="2">
        <f t="shared" si="136"/>
        <v>8.5186046511627911</v>
      </c>
      <c r="H2226" t="str">
        <f t="shared" si="137"/>
        <v>August</v>
      </c>
      <c r="I2226" t="str">
        <f t="shared" si="138"/>
        <v>Q3</v>
      </c>
      <c r="J2226" t="str">
        <f t="shared" si="139"/>
        <v>Large</v>
      </c>
    </row>
    <row r="2227" spans="1:10" x14ac:dyDescent="0.25">
      <c r="A2227" t="s">
        <v>49</v>
      </c>
      <c r="B2227" t="s">
        <v>21</v>
      </c>
      <c r="C2227" t="s">
        <v>20</v>
      </c>
      <c r="D2227" s="1">
        <v>45480</v>
      </c>
      <c r="E2227" s="2">
        <v>170.24</v>
      </c>
      <c r="F2227">
        <v>75</v>
      </c>
      <c r="G2227" s="2">
        <f t="shared" si="136"/>
        <v>2.2698666666666667</v>
      </c>
      <c r="H2227" t="str">
        <f t="shared" si="137"/>
        <v>July</v>
      </c>
      <c r="I2227" t="str">
        <f t="shared" si="138"/>
        <v>Q3</v>
      </c>
      <c r="J2227" t="str">
        <f t="shared" si="139"/>
        <v>Small</v>
      </c>
    </row>
    <row r="2228" spans="1:10" x14ac:dyDescent="0.25">
      <c r="A2228" t="s">
        <v>50</v>
      </c>
      <c r="B2228" t="s">
        <v>15</v>
      </c>
      <c r="C2228" t="s">
        <v>11</v>
      </c>
      <c r="D2228" s="1">
        <v>45431</v>
      </c>
      <c r="E2228" s="2">
        <v>4247.49</v>
      </c>
      <c r="F2228">
        <v>14</v>
      </c>
      <c r="G2228" s="2">
        <f t="shared" si="136"/>
        <v>303.39214285714286</v>
      </c>
      <c r="H2228" t="str">
        <f t="shared" si="137"/>
        <v>May</v>
      </c>
      <c r="I2228" t="str">
        <f t="shared" si="138"/>
        <v>Q2</v>
      </c>
      <c r="J2228" t="str">
        <f t="shared" si="139"/>
        <v>Large</v>
      </c>
    </row>
    <row r="2229" spans="1:10" x14ac:dyDescent="0.25">
      <c r="A2229" t="s">
        <v>31</v>
      </c>
      <c r="B2229" t="s">
        <v>10</v>
      </c>
      <c r="C2229" t="s">
        <v>45</v>
      </c>
      <c r="D2229" s="1">
        <v>45477</v>
      </c>
      <c r="E2229" s="2">
        <v>2696.1</v>
      </c>
      <c r="F2229">
        <v>605</v>
      </c>
      <c r="G2229" s="2">
        <f t="shared" si="136"/>
        <v>4.4563636363636361</v>
      </c>
      <c r="H2229" t="str">
        <f t="shared" si="137"/>
        <v>July</v>
      </c>
      <c r="I2229" t="str">
        <f t="shared" si="138"/>
        <v>Q3</v>
      </c>
      <c r="J2229" t="str">
        <f t="shared" si="139"/>
        <v>Large</v>
      </c>
    </row>
    <row r="2230" spans="1:10" x14ac:dyDescent="0.25">
      <c r="A2230" t="s">
        <v>49</v>
      </c>
      <c r="B2230" t="s">
        <v>26</v>
      </c>
      <c r="C2230" t="s">
        <v>20</v>
      </c>
      <c r="D2230" s="1">
        <v>45445</v>
      </c>
      <c r="E2230" s="2">
        <v>1083.76</v>
      </c>
      <c r="F2230">
        <v>16</v>
      </c>
      <c r="G2230" s="2">
        <f t="shared" si="136"/>
        <v>67.734999999999999</v>
      </c>
      <c r="H2230" t="str">
        <f t="shared" si="137"/>
        <v>June</v>
      </c>
      <c r="I2230" t="str">
        <f t="shared" si="138"/>
        <v>Q2</v>
      </c>
      <c r="J2230" t="str">
        <f t="shared" si="139"/>
        <v>Large</v>
      </c>
    </row>
    <row r="2231" spans="1:10" x14ac:dyDescent="0.25">
      <c r="A2231" t="s">
        <v>31</v>
      </c>
      <c r="B2231" t="s">
        <v>26</v>
      </c>
      <c r="C2231" t="s">
        <v>51</v>
      </c>
      <c r="D2231" s="1">
        <v>45397</v>
      </c>
      <c r="E2231" s="2">
        <v>17037.09</v>
      </c>
      <c r="F2231">
        <v>347</v>
      </c>
      <c r="G2231" s="2">
        <f t="shared" si="136"/>
        <v>49.098242074927953</v>
      </c>
      <c r="H2231" t="str">
        <f t="shared" si="137"/>
        <v>April</v>
      </c>
      <c r="I2231" t="str">
        <f t="shared" si="138"/>
        <v>Q2</v>
      </c>
      <c r="J2231" t="str">
        <f t="shared" si="139"/>
        <v>Large</v>
      </c>
    </row>
    <row r="2232" spans="1:10" x14ac:dyDescent="0.25">
      <c r="A2232" t="s">
        <v>28</v>
      </c>
      <c r="B2232" t="s">
        <v>29</v>
      </c>
      <c r="C2232" t="s">
        <v>52</v>
      </c>
      <c r="D2232" s="1">
        <v>45484</v>
      </c>
      <c r="E2232" s="2">
        <v>5706.43</v>
      </c>
      <c r="F2232">
        <v>247</v>
      </c>
      <c r="G2232" s="2">
        <f t="shared" si="136"/>
        <v>23.102955465587044</v>
      </c>
      <c r="H2232" t="str">
        <f t="shared" si="137"/>
        <v>July</v>
      </c>
      <c r="I2232" t="str">
        <f t="shared" si="138"/>
        <v>Q3</v>
      </c>
      <c r="J2232" t="str">
        <f t="shared" si="139"/>
        <v>Large</v>
      </c>
    </row>
    <row r="2233" spans="1:10" x14ac:dyDescent="0.25">
      <c r="A2233" t="s">
        <v>48</v>
      </c>
      <c r="B2233" t="s">
        <v>10</v>
      </c>
      <c r="C2233" t="s">
        <v>39</v>
      </c>
      <c r="D2233" s="1">
        <v>45345</v>
      </c>
      <c r="E2233" s="2">
        <v>6682.34</v>
      </c>
      <c r="F2233">
        <v>139</v>
      </c>
      <c r="G2233" s="2">
        <f t="shared" si="136"/>
        <v>48.074388489208637</v>
      </c>
      <c r="H2233" t="str">
        <f t="shared" si="137"/>
        <v>February</v>
      </c>
      <c r="I2233" t="str">
        <f t="shared" si="138"/>
        <v>Q1</v>
      </c>
      <c r="J2233" t="str">
        <f t="shared" si="139"/>
        <v>Large</v>
      </c>
    </row>
    <row r="2234" spans="1:10" x14ac:dyDescent="0.25">
      <c r="A2234" t="s">
        <v>53</v>
      </c>
      <c r="B2234" t="s">
        <v>29</v>
      </c>
      <c r="C2234" t="s">
        <v>47</v>
      </c>
      <c r="D2234" s="1">
        <v>45526</v>
      </c>
      <c r="E2234" s="2">
        <v>8192.6</v>
      </c>
      <c r="F2234">
        <v>100</v>
      </c>
      <c r="G2234" s="2">
        <f t="shared" si="136"/>
        <v>81.926000000000002</v>
      </c>
      <c r="H2234" t="str">
        <f t="shared" si="137"/>
        <v>August</v>
      </c>
      <c r="I2234" t="str">
        <f t="shared" si="138"/>
        <v>Q3</v>
      </c>
      <c r="J2234" t="str">
        <f t="shared" si="139"/>
        <v>Large</v>
      </c>
    </row>
    <row r="2235" spans="1:10" x14ac:dyDescent="0.25">
      <c r="A2235" t="s">
        <v>41</v>
      </c>
      <c r="B2235" t="s">
        <v>26</v>
      </c>
      <c r="C2235" t="s">
        <v>13</v>
      </c>
      <c r="D2235" s="1">
        <v>45338</v>
      </c>
      <c r="E2235" s="2">
        <v>7568.16</v>
      </c>
      <c r="F2235">
        <v>206</v>
      </c>
      <c r="G2235" s="2">
        <f t="shared" si="136"/>
        <v>36.738640776699029</v>
      </c>
      <c r="H2235" t="str">
        <f t="shared" si="137"/>
        <v>February</v>
      </c>
      <c r="I2235" t="str">
        <f t="shared" si="138"/>
        <v>Q1</v>
      </c>
      <c r="J2235" t="str">
        <f t="shared" si="139"/>
        <v>Large</v>
      </c>
    </row>
    <row r="2236" spans="1:10" x14ac:dyDescent="0.25">
      <c r="A2236" t="s">
        <v>9</v>
      </c>
      <c r="B2236" t="s">
        <v>26</v>
      </c>
      <c r="C2236" t="s">
        <v>22</v>
      </c>
      <c r="D2236" s="1">
        <v>45304</v>
      </c>
      <c r="E2236" s="2">
        <v>10772.33</v>
      </c>
      <c r="F2236">
        <v>156</v>
      </c>
      <c r="G2236" s="2">
        <f t="shared" si="136"/>
        <v>69.053397435897438</v>
      </c>
      <c r="H2236" t="str">
        <f t="shared" si="137"/>
        <v>January</v>
      </c>
      <c r="I2236" t="str">
        <f t="shared" si="138"/>
        <v>Q1</v>
      </c>
      <c r="J2236" t="str">
        <f t="shared" si="139"/>
        <v>Large</v>
      </c>
    </row>
    <row r="2237" spans="1:10" x14ac:dyDescent="0.25">
      <c r="A2237" t="s">
        <v>38</v>
      </c>
      <c r="B2237" t="s">
        <v>15</v>
      </c>
      <c r="C2237" t="s">
        <v>37</v>
      </c>
      <c r="D2237" s="1">
        <v>45336</v>
      </c>
      <c r="E2237" s="2">
        <v>7467.12</v>
      </c>
      <c r="F2237">
        <v>18</v>
      </c>
      <c r="G2237" s="2">
        <f t="shared" si="136"/>
        <v>414.84</v>
      </c>
      <c r="H2237" t="str">
        <f t="shared" si="137"/>
        <v>February</v>
      </c>
      <c r="I2237" t="str">
        <f t="shared" si="138"/>
        <v>Q1</v>
      </c>
      <c r="J2237" t="str">
        <f t="shared" si="139"/>
        <v>Large</v>
      </c>
    </row>
    <row r="2238" spans="1:10" x14ac:dyDescent="0.25">
      <c r="A2238" t="s">
        <v>36</v>
      </c>
      <c r="B2238" t="s">
        <v>10</v>
      </c>
      <c r="C2238" t="s">
        <v>30</v>
      </c>
      <c r="D2238" s="1">
        <v>45453</v>
      </c>
      <c r="E2238" s="2">
        <v>4985.8999999999996</v>
      </c>
      <c r="F2238">
        <v>311</v>
      </c>
      <c r="G2238" s="2">
        <f t="shared" si="136"/>
        <v>16.031832797427651</v>
      </c>
      <c r="H2238" t="str">
        <f t="shared" si="137"/>
        <v>June</v>
      </c>
      <c r="I2238" t="str">
        <f t="shared" si="138"/>
        <v>Q2</v>
      </c>
      <c r="J2238" t="str">
        <f t="shared" si="139"/>
        <v>Large</v>
      </c>
    </row>
    <row r="2239" spans="1:10" x14ac:dyDescent="0.25">
      <c r="A2239" t="s">
        <v>38</v>
      </c>
      <c r="B2239" t="s">
        <v>10</v>
      </c>
      <c r="C2239" t="s">
        <v>42</v>
      </c>
      <c r="D2239" s="1">
        <v>45480</v>
      </c>
      <c r="E2239" s="2">
        <v>5693.6</v>
      </c>
      <c r="F2239">
        <v>177</v>
      </c>
      <c r="G2239" s="2">
        <f t="shared" si="136"/>
        <v>32.16723163841808</v>
      </c>
      <c r="H2239" t="str">
        <f t="shared" si="137"/>
        <v>July</v>
      </c>
      <c r="I2239" t="str">
        <f t="shared" si="138"/>
        <v>Q3</v>
      </c>
      <c r="J2239" t="str">
        <f t="shared" si="139"/>
        <v>Large</v>
      </c>
    </row>
    <row r="2240" spans="1:10" x14ac:dyDescent="0.25">
      <c r="A2240" t="s">
        <v>38</v>
      </c>
      <c r="B2240" t="s">
        <v>29</v>
      </c>
      <c r="C2240" t="s">
        <v>47</v>
      </c>
      <c r="D2240" s="1">
        <v>45375</v>
      </c>
      <c r="E2240" s="2">
        <v>5879.1</v>
      </c>
      <c r="F2240">
        <v>75</v>
      </c>
      <c r="G2240" s="2">
        <f t="shared" si="136"/>
        <v>78.388000000000005</v>
      </c>
      <c r="H2240" t="str">
        <f t="shared" si="137"/>
        <v>March</v>
      </c>
      <c r="I2240" t="str">
        <f t="shared" si="138"/>
        <v>Q1</v>
      </c>
      <c r="J2240" t="str">
        <f t="shared" si="139"/>
        <v>Large</v>
      </c>
    </row>
    <row r="2241" spans="1:10" x14ac:dyDescent="0.25">
      <c r="A2241" t="s">
        <v>23</v>
      </c>
      <c r="B2241" t="s">
        <v>15</v>
      </c>
      <c r="C2241" t="s">
        <v>42</v>
      </c>
      <c r="D2241" s="1">
        <v>45449</v>
      </c>
      <c r="E2241" s="2">
        <v>9771.93</v>
      </c>
      <c r="F2241">
        <v>22</v>
      </c>
      <c r="G2241" s="2">
        <f t="shared" si="136"/>
        <v>444.17863636363637</v>
      </c>
      <c r="H2241" t="str">
        <f t="shared" si="137"/>
        <v>June</v>
      </c>
      <c r="I2241" t="str">
        <f t="shared" si="138"/>
        <v>Q2</v>
      </c>
      <c r="J2241" t="str">
        <f t="shared" si="139"/>
        <v>Large</v>
      </c>
    </row>
    <row r="2242" spans="1:10" x14ac:dyDescent="0.25">
      <c r="A2242" t="s">
        <v>54</v>
      </c>
      <c r="B2242" t="s">
        <v>15</v>
      </c>
      <c r="C2242" t="s">
        <v>32</v>
      </c>
      <c r="D2242" s="1">
        <v>45492</v>
      </c>
      <c r="E2242" s="2">
        <v>105.06</v>
      </c>
      <c r="F2242">
        <v>140</v>
      </c>
      <c r="G2242" s="2">
        <f t="shared" si="136"/>
        <v>0.75042857142857144</v>
      </c>
      <c r="H2242" t="str">
        <f t="shared" si="137"/>
        <v>July</v>
      </c>
      <c r="I2242" t="str">
        <f t="shared" si="138"/>
        <v>Q3</v>
      </c>
      <c r="J2242" t="str">
        <f t="shared" si="139"/>
        <v>Small</v>
      </c>
    </row>
    <row r="2243" spans="1:10" x14ac:dyDescent="0.25">
      <c r="A2243" t="s">
        <v>34</v>
      </c>
      <c r="B2243" t="s">
        <v>26</v>
      </c>
      <c r="C2243" t="s">
        <v>51</v>
      </c>
      <c r="D2243" s="1">
        <v>45401</v>
      </c>
      <c r="E2243" s="2">
        <v>16414.689999999999</v>
      </c>
      <c r="F2243">
        <v>80</v>
      </c>
      <c r="G2243" s="2">
        <f t="shared" ref="G2243:G2306" si="140">E2243/F2243</f>
        <v>205.18362499999998</v>
      </c>
      <c r="H2243" t="str">
        <f t="shared" ref="H2243:H2306" si="141">TEXT(D2243, "mmmm")</f>
        <v>April</v>
      </c>
      <c r="I2243" t="str">
        <f t="shared" ref="I2243:I2306" si="142">"Q" &amp; ROUNDUP(MONTH(D2243)/3,0)</f>
        <v>Q2</v>
      </c>
      <c r="J2243" t="str">
        <f t="shared" ref="J2243:J2306" si="143">IF(E2243 &gt; 500, "Large", "Small")</f>
        <v>Large</v>
      </c>
    </row>
    <row r="2244" spans="1:10" x14ac:dyDescent="0.25">
      <c r="A2244" t="s">
        <v>33</v>
      </c>
      <c r="B2244" t="s">
        <v>10</v>
      </c>
      <c r="C2244" t="s">
        <v>11</v>
      </c>
      <c r="D2244" s="1">
        <v>45492</v>
      </c>
      <c r="E2244" s="2">
        <v>2553.41</v>
      </c>
      <c r="F2244">
        <v>183</v>
      </c>
      <c r="G2244" s="2">
        <f t="shared" si="140"/>
        <v>13.953060109289616</v>
      </c>
      <c r="H2244" t="str">
        <f t="shared" si="141"/>
        <v>July</v>
      </c>
      <c r="I2244" t="str">
        <f t="shared" si="142"/>
        <v>Q3</v>
      </c>
      <c r="J2244" t="str">
        <f t="shared" si="143"/>
        <v>Large</v>
      </c>
    </row>
    <row r="2245" spans="1:10" x14ac:dyDescent="0.25">
      <c r="A2245" t="s">
        <v>6</v>
      </c>
      <c r="B2245" t="s">
        <v>29</v>
      </c>
      <c r="C2245" t="s">
        <v>32</v>
      </c>
      <c r="D2245" s="1">
        <v>45488</v>
      </c>
      <c r="E2245" s="2">
        <v>473.99</v>
      </c>
      <c r="F2245">
        <v>25</v>
      </c>
      <c r="G2245" s="2">
        <f t="shared" si="140"/>
        <v>18.959600000000002</v>
      </c>
      <c r="H2245" t="str">
        <f t="shared" si="141"/>
        <v>July</v>
      </c>
      <c r="I2245" t="str">
        <f t="shared" si="142"/>
        <v>Q3</v>
      </c>
      <c r="J2245" t="str">
        <f t="shared" si="143"/>
        <v>Small</v>
      </c>
    </row>
    <row r="2246" spans="1:10" x14ac:dyDescent="0.25">
      <c r="A2246" t="s">
        <v>55</v>
      </c>
      <c r="B2246" t="s">
        <v>21</v>
      </c>
      <c r="C2246" t="s">
        <v>39</v>
      </c>
      <c r="D2246" s="1">
        <v>45336</v>
      </c>
      <c r="E2246" s="2">
        <v>3873.98</v>
      </c>
      <c r="F2246">
        <v>19</v>
      </c>
      <c r="G2246" s="2">
        <f t="shared" si="140"/>
        <v>203.89368421052632</v>
      </c>
      <c r="H2246" t="str">
        <f t="shared" si="141"/>
        <v>February</v>
      </c>
      <c r="I2246" t="str">
        <f t="shared" si="142"/>
        <v>Q1</v>
      </c>
      <c r="J2246" t="str">
        <f t="shared" si="143"/>
        <v>Large</v>
      </c>
    </row>
    <row r="2247" spans="1:10" x14ac:dyDescent="0.25">
      <c r="A2247" t="s">
        <v>23</v>
      </c>
      <c r="B2247" t="s">
        <v>29</v>
      </c>
      <c r="C2247" t="s">
        <v>18</v>
      </c>
      <c r="D2247" s="1">
        <v>45430</v>
      </c>
      <c r="E2247" s="2">
        <v>17718.25</v>
      </c>
      <c r="F2247">
        <v>430</v>
      </c>
      <c r="G2247" s="2">
        <f t="shared" si="140"/>
        <v>41.205232558139535</v>
      </c>
      <c r="H2247" t="str">
        <f t="shared" si="141"/>
        <v>May</v>
      </c>
      <c r="I2247" t="str">
        <f t="shared" si="142"/>
        <v>Q2</v>
      </c>
      <c r="J2247" t="str">
        <f t="shared" si="143"/>
        <v>Large</v>
      </c>
    </row>
    <row r="2248" spans="1:10" x14ac:dyDescent="0.25">
      <c r="A2248" t="s">
        <v>25</v>
      </c>
      <c r="B2248" t="s">
        <v>15</v>
      </c>
      <c r="C2248" t="s">
        <v>42</v>
      </c>
      <c r="D2248" s="1">
        <v>45473</v>
      </c>
      <c r="E2248" s="2">
        <v>16572.07</v>
      </c>
      <c r="F2248">
        <v>57</v>
      </c>
      <c r="G2248" s="2">
        <f t="shared" si="140"/>
        <v>290.73807017543857</v>
      </c>
      <c r="H2248" t="str">
        <f t="shared" si="141"/>
        <v>June</v>
      </c>
      <c r="I2248" t="str">
        <f t="shared" si="142"/>
        <v>Q2</v>
      </c>
      <c r="J2248" t="str">
        <f t="shared" si="143"/>
        <v>Large</v>
      </c>
    </row>
    <row r="2249" spans="1:10" x14ac:dyDescent="0.25">
      <c r="A2249" t="s">
        <v>48</v>
      </c>
      <c r="B2249" t="s">
        <v>15</v>
      </c>
      <c r="C2249" t="s">
        <v>22</v>
      </c>
      <c r="D2249" s="1">
        <v>45445</v>
      </c>
      <c r="E2249" s="2">
        <v>5220.1899999999996</v>
      </c>
      <c r="F2249">
        <v>216</v>
      </c>
      <c r="G2249" s="2">
        <f t="shared" si="140"/>
        <v>24.167546296296294</v>
      </c>
      <c r="H2249" t="str">
        <f t="shared" si="141"/>
        <v>June</v>
      </c>
      <c r="I2249" t="str">
        <f t="shared" si="142"/>
        <v>Q2</v>
      </c>
      <c r="J2249" t="str">
        <f t="shared" si="143"/>
        <v>Large</v>
      </c>
    </row>
    <row r="2250" spans="1:10" x14ac:dyDescent="0.25">
      <c r="A2250" t="s">
        <v>48</v>
      </c>
      <c r="B2250" t="s">
        <v>15</v>
      </c>
      <c r="C2250" t="s">
        <v>32</v>
      </c>
      <c r="D2250" s="1">
        <v>45471</v>
      </c>
      <c r="E2250" s="2">
        <v>1797.26</v>
      </c>
      <c r="F2250">
        <v>49</v>
      </c>
      <c r="G2250" s="2">
        <f t="shared" si="140"/>
        <v>36.678775510204083</v>
      </c>
      <c r="H2250" t="str">
        <f t="shared" si="141"/>
        <v>June</v>
      </c>
      <c r="I2250" t="str">
        <f t="shared" si="142"/>
        <v>Q2</v>
      </c>
      <c r="J2250" t="str">
        <f t="shared" si="143"/>
        <v>Large</v>
      </c>
    </row>
    <row r="2251" spans="1:10" x14ac:dyDescent="0.25">
      <c r="A2251" t="s">
        <v>33</v>
      </c>
      <c r="B2251" t="s">
        <v>15</v>
      </c>
      <c r="C2251" t="s">
        <v>35</v>
      </c>
      <c r="D2251" s="1">
        <v>45428</v>
      </c>
      <c r="E2251" s="2">
        <v>295.62</v>
      </c>
      <c r="F2251">
        <v>182</v>
      </c>
      <c r="G2251" s="2">
        <f t="shared" si="140"/>
        <v>1.6242857142857143</v>
      </c>
      <c r="H2251" t="str">
        <f t="shared" si="141"/>
        <v>May</v>
      </c>
      <c r="I2251" t="str">
        <f t="shared" si="142"/>
        <v>Q2</v>
      </c>
      <c r="J2251" t="str">
        <f t="shared" si="143"/>
        <v>Small</v>
      </c>
    </row>
    <row r="2252" spans="1:10" x14ac:dyDescent="0.25">
      <c r="A2252" t="s">
        <v>49</v>
      </c>
      <c r="B2252" t="s">
        <v>29</v>
      </c>
      <c r="C2252" t="s">
        <v>56</v>
      </c>
      <c r="D2252" s="1">
        <v>45438</v>
      </c>
      <c r="E2252" s="2">
        <v>3597.37</v>
      </c>
      <c r="F2252">
        <v>288</v>
      </c>
      <c r="G2252" s="2">
        <f t="shared" si="140"/>
        <v>12.490868055555556</v>
      </c>
      <c r="H2252" t="str">
        <f t="shared" si="141"/>
        <v>May</v>
      </c>
      <c r="I2252" t="str">
        <f t="shared" si="142"/>
        <v>Q2</v>
      </c>
      <c r="J2252" t="str">
        <f t="shared" si="143"/>
        <v>Large</v>
      </c>
    </row>
    <row r="2253" spans="1:10" x14ac:dyDescent="0.25">
      <c r="A2253" t="s">
        <v>31</v>
      </c>
      <c r="B2253" t="s">
        <v>10</v>
      </c>
      <c r="C2253" t="s">
        <v>47</v>
      </c>
      <c r="D2253" s="1">
        <v>45479</v>
      </c>
      <c r="E2253" s="2">
        <v>6580.43</v>
      </c>
      <c r="F2253">
        <v>147</v>
      </c>
      <c r="G2253" s="2">
        <f t="shared" si="140"/>
        <v>44.764829931972791</v>
      </c>
      <c r="H2253" t="str">
        <f t="shared" si="141"/>
        <v>July</v>
      </c>
      <c r="I2253" t="str">
        <f t="shared" si="142"/>
        <v>Q3</v>
      </c>
      <c r="J2253" t="str">
        <f t="shared" si="143"/>
        <v>Large</v>
      </c>
    </row>
    <row r="2254" spans="1:10" x14ac:dyDescent="0.25">
      <c r="A2254" t="s">
        <v>17</v>
      </c>
      <c r="B2254" t="s">
        <v>10</v>
      </c>
      <c r="C2254" t="s">
        <v>18</v>
      </c>
      <c r="D2254" s="1">
        <v>45439</v>
      </c>
      <c r="E2254" s="2">
        <v>12232.97</v>
      </c>
      <c r="F2254">
        <v>11</v>
      </c>
      <c r="G2254" s="2">
        <f t="shared" si="140"/>
        <v>1112.0881818181817</v>
      </c>
      <c r="H2254" t="str">
        <f t="shared" si="141"/>
        <v>May</v>
      </c>
      <c r="I2254" t="str">
        <f t="shared" si="142"/>
        <v>Q2</v>
      </c>
      <c r="J2254" t="str">
        <f t="shared" si="143"/>
        <v>Large</v>
      </c>
    </row>
    <row r="2255" spans="1:10" x14ac:dyDescent="0.25">
      <c r="A2255" t="s">
        <v>46</v>
      </c>
      <c r="B2255" t="s">
        <v>15</v>
      </c>
      <c r="C2255" t="s">
        <v>57</v>
      </c>
      <c r="D2255" s="1">
        <v>45396</v>
      </c>
      <c r="E2255" s="2">
        <v>2243.44</v>
      </c>
      <c r="F2255">
        <v>11</v>
      </c>
      <c r="G2255" s="2">
        <f t="shared" si="140"/>
        <v>203.94909090909093</v>
      </c>
      <c r="H2255" t="str">
        <f t="shared" si="141"/>
        <v>April</v>
      </c>
      <c r="I2255" t="str">
        <f t="shared" si="142"/>
        <v>Q2</v>
      </c>
      <c r="J2255" t="str">
        <f t="shared" si="143"/>
        <v>Large</v>
      </c>
    </row>
    <row r="2256" spans="1:10" x14ac:dyDescent="0.25">
      <c r="A2256" t="s">
        <v>9</v>
      </c>
      <c r="B2256" t="s">
        <v>15</v>
      </c>
      <c r="C2256" t="s">
        <v>35</v>
      </c>
      <c r="D2256" s="1">
        <v>45514</v>
      </c>
      <c r="E2256" s="2">
        <v>22943.37</v>
      </c>
      <c r="F2256">
        <v>14</v>
      </c>
      <c r="G2256" s="2">
        <f t="shared" si="140"/>
        <v>1638.8121428571428</v>
      </c>
      <c r="H2256" t="str">
        <f t="shared" si="141"/>
        <v>August</v>
      </c>
      <c r="I2256" t="str">
        <f t="shared" si="142"/>
        <v>Q3</v>
      </c>
      <c r="J2256" t="str">
        <f t="shared" si="143"/>
        <v>Large</v>
      </c>
    </row>
    <row r="2257" spans="1:10" x14ac:dyDescent="0.25">
      <c r="A2257" t="s">
        <v>50</v>
      </c>
      <c r="B2257" t="s">
        <v>10</v>
      </c>
      <c r="C2257" t="s">
        <v>22</v>
      </c>
      <c r="D2257" s="1">
        <v>45477</v>
      </c>
      <c r="E2257" s="2">
        <v>10590.61</v>
      </c>
      <c r="F2257">
        <v>430</v>
      </c>
      <c r="G2257" s="2">
        <f t="shared" si="140"/>
        <v>24.629325581395349</v>
      </c>
      <c r="H2257" t="str">
        <f t="shared" si="141"/>
        <v>July</v>
      </c>
      <c r="I2257" t="str">
        <f t="shared" si="142"/>
        <v>Q3</v>
      </c>
      <c r="J2257" t="str">
        <f t="shared" si="143"/>
        <v>Large</v>
      </c>
    </row>
    <row r="2258" spans="1:10" x14ac:dyDescent="0.25">
      <c r="A2258" t="s">
        <v>17</v>
      </c>
      <c r="B2258" t="s">
        <v>10</v>
      </c>
      <c r="C2258" t="s">
        <v>35</v>
      </c>
      <c r="D2258" s="1">
        <v>45481</v>
      </c>
      <c r="E2258" s="2">
        <v>6468.82</v>
      </c>
      <c r="F2258">
        <v>59</v>
      </c>
      <c r="G2258" s="2">
        <f t="shared" si="140"/>
        <v>109.64101694915254</v>
      </c>
      <c r="H2258" t="str">
        <f t="shared" si="141"/>
        <v>July</v>
      </c>
      <c r="I2258" t="str">
        <f t="shared" si="142"/>
        <v>Q3</v>
      </c>
      <c r="J2258" t="str">
        <f t="shared" si="143"/>
        <v>Large</v>
      </c>
    </row>
    <row r="2259" spans="1:10" x14ac:dyDescent="0.25">
      <c r="A2259" t="s">
        <v>14</v>
      </c>
      <c r="B2259" t="s">
        <v>26</v>
      </c>
      <c r="C2259" t="s">
        <v>13</v>
      </c>
      <c r="D2259" s="1">
        <v>45495</v>
      </c>
      <c r="E2259" s="2">
        <v>10463.57</v>
      </c>
      <c r="F2259">
        <v>109</v>
      </c>
      <c r="G2259" s="2">
        <f t="shared" si="140"/>
        <v>95.996055045871557</v>
      </c>
      <c r="H2259" t="str">
        <f t="shared" si="141"/>
        <v>July</v>
      </c>
      <c r="I2259" t="str">
        <f t="shared" si="142"/>
        <v>Q3</v>
      </c>
      <c r="J2259" t="str">
        <f t="shared" si="143"/>
        <v>Large</v>
      </c>
    </row>
    <row r="2260" spans="1:10" x14ac:dyDescent="0.25">
      <c r="A2260" t="s">
        <v>12</v>
      </c>
      <c r="B2260" t="s">
        <v>26</v>
      </c>
      <c r="C2260" t="s">
        <v>52</v>
      </c>
      <c r="D2260" s="1">
        <v>45353</v>
      </c>
      <c r="E2260" s="2">
        <v>14154.35</v>
      </c>
      <c r="F2260">
        <v>105</v>
      </c>
      <c r="G2260" s="2">
        <f t="shared" si="140"/>
        <v>134.80333333333334</v>
      </c>
      <c r="H2260" t="str">
        <f t="shared" si="141"/>
        <v>March</v>
      </c>
      <c r="I2260" t="str">
        <f t="shared" si="142"/>
        <v>Q1</v>
      </c>
      <c r="J2260" t="str">
        <f t="shared" si="143"/>
        <v>Large</v>
      </c>
    </row>
    <row r="2261" spans="1:10" x14ac:dyDescent="0.25">
      <c r="A2261" t="s">
        <v>12</v>
      </c>
      <c r="B2261" t="s">
        <v>7</v>
      </c>
      <c r="C2261" t="s">
        <v>47</v>
      </c>
      <c r="D2261" s="1">
        <v>45301</v>
      </c>
      <c r="E2261" s="2">
        <v>6031.14</v>
      </c>
      <c r="F2261">
        <v>9</v>
      </c>
      <c r="G2261" s="2">
        <f t="shared" si="140"/>
        <v>670.12666666666667</v>
      </c>
      <c r="H2261" t="str">
        <f t="shared" si="141"/>
        <v>January</v>
      </c>
      <c r="I2261" t="str">
        <f t="shared" si="142"/>
        <v>Q1</v>
      </c>
      <c r="J2261" t="str">
        <f t="shared" si="143"/>
        <v>Large</v>
      </c>
    </row>
    <row r="2262" spans="1:10" x14ac:dyDescent="0.25">
      <c r="A2262" t="s">
        <v>6</v>
      </c>
      <c r="B2262" t="s">
        <v>21</v>
      </c>
      <c r="C2262" t="s">
        <v>44</v>
      </c>
      <c r="D2262" s="1">
        <v>45362</v>
      </c>
      <c r="E2262" s="2">
        <v>3308.4</v>
      </c>
      <c r="F2262">
        <v>258</v>
      </c>
      <c r="G2262" s="2">
        <f t="shared" si="140"/>
        <v>12.823255813953489</v>
      </c>
      <c r="H2262" t="str">
        <f t="shared" si="141"/>
        <v>March</v>
      </c>
      <c r="I2262" t="str">
        <f t="shared" si="142"/>
        <v>Q1</v>
      </c>
      <c r="J2262" t="str">
        <f t="shared" si="143"/>
        <v>Large</v>
      </c>
    </row>
    <row r="2263" spans="1:10" x14ac:dyDescent="0.25">
      <c r="A2263" t="s">
        <v>48</v>
      </c>
      <c r="B2263" t="s">
        <v>21</v>
      </c>
      <c r="C2263" t="s">
        <v>13</v>
      </c>
      <c r="D2263" s="1">
        <v>45463</v>
      </c>
      <c r="E2263" s="2">
        <v>1119.94</v>
      </c>
      <c r="F2263">
        <v>283</v>
      </c>
      <c r="G2263" s="2">
        <f t="shared" si="140"/>
        <v>3.9573851590106011</v>
      </c>
      <c r="H2263" t="str">
        <f t="shared" si="141"/>
        <v>June</v>
      </c>
      <c r="I2263" t="str">
        <f t="shared" si="142"/>
        <v>Q2</v>
      </c>
      <c r="J2263" t="str">
        <f t="shared" si="143"/>
        <v>Large</v>
      </c>
    </row>
    <row r="2264" spans="1:10" x14ac:dyDescent="0.25">
      <c r="A2264" t="s">
        <v>9</v>
      </c>
      <c r="B2264" t="s">
        <v>7</v>
      </c>
      <c r="C2264" t="s">
        <v>35</v>
      </c>
      <c r="D2264" s="1">
        <v>45530</v>
      </c>
      <c r="E2264" s="2">
        <v>2303.39</v>
      </c>
      <c r="F2264">
        <v>222</v>
      </c>
      <c r="G2264" s="2">
        <f t="shared" si="140"/>
        <v>10.37563063063063</v>
      </c>
      <c r="H2264" t="str">
        <f t="shared" si="141"/>
        <v>August</v>
      </c>
      <c r="I2264" t="str">
        <f t="shared" si="142"/>
        <v>Q3</v>
      </c>
      <c r="J2264" t="str">
        <f t="shared" si="143"/>
        <v>Large</v>
      </c>
    </row>
    <row r="2265" spans="1:10" x14ac:dyDescent="0.25">
      <c r="A2265" t="s">
        <v>36</v>
      </c>
      <c r="B2265" t="s">
        <v>29</v>
      </c>
      <c r="C2265" t="s">
        <v>37</v>
      </c>
      <c r="D2265" s="1">
        <v>45486</v>
      </c>
      <c r="E2265" s="2">
        <v>723.37</v>
      </c>
      <c r="F2265">
        <v>33</v>
      </c>
      <c r="G2265" s="2">
        <f t="shared" si="140"/>
        <v>21.920303030303032</v>
      </c>
      <c r="H2265" t="str">
        <f t="shared" si="141"/>
        <v>July</v>
      </c>
      <c r="I2265" t="str">
        <f t="shared" si="142"/>
        <v>Q3</v>
      </c>
      <c r="J2265" t="str">
        <f t="shared" si="143"/>
        <v>Large</v>
      </c>
    </row>
    <row r="2266" spans="1:10" x14ac:dyDescent="0.25">
      <c r="A2266" t="s">
        <v>50</v>
      </c>
      <c r="B2266" t="s">
        <v>26</v>
      </c>
      <c r="C2266" t="s">
        <v>39</v>
      </c>
      <c r="D2266" s="1">
        <v>45333</v>
      </c>
      <c r="E2266" s="2">
        <v>1413.64</v>
      </c>
      <c r="F2266">
        <v>261</v>
      </c>
      <c r="G2266" s="2">
        <f t="shared" si="140"/>
        <v>5.4162452107279702</v>
      </c>
      <c r="H2266" t="str">
        <f t="shared" si="141"/>
        <v>February</v>
      </c>
      <c r="I2266" t="str">
        <f t="shared" si="142"/>
        <v>Q1</v>
      </c>
      <c r="J2266" t="str">
        <f t="shared" si="143"/>
        <v>Large</v>
      </c>
    </row>
    <row r="2267" spans="1:10" x14ac:dyDescent="0.25">
      <c r="A2267" t="s">
        <v>33</v>
      </c>
      <c r="B2267" t="s">
        <v>26</v>
      </c>
      <c r="C2267" t="s">
        <v>27</v>
      </c>
      <c r="D2267" s="1">
        <v>45318</v>
      </c>
      <c r="E2267" s="2">
        <v>9001.89</v>
      </c>
      <c r="F2267">
        <v>193</v>
      </c>
      <c r="G2267" s="2">
        <f t="shared" si="140"/>
        <v>46.641917098445596</v>
      </c>
      <c r="H2267" t="str">
        <f t="shared" si="141"/>
        <v>January</v>
      </c>
      <c r="I2267" t="str">
        <f t="shared" si="142"/>
        <v>Q1</v>
      </c>
      <c r="J2267" t="str">
        <f t="shared" si="143"/>
        <v>Large</v>
      </c>
    </row>
    <row r="2268" spans="1:10" x14ac:dyDescent="0.25">
      <c r="A2268" t="s">
        <v>9</v>
      </c>
      <c r="B2268" t="s">
        <v>7</v>
      </c>
      <c r="C2268" t="s">
        <v>18</v>
      </c>
      <c r="D2268" s="1">
        <v>45322</v>
      </c>
      <c r="E2268" s="2">
        <v>5283.91</v>
      </c>
      <c r="F2268">
        <v>136</v>
      </c>
      <c r="G2268" s="2">
        <f t="shared" si="140"/>
        <v>38.852279411764705</v>
      </c>
      <c r="H2268" t="str">
        <f t="shared" si="141"/>
        <v>January</v>
      </c>
      <c r="I2268" t="str">
        <f t="shared" si="142"/>
        <v>Q1</v>
      </c>
      <c r="J2268" t="str">
        <f t="shared" si="143"/>
        <v>Large</v>
      </c>
    </row>
    <row r="2269" spans="1:10" x14ac:dyDescent="0.25">
      <c r="A2269" t="s">
        <v>50</v>
      </c>
      <c r="B2269" t="s">
        <v>26</v>
      </c>
      <c r="C2269" t="s">
        <v>44</v>
      </c>
      <c r="D2269" s="1">
        <v>45522</v>
      </c>
      <c r="E2269" s="2">
        <v>10958.51</v>
      </c>
      <c r="F2269">
        <v>23</v>
      </c>
      <c r="G2269" s="2">
        <f t="shared" si="140"/>
        <v>476.45695652173913</v>
      </c>
      <c r="H2269" t="str">
        <f t="shared" si="141"/>
        <v>August</v>
      </c>
      <c r="I2269" t="str">
        <f t="shared" si="142"/>
        <v>Q3</v>
      </c>
      <c r="J2269" t="str">
        <f t="shared" si="143"/>
        <v>Large</v>
      </c>
    </row>
    <row r="2270" spans="1:10" x14ac:dyDescent="0.25">
      <c r="A2270" t="s">
        <v>48</v>
      </c>
      <c r="B2270" t="s">
        <v>26</v>
      </c>
      <c r="C2270" t="s">
        <v>51</v>
      </c>
      <c r="D2270" s="1">
        <v>45473</v>
      </c>
      <c r="E2270" s="2">
        <v>15531.78</v>
      </c>
      <c r="F2270">
        <v>22</v>
      </c>
      <c r="G2270" s="2">
        <f t="shared" si="140"/>
        <v>705.99</v>
      </c>
      <c r="H2270" t="str">
        <f t="shared" si="141"/>
        <v>June</v>
      </c>
      <c r="I2270" t="str">
        <f t="shared" si="142"/>
        <v>Q2</v>
      </c>
      <c r="J2270" t="str">
        <f t="shared" si="143"/>
        <v>Large</v>
      </c>
    </row>
    <row r="2271" spans="1:10" x14ac:dyDescent="0.25">
      <c r="A2271" t="s">
        <v>54</v>
      </c>
      <c r="B2271" t="s">
        <v>15</v>
      </c>
      <c r="C2271" t="s">
        <v>42</v>
      </c>
      <c r="D2271" s="1">
        <v>45527</v>
      </c>
      <c r="E2271" s="2">
        <v>317.36</v>
      </c>
      <c r="F2271">
        <v>337</v>
      </c>
      <c r="G2271" s="2">
        <f t="shared" si="140"/>
        <v>0.94172106824925816</v>
      </c>
      <c r="H2271" t="str">
        <f t="shared" si="141"/>
        <v>August</v>
      </c>
      <c r="I2271" t="str">
        <f t="shared" si="142"/>
        <v>Q3</v>
      </c>
      <c r="J2271" t="str">
        <f t="shared" si="143"/>
        <v>Small</v>
      </c>
    </row>
    <row r="2272" spans="1:10" x14ac:dyDescent="0.25">
      <c r="A2272" t="s">
        <v>23</v>
      </c>
      <c r="B2272" t="s">
        <v>21</v>
      </c>
      <c r="C2272" t="s">
        <v>8</v>
      </c>
      <c r="D2272" s="1">
        <v>45505</v>
      </c>
      <c r="E2272" s="2">
        <v>71.41</v>
      </c>
      <c r="F2272">
        <v>188</v>
      </c>
      <c r="G2272" s="2">
        <f t="shared" si="140"/>
        <v>0.37984042553191488</v>
      </c>
      <c r="H2272" t="str">
        <f t="shared" si="141"/>
        <v>August</v>
      </c>
      <c r="I2272" t="str">
        <f t="shared" si="142"/>
        <v>Q3</v>
      </c>
      <c r="J2272" t="str">
        <f t="shared" si="143"/>
        <v>Small</v>
      </c>
    </row>
    <row r="2273" spans="1:10" x14ac:dyDescent="0.25">
      <c r="A2273" t="s">
        <v>36</v>
      </c>
      <c r="B2273" t="s">
        <v>21</v>
      </c>
      <c r="C2273" t="s">
        <v>20</v>
      </c>
      <c r="D2273" s="1">
        <v>45437</v>
      </c>
      <c r="E2273" s="2">
        <v>9317.33</v>
      </c>
      <c r="F2273">
        <v>11</v>
      </c>
      <c r="G2273" s="2">
        <f t="shared" si="140"/>
        <v>847.03</v>
      </c>
      <c r="H2273" t="str">
        <f t="shared" si="141"/>
        <v>May</v>
      </c>
      <c r="I2273" t="str">
        <f t="shared" si="142"/>
        <v>Q2</v>
      </c>
      <c r="J2273" t="str">
        <f t="shared" si="143"/>
        <v>Large</v>
      </c>
    </row>
    <row r="2274" spans="1:10" x14ac:dyDescent="0.25">
      <c r="A2274" t="s">
        <v>36</v>
      </c>
      <c r="B2274" t="s">
        <v>29</v>
      </c>
      <c r="C2274" t="s">
        <v>35</v>
      </c>
      <c r="D2274" s="1">
        <v>45301</v>
      </c>
      <c r="E2274" s="2">
        <v>4790.71</v>
      </c>
      <c r="F2274">
        <v>86</v>
      </c>
      <c r="G2274" s="2">
        <f t="shared" si="140"/>
        <v>55.705930232558138</v>
      </c>
      <c r="H2274" t="str">
        <f t="shared" si="141"/>
        <v>January</v>
      </c>
      <c r="I2274" t="str">
        <f t="shared" si="142"/>
        <v>Q1</v>
      </c>
      <c r="J2274" t="str">
        <f t="shared" si="143"/>
        <v>Large</v>
      </c>
    </row>
    <row r="2275" spans="1:10" x14ac:dyDescent="0.25">
      <c r="A2275" t="s">
        <v>43</v>
      </c>
      <c r="B2275" t="s">
        <v>15</v>
      </c>
      <c r="C2275" t="s">
        <v>58</v>
      </c>
      <c r="D2275" s="1">
        <v>45329</v>
      </c>
      <c r="E2275" s="2">
        <v>6166.8</v>
      </c>
      <c r="F2275">
        <v>114</v>
      </c>
      <c r="G2275" s="2">
        <f t="shared" si="140"/>
        <v>54.094736842105263</v>
      </c>
      <c r="H2275" t="str">
        <f t="shared" si="141"/>
        <v>February</v>
      </c>
      <c r="I2275" t="str">
        <f t="shared" si="142"/>
        <v>Q1</v>
      </c>
      <c r="J2275" t="str">
        <f t="shared" si="143"/>
        <v>Large</v>
      </c>
    </row>
    <row r="2276" spans="1:10" x14ac:dyDescent="0.25">
      <c r="A2276" t="s">
        <v>31</v>
      </c>
      <c r="B2276" t="s">
        <v>26</v>
      </c>
      <c r="C2276" t="s">
        <v>27</v>
      </c>
      <c r="D2276" s="1">
        <v>45424</v>
      </c>
      <c r="E2276" s="2">
        <v>11741.46</v>
      </c>
      <c r="F2276">
        <v>433</v>
      </c>
      <c r="G2276" s="2">
        <f t="shared" si="140"/>
        <v>27.11653579676674</v>
      </c>
      <c r="H2276" t="str">
        <f t="shared" si="141"/>
        <v>May</v>
      </c>
      <c r="I2276" t="str">
        <f t="shared" si="142"/>
        <v>Q2</v>
      </c>
      <c r="J2276" t="str">
        <f t="shared" si="143"/>
        <v>Large</v>
      </c>
    </row>
    <row r="2277" spans="1:10" x14ac:dyDescent="0.25">
      <c r="A2277" t="s">
        <v>53</v>
      </c>
      <c r="B2277" t="s">
        <v>15</v>
      </c>
      <c r="C2277" t="s">
        <v>39</v>
      </c>
      <c r="D2277" s="1">
        <v>45358</v>
      </c>
      <c r="E2277" s="2">
        <v>8519.77</v>
      </c>
      <c r="F2277">
        <v>443</v>
      </c>
      <c r="G2277" s="2">
        <f t="shared" si="140"/>
        <v>19.231986455981943</v>
      </c>
      <c r="H2277" t="str">
        <f t="shared" si="141"/>
        <v>March</v>
      </c>
      <c r="I2277" t="str">
        <f t="shared" si="142"/>
        <v>Q1</v>
      </c>
      <c r="J2277" t="str">
        <f t="shared" si="143"/>
        <v>Large</v>
      </c>
    </row>
    <row r="2278" spans="1:10" x14ac:dyDescent="0.25">
      <c r="A2278" t="s">
        <v>43</v>
      </c>
      <c r="B2278" t="s">
        <v>15</v>
      </c>
      <c r="C2278" t="s">
        <v>11</v>
      </c>
      <c r="D2278" s="1">
        <v>45387</v>
      </c>
      <c r="E2278" s="2">
        <v>8278.86</v>
      </c>
      <c r="F2278">
        <v>453</v>
      </c>
      <c r="G2278" s="2">
        <f t="shared" si="140"/>
        <v>18.275629139072848</v>
      </c>
      <c r="H2278" t="str">
        <f t="shared" si="141"/>
        <v>April</v>
      </c>
      <c r="I2278" t="str">
        <f t="shared" si="142"/>
        <v>Q2</v>
      </c>
      <c r="J2278" t="str">
        <f t="shared" si="143"/>
        <v>Large</v>
      </c>
    </row>
    <row r="2279" spans="1:10" x14ac:dyDescent="0.25">
      <c r="A2279" t="s">
        <v>48</v>
      </c>
      <c r="B2279" t="s">
        <v>29</v>
      </c>
      <c r="C2279" t="s">
        <v>57</v>
      </c>
      <c r="D2279" s="1">
        <v>45294</v>
      </c>
      <c r="E2279" s="2">
        <v>7560.62</v>
      </c>
      <c r="F2279">
        <v>336</v>
      </c>
      <c r="G2279" s="2">
        <f t="shared" si="140"/>
        <v>22.501845238095239</v>
      </c>
      <c r="H2279" t="str">
        <f t="shared" si="141"/>
        <v>January</v>
      </c>
      <c r="I2279" t="str">
        <f t="shared" si="142"/>
        <v>Q1</v>
      </c>
      <c r="J2279" t="str">
        <f t="shared" si="143"/>
        <v>Large</v>
      </c>
    </row>
    <row r="2280" spans="1:10" x14ac:dyDescent="0.25">
      <c r="A2280" t="s">
        <v>43</v>
      </c>
      <c r="B2280" t="s">
        <v>7</v>
      </c>
      <c r="C2280" t="s">
        <v>30</v>
      </c>
      <c r="D2280" s="1">
        <v>45375</v>
      </c>
      <c r="E2280" s="2">
        <v>6702.11</v>
      </c>
      <c r="F2280">
        <v>285</v>
      </c>
      <c r="G2280" s="2">
        <f t="shared" si="140"/>
        <v>23.516175438596491</v>
      </c>
      <c r="H2280" t="str">
        <f t="shared" si="141"/>
        <v>March</v>
      </c>
      <c r="I2280" t="str">
        <f t="shared" si="142"/>
        <v>Q1</v>
      </c>
      <c r="J2280" t="str">
        <f t="shared" si="143"/>
        <v>Large</v>
      </c>
    </row>
    <row r="2281" spans="1:10" x14ac:dyDescent="0.25">
      <c r="A2281" t="s">
        <v>53</v>
      </c>
      <c r="B2281" t="s">
        <v>10</v>
      </c>
      <c r="C2281" t="s">
        <v>51</v>
      </c>
      <c r="D2281" s="1">
        <v>45480</v>
      </c>
      <c r="E2281" s="2">
        <v>4758.6899999999996</v>
      </c>
      <c r="F2281">
        <v>10</v>
      </c>
      <c r="G2281" s="2">
        <f t="shared" si="140"/>
        <v>475.86899999999997</v>
      </c>
      <c r="H2281" t="str">
        <f t="shared" si="141"/>
        <v>July</v>
      </c>
      <c r="I2281" t="str">
        <f t="shared" si="142"/>
        <v>Q3</v>
      </c>
      <c r="J2281" t="str">
        <f t="shared" si="143"/>
        <v>Large</v>
      </c>
    </row>
    <row r="2282" spans="1:10" x14ac:dyDescent="0.25">
      <c r="A2282" t="s">
        <v>9</v>
      </c>
      <c r="B2282" t="s">
        <v>26</v>
      </c>
      <c r="C2282" t="s">
        <v>20</v>
      </c>
      <c r="D2282" s="1">
        <v>45499</v>
      </c>
      <c r="E2282" s="2">
        <v>709.25</v>
      </c>
      <c r="F2282">
        <v>263</v>
      </c>
      <c r="G2282" s="2">
        <f t="shared" si="140"/>
        <v>2.6967680608365021</v>
      </c>
      <c r="H2282" t="str">
        <f t="shared" si="141"/>
        <v>July</v>
      </c>
      <c r="I2282" t="str">
        <f t="shared" si="142"/>
        <v>Q3</v>
      </c>
      <c r="J2282" t="str">
        <f t="shared" si="143"/>
        <v>Large</v>
      </c>
    </row>
    <row r="2283" spans="1:10" x14ac:dyDescent="0.25">
      <c r="A2283" t="s">
        <v>46</v>
      </c>
      <c r="B2283" t="s">
        <v>15</v>
      </c>
      <c r="C2283" t="s">
        <v>35</v>
      </c>
      <c r="D2283" s="1">
        <v>45480</v>
      </c>
      <c r="E2283" s="2">
        <v>2003.05</v>
      </c>
      <c r="F2283">
        <v>110</v>
      </c>
      <c r="G2283" s="2">
        <f t="shared" si="140"/>
        <v>18.209545454545456</v>
      </c>
      <c r="H2283" t="str">
        <f t="shared" si="141"/>
        <v>July</v>
      </c>
      <c r="I2283" t="str">
        <f t="shared" si="142"/>
        <v>Q3</v>
      </c>
      <c r="J2283" t="str">
        <f t="shared" si="143"/>
        <v>Large</v>
      </c>
    </row>
    <row r="2284" spans="1:10" x14ac:dyDescent="0.25">
      <c r="A2284" t="s">
        <v>31</v>
      </c>
      <c r="B2284" t="s">
        <v>29</v>
      </c>
      <c r="C2284" t="s">
        <v>22</v>
      </c>
      <c r="D2284" s="1">
        <v>45488</v>
      </c>
      <c r="E2284" s="2">
        <v>3248</v>
      </c>
      <c r="F2284">
        <v>64</v>
      </c>
      <c r="G2284" s="2">
        <f t="shared" si="140"/>
        <v>50.75</v>
      </c>
      <c r="H2284" t="str">
        <f t="shared" si="141"/>
        <v>July</v>
      </c>
      <c r="I2284" t="str">
        <f t="shared" si="142"/>
        <v>Q3</v>
      </c>
      <c r="J2284" t="str">
        <f t="shared" si="143"/>
        <v>Large</v>
      </c>
    </row>
    <row r="2285" spans="1:10" x14ac:dyDescent="0.25">
      <c r="A2285" t="s">
        <v>36</v>
      </c>
      <c r="B2285" t="s">
        <v>21</v>
      </c>
      <c r="C2285" t="s">
        <v>27</v>
      </c>
      <c r="D2285" s="1">
        <v>45383</v>
      </c>
      <c r="E2285" s="2">
        <v>51.98</v>
      </c>
      <c r="F2285">
        <v>95</v>
      </c>
      <c r="G2285" s="2">
        <f t="shared" si="140"/>
        <v>0.54715789473684207</v>
      </c>
      <c r="H2285" t="str">
        <f t="shared" si="141"/>
        <v>April</v>
      </c>
      <c r="I2285" t="str">
        <f t="shared" si="142"/>
        <v>Q2</v>
      </c>
      <c r="J2285" t="str">
        <f t="shared" si="143"/>
        <v>Small</v>
      </c>
    </row>
    <row r="2286" spans="1:10" x14ac:dyDescent="0.25">
      <c r="A2286" t="s">
        <v>34</v>
      </c>
      <c r="B2286" t="s">
        <v>15</v>
      </c>
      <c r="C2286" t="s">
        <v>30</v>
      </c>
      <c r="D2286" s="1">
        <v>45463</v>
      </c>
      <c r="E2286" s="2">
        <v>2134.65</v>
      </c>
      <c r="F2286">
        <v>6</v>
      </c>
      <c r="G2286" s="2">
        <f t="shared" si="140"/>
        <v>355.77500000000003</v>
      </c>
      <c r="H2286" t="str">
        <f t="shared" si="141"/>
        <v>June</v>
      </c>
      <c r="I2286" t="str">
        <f t="shared" si="142"/>
        <v>Q2</v>
      </c>
      <c r="J2286" t="str">
        <f t="shared" si="143"/>
        <v>Large</v>
      </c>
    </row>
    <row r="2287" spans="1:10" x14ac:dyDescent="0.25">
      <c r="A2287" t="s">
        <v>49</v>
      </c>
      <c r="B2287" t="s">
        <v>7</v>
      </c>
      <c r="C2287" t="s">
        <v>42</v>
      </c>
      <c r="D2287" s="1">
        <v>45472</v>
      </c>
      <c r="E2287" s="2">
        <v>15540.41</v>
      </c>
      <c r="F2287">
        <v>520</v>
      </c>
      <c r="G2287" s="2">
        <f t="shared" si="140"/>
        <v>29.885403846153846</v>
      </c>
      <c r="H2287" t="str">
        <f t="shared" si="141"/>
        <v>June</v>
      </c>
      <c r="I2287" t="str">
        <f t="shared" si="142"/>
        <v>Q2</v>
      </c>
      <c r="J2287" t="str">
        <f t="shared" si="143"/>
        <v>Large</v>
      </c>
    </row>
    <row r="2288" spans="1:10" x14ac:dyDescent="0.25">
      <c r="A2288" t="s">
        <v>33</v>
      </c>
      <c r="B2288" t="s">
        <v>26</v>
      </c>
      <c r="C2288" t="s">
        <v>22</v>
      </c>
      <c r="D2288" s="1">
        <v>45458</v>
      </c>
      <c r="E2288" s="2">
        <v>1117.77</v>
      </c>
      <c r="F2288">
        <v>114</v>
      </c>
      <c r="G2288" s="2">
        <f t="shared" si="140"/>
        <v>9.8049999999999997</v>
      </c>
      <c r="H2288" t="str">
        <f t="shared" si="141"/>
        <v>June</v>
      </c>
      <c r="I2288" t="str">
        <f t="shared" si="142"/>
        <v>Q2</v>
      </c>
      <c r="J2288" t="str">
        <f t="shared" si="143"/>
        <v>Large</v>
      </c>
    </row>
    <row r="2289" spans="1:10" x14ac:dyDescent="0.25">
      <c r="A2289" t="s">
        <v>40</v>
      </c>
      <c r="B2289" t="s">
        <v>26</v>
      </c>
      <c r="C2289" t="s">
        <v>20</v>
      </c>
      <c r="D2289" s="1">
        <v>45390</v>
      </c>
      <c r="E2289" s="2">
        <v>13999.05</v>
      </c>
      <c r="F2289">
        <v>179</v>
      </c>
      <c r="G2289" s="2">
        <f t="shared" si="140"/>
        <v>78.206983240223465</v>
      </c>
      <c r="H2289" t="str">
        <f t="shared" si="141"/>
        <v>April</v>
      </c>
      <c r="I2289" t="str">
        <f t="shared" si="142"/>
        <v>Q2</v>
      </c>
      <c r="J2289" t="str">
        <f t="shared" si="143"/>
        <v>Large</v>
      </c>
    </row>
    <row r="2290" spans="1:10" x14ac:dyDescent="0.25">
      <c r="A2290" t="s">
        <v>43</v>
      </c>
      <c r="B2290" t="s">
        <v>15</v>
      </c>
      <c r="C2290" t="s">
        <v>51</v>
      </c>
      <c r="D2290" s="1">
        <v>45365</v>
      </c>
      <c r="E2290" s="2">
        <v>6265.59</v>
      </c>
      <c r="F2290">
        <v>31</v>
      </c>
      <c r="G2290" s="2">
        <f t="shared" si="140"/>
        <v>202.11580645161291</v>
      </c>
      <c r="H2290" t="str">
        <f t="shared" si="141"/>
        <v>March</v>
      </c>
      <c r="I2290" t="str">
        <f t="shared" si="142"/>
        <v>Q1</v>
      </c>
      <c r="J2290" t="str">
        <f t="shared" si="143"/>
        <v>Large</v>
      </c>
    </row>
    <row r="2291" spans="1:10" x14ac:dyDescent="0.25">
      <c r="A2291" t="s">
        <v>48</v>
      </c>
      <c r="B2291" t="s">
        <v>26</v>
      </c>
      <c r="C2291" t="s">
        <v>42</v>
      </c>
      <c r="D2291" s="1">
        <v>45488</v>
      </c>
      <c r="E2291" s="2">
        <v>1536.82</v>
      </c>
      <c r="F2291">
        <v>386</v>
      </c>
      <c r="G2291" s="2">
        <f t="shared" si="140"/>
        <v>3.9813989637305696</v>
      </c>
      <c r="H2291" t="str">
        <f t="shared" si="141"/>
        <v>July</v>
      </c>
      <c r="I2291" t="str">
        <f t="shared" si="142"/>
        <v>Q3</v>
      </c>
      <c r="J2291" t="str">
        <f t="shared" si="143"/>
        <v>Large</v>
      </c>
    </row>
    <row r="2292" spans="1:10" x14ac:dyDescent="0.25">
      <c r="A2292" t="s">
        <v>49</v>
      </c>
      <c r="B2292" t="s">
        <v>10</v>
      </c>
      <c r="C2292" t="s">
        <v>30</v>
      </c>
      <c r="D2292" s="1">
        <v>45401</v>
      </c>
      <c r="E2292" s="2">
        <v>6069.93</v>
      </c>
      <c r="F2292">
        <v>80</v>
      </c>
      <c r="G2292" s="2">
        <f t="shared" si="140"/>
        <v>75.874125000000006</v>
      </c>
      <c r="H2292" t="str">
        <f t="shared" si="141"/>
        <v>April</v>
      </c>
      <c r="I2292" t="str">
        <f t="shared" si="142"/>
        <v>Q2</v>
      </c>
      <c r="J2292" t="str">
        <f t="shared" si="143"/>
        <v>Large</v>
      </c>
    </row>
    <row r="2293" spans="1:10" x14ac:dyDescent="0.25">
      <c r="A2293" t="s">
        <v>33</v>
      </c>
      <c r="B2293" t="s">
        <v>26</v>
      </c>
      <c r="C2293" t="s">
        <v>18</v>
      </c>
      <c r="D2293" s="1">
        <v>45379</v>
      </c>
      <c r="E2293" s="2">
        <v>4861.33</v>
      </c>
      <c r="F2293">
        <v>286</v>
      </c>
      <c r="G2293" s="2">
        <f t="shared" si="140"/>
        <v>16.997657342657341</v>
      </c>
      <c r="H2293" t="str">
        <f t="shared" si="141"/>
        <v>March</v>
      </c>
      <c r="I2293" t="str">
        <f t="shared" si="142"/>
        <v>Q1</v>
      </c>
      <c r="J2293" t="str">
        <f t="shared" si="143"/>
        <v>Large</v>
      </c>
    </row>
    <row r="2294" spans="1:10" x14ac:dyDescent="0.25">
      <c r="A2294" t="s">
        <v>23</v>
      </c>
      <c r="B2294" t="s">
        <v>29</v>
      </c>
      <c r="C2294" t="s">
        <v>39</v>
      </c>
      <c r="D2294" s="1">
        <v>45355</v>
      </c>
      <c r="E2294" s="2">
        <v>8993.24</v>
      </c>
      <c r="F2294">
        <v>97</v>
      </c>
      <c r="G2294" s="2">
        <f t="shared" si="140"/>
        <v>92.713814432989693</v>
      </c>
      <c r="H2294" t="str">
        <f t="shared" si="141"/>
        <v>March</v>
      </c>
      <c r="I2294" t="str">
        <f t="shared" si="142"/>
        <v>Q1</v>
      </c>
      <c r="J2294" t="str">
        <f t="shared" si="143"/>
        <v>Large</v>
      </c>
    </row>
    <row r="2295" spans="1:10" x14ac:dyDescent="0.25">
      <c r="A2295" t="s">
        <v>31</v>
      </c>
      <c r="B2295" t="s">
        <v>21</v>
      </c>
      <c r="C2295" t="s">
        <v>58</v>
      </c>
      <c r="D2295" s="1">
        <v>45506</v>
      </c>
      <c r="E2295" s="2">
        <v>150.41999999999999</v>
      </c>
      <c r="F2295">
        <v>40</v>
      </c>
      <c r="G2295" s="2">
        <f t="shared" si="140"/>
        <v>3.7604999999999995</v>
      </c>
      <c r="H2295" t="str">
        <f t="shared" si="141"/>
        <v>August</v>
      </c>
      <c r="I2295" t="str">
        <f t="shared" si="142"/>
        <v>Q3</v>
      </c>
      <c r="J2295" t="str">
        <f t="shared" si="143"/>
        <v>Small</v>
      </c>
    </row>
    <row r="2296" spans="1:10" x14ac:dyDescent="0.25">
      <c r="A2296" t="s">
        <v>40</v>
      </c>
      <c r="B2296" t="s">
        <v>7</v>
      </c>
      <c r="C2296" t="s">
        <v>39</v>
      </c>
      <c r="D2296" s="1">
        <v>45529</v>
      </c>
      <c r="E2296" s="2">
        <v>5593.68</v>
      </c>
      <c r="F2296">
        <v>41</v>
      </c>
      <c r="G2296" s="2">
        <f t="shared" si="140"/>
        <v>136.43121951219513</v>
      </c>
      <c r="H2296" t="str">
        <f t="shared" si="141"/>
        <v>August</v>
      </c>
      <c r="I2296" t="str">
        <f t="shared" si="142"/>
        <v>Q3</v>
      </c>
      <c r="J2296" t="str">
        <f t="shared" si="143"/>
        <v>Large</v>
      </c>
    </row>
    <row r="2297" spans="1:10" x14ac:dyDescent="0.25">
      <c r="A2297" t="s">
        <v>33</v>
      </c>
      <c r="B2297" t="s">
        <v>26</v>
      </c>
      <c r="C2297" t="s">
        <v>47</v>
      </c>
      <c r="D2297" s="1">
        <v>45347</v>
      </c>
      <c r="E2297" s="2">
        <v>9376.61</v>
      </c>
      <c r="F2297">
        <v>167</v>
      </c>
      <c r="G2297" s="2">
        <f t="shared" si="140"/>
        <v>56.147365269461083</v>
      </c>
      <c r="H2297" t="str">
        <f t="shared" si="141"/>
        <v>February</v>
      </c>
      <c r="I2297" t="str">
        <f t="shared" si="142"/>
        <v>Q1</v>
      </c>
      <c r="J2297" t="str">
        <f t="shared" si="143"/>
        <v>Large</v>
      </c>
    </row>
    <row r="2298" spans="1:10" x14ac:dyDescent="0.25">
      <c r="A2298" t="s">
        <v>49</v>
      </c>
      <c r="B2298" t="s">
        <v>10</v>
      </c>
      <c r="C2298" t="s">
        <v>27</v>
      </c>
      <c r="D2298" s="1">
        <v>45450</v>
      </c>
      <c r="E2298" s="2">
        <v>11315.16</v>
      </c>
      <c r="F2298">
        <v>134</v>
      </c>
      <c r="G2298" s="2">
        <f t="shared" si="140"/>
        <v>84.441492537313437</v>
      </c>
      <c r="H2298" t="str">
        <f t="shared" si="141"/>
        <v>June</v>
      </c>
      <c r="I2298" t="str">
        <f t="shared" si="142"/>
        <v>Q2</v>
      </c>
      <c r="J2298" t="str">
        <f t="shared" si="143"/>
        <v>Large</v>
      </c>
    </row>
    <row r="2299" spans="1:10" x14ac:dyDescent="0.25">
      <c r="A2299" t="s">
        <v>14</v>
      </c>
      <c r="B2299" t="s">
        <v>10</v>
      </c>
      <c r="C2299" t="s">
        <v>39</v>
      </c>
      <c r="D2299" s="1">
        <v>45394</v>
      </c>
      <c r="E2299" s="2">
        <v>2048.34</v>
      </c>
      <c r="F2299">
        <v>506</v>
      </c>
      <c r="G2299" s="2">
        <f t="shared" si="140"/>
        <v>4.0481027667984195</v>
      </c>
      <c r="H2299" t="str">
        <f t="shared" si="141"/>
        <v>April</v>
      </c>
      <c r="I2299" t="str">
        <f t="shared" si="142"/>
        <v>Q2</v>
      </c>
      <c r="J2299" t="str">
        <f t="shared" si="143"/>
        <v>Large</v>
      </c>
    </row>
    <row r="2300" spans="1:10" x14ac:dyDescent="0.25">
      <c r="A2300" t="s">
        <v>55</v>
      </c>
      <c r="B2300" t="s">
        <v>10</v>
      </c>
      <c r="C2300" t="s">
        <v>39</v>
      </c>
      <c r="D2300" s="1">
        <v>45479</v>
      </c>
      <c r="E2300" s="2">
        <v>12562.81</v>
      </c>
      <c r="F2300">
        <v>101</v>
      </c>
      <c r="G2300" s="2">
        <f t="shared" si="140"/>
        <v>124.38425742574258</v>
      </c>
      <c r="H2300" t="str">
        <f t="shared" si="141"/>
        <v>July</v>
      </c>
      <c r="I2300" t="str">
        <f t="shared" si="142"/>
        <v>Q3</v>
      </c>
      <c r="J2300" t="str">
        <f t="shared" si="143"/>
        <v>Large</v>
      </c>
    </row>
    <row r="2301" spans="1:10" x14ac:dyDescent="0.25">
      <c r="A2301" t="s">
        <v>49</v>
      </c>
      <c r="B2301" t="s">
        <v>7</v>
      </c>
      <c r="C2301" t="s">
        <v>16</v>
      </c>
      <c r="D2301" s="1">
        <v>45310</v>
      </c>
      <c r="E2301" s="2">
        <v>6883.75</v>
      </c>
      <c r="F2301">
        <v>182</v>
      </c>
      <c r="G2301" s="2">
        <f t="shared" si="140"/>
        <v>37.822802197802197</v>
      </c>
      <c r="H2301" t="str">
        <f t="shared" si="141"/>
        <v>January</v>
      </c>
      <c r="I2301" t="str">
        <f t="shared" si="142"/>
        <v>Q1</v>
      </c>
      <c r="J2301" t="str">
        <f t="shared" si="143"/>
        <v>Large</v>
      </c>
    </row>
    <row r="2302" spans="1:10" x14ac:dyDescent="0.25">
      <c r="A2302" t="s">
        <v>53</v>
      </c>
      <c r="B2302" t="s">
        <v>15</v>
      </c>
      <c r="C2302" t="s">
        <v>42</v>
      </c>
      <c r="D2302" s="1">
        <v>45296</v>
      </c>
      <c r="E2302" s="2">
        <v>6105.6</v>
      </c>
      <c r="F2302">
        <v>90</v>
      </c>
      <c r="G2302" s="2">
        <f t="shared" si="140"/>
        <v>67.84</v>
      </c>
      <c r="H2302" t="str">
        <f t="shared" si="141"/>
        <v>January</v>
      </c>
      <c r="I2302" t="str">
        <f t="shared" si="142"/>
        <v>Q1</v>
      </c>
      <c r="J2302" t="str">
        <f t="shared" si="143"/>
        <v>Large</v>
      </c>
    </row>
    <row r="2303" spans="1:10" x14ac:dyDescent="0.25">
      <c r="A2303" t="s">
        <v>53</v>
      </c>
      <c r="B2303" t="s">
        <v>29</v>
      </c>
      <c r="C2303" t="s">
        <v>58</v>
      </c>
      <c r="D2303" s="1">
        <v>45315</v>
      </c>
      <c r="E2303" s="2">
        <v>12634.72</v>
      </c>
      <c r="F2303">
        <v>145</v>
      </c>
      <c r="G2303" s="2">
        <f t="shared" si="140"/>
        <v>87.135999999999996</v>
      </c>
      <c r="H2303" t="str">
        <f t="shared" si="141"/>
        <v>January</v>
      </c>
      <c r="I2303" t="str">
        <f t="shared" si="142"/>
        <v>Q1</v>
      </c>
      <c r="J2303" t="str">
        <f t="shared" si="143"/>
        <v>Large</v>
      </c>
    </row>
    <row r="2304" spans="1:10" x14ac:dyDescent="0.25">
      <c r="A2304" t="s">
        <v>46</v>
      </c>
      <c r="B2304" t="s">
        <v>15</v>
      </c>
      <c r="C2304" t="s">
        <v>32</v>
      </c>
      <c r="D2304" s="1">
        <v>45388</v>
      </c>
      <c r="E2304" s="2">
        <v>663.74</v>
      </c>
      <c r="F2304">
        <v>285</v>
      </c>
      <c r="G2304" s="2">
        <f t="shared" si="140"/>
        <v>2.3289122807017546</v>
      </c>
      <c r="H2304" t="str">
        <f t="shared" si="141"/>
        <v>April</v>
      </c>
      <c r="I2304" t="str">
        <f t="shared" si="142"/>
        <v>Q2</v>
      </c>
      <c r="J2304" t="str">
        <f t="shared" si="143"/>
        <v>Large</v>
      </c>
    </row>
    <row r="2305" spans="1:10" x14ac:dyDescent="0.25">
      <c r="A2305" t="s">
        <v>19</v>
      </c>
      <c r="B2305" t="s">
        <v>15</v>
      </c>
      <c r="C2305" t="s">
        <v>42</v>
      </c>
      <c r="D2305" s="1">
        <v>45458</v>
      </c>
      <c r="E2305" s="2">
        <v>7044.68</v>
      </c>
      <c r="F2305">
        <v>21</v>
      </c>
      <c r="G2305" s="2">
        <f t="shared" si="140"/>
        <v>335.46095238095239</v>
      </c>
      <c r="H2305" t="str">
        <f t="shared" si="141"/>
        <v>June</v>
      </c>
      <c r="I2305" t="str">
        <f t="shared" si="142"/>
        <v>Q2</v>
      </c>
      <c r="J2305" t="str">
        <f t="shared" si="143"/>
        <v>Large</v>
      </c>
    </row>
    <row r="2306" spans="1:10" x14ac:dyDescent="0.25">
      <c r="A2306" t="s">
        <v>12</v>
      </c>
      <c r="B2306" t="s">
        <v>29</v>
      </c>
      <c r="C2306" t="s">
        <v>56</v>
      </c>
      <c r="D2306" s="1">
        <v>45319</v>
      </c>
      <c r="E2306" s="2">
        <v>1804.9</v>
      </c>
      <c r="F2306">
        <v>47</v>
      </c>
      <c r="G2306" s="2">
        <f t="shared" si="140"/>
        <v>38.402127659574468</v>
      </c>
      <c r="H2306" t="str">
        <f t="shared" si="141"/>
        <v>January</v>
      </c>
      <c r="I2306" t="str">
        <f t="shared" si="142"/>
        <v>Q1</v>
      </c>
      <c r="J2306" t="str">
        <f t="shared" si="143"/>
        <v>Large</v>
      </c>
    </row>
    <row r="2307" spans="1:10" x14ac:dyDescent="0.25">
      <c r="A2307" t="s">
        <v>49</v>
      </c>
      <c r="B2307" t="s">
        <v>10</v>
      </c>
      <c r="C2307" t="s">
        <v>57</v>
      </c>
      <c r="D2307" s="1">
        <v>45367</v>
      </c>
      <c r="E2307" s="2">
        <v>513.42999999999995</v>
      </c>
      <c r="F2307">
        <v>131</v>
      </c>
      <c r="G2307" s="2">
        <f t="shared" ref="G2307:G2370" si="144">E2307/F2307</f>
        <v>3.9193129770992363</v>
      </c>
      <c r="H2307" t="str">
        <f t="shared" ref="H2307:H2370" si="145">TEXT(D2307, "mmmm")</f>
        <v>March</v>
      </c>
      <c r="I2307" t="str">
        <f t="shared" ref="I2307:I2370" si="146">"Q" &amp; ROUNDUP(MONTH(D2307)/3,0)</f>
        <v>Q1</v>
      </c>
      <c r="J2307" t="str">
        <f t="shared" ref="J2307:J2370" si="147">IF(E2307 &gt; 500, "Large", "Small")</f>
        <v>Large</v>
      </c>
    </row>
    <row r="2308" spans="1:10" x14ac:dyDescent="0.25">
      <c r="A2308" t="s">
        <v>24</v>
      </c>
      <c r="B2308" t="s">
        <v>15</v>
      </c>
      <c r="C2308" t="s">
        <v>32</v>
      </c>
      <c r="D2308" s="1">
        <v>45343</v>
      </c>
      <c r="E2308" s="2">
        <v>13699.76</v>
      </c>
      <c r="F2308">
        <v>389</v>
      </c>
      <c r="G2308" s="2">
        <f t="shared" si="144"/>
        <v>35.217892030848333</v>
      </c>
      <c r="H2308" t="str">
        <f t="shared" si="145"/>
        <v>February</v>
      </c>
      <c r="I2308" t="str">
        <f t="shared" si="146"/>
        <v>Q1</v>
      </c>
      <c r="J2308" t="str">
        <f t="shared" si="147"/>
        <v>Large</v>
      </c>
    </row>
    <row r="2309" spans="1:10" x14ac:dyDescent="0.25">
      <c r="A2309" t="s">
        <v>49</v>
      </c>
      <c r="B2309" t="s">
        <v>26</v>
      </c>
      <c r="C2309" t="s">
        <v>45</v>
      </c>
      <c r="D2309" s="1">
        <v>45338</v>
      </c>
      <c r="E2309" s="2">
        <v>19995.68</v>
      </c>
      <c r="F2309">
        <v>94</v>
      </c>
      <c r="G2309" s="2">
        <f t="shared" si="144"/>
        <v>212.72</v>
      </c>
      <c r="H2309" t="str">
        <f t="shared" si="145"/>
        <v>February</v>
      </c>
      <c r="I2309" t="str">
        <f t="shared" si="146"/>
        <v>Q1</v>
      </c>
      <c r="J2309" t="str">
        <f t="shared" si="147"/>
        <v>Large</v>
      </c>
    </row>
    <row r="2310" spans="1:10" x14ac:dyDescent="0.25">
      <c r="A2310" t="s">
        <v>6</v>
      </c>
      <c r="B2310" t="s">
        <v>29</v>
      </c>
      <c r="C2310" t="s">
        <v>39</v>
      </c>
      <c r="D2310" s="1">
        <v>45304</v>
      </c>
      <c r="E2310" s="2">
        <v>2189.6999999999998</v>
      </c>
      <c r="F2310">
        <v>29</v>
      </c>
      <c r="G2310" s="2">
        <f t="shared" si="144"/>
        <v>75.506896551724125</v>
      </c>
      <c r="H2310" t="str">
        <f t="shared" si="145"/>
        <v>January</v>
      </c>
      <c r="I2310" t="str">
        <f t="shared" si="146"/>
        <v>Q1</v>
      </c>
      <c r="J2310" t="str">
        <f t="shared" si="147"/>
        <v>Large</v>
      </c>
    </row>
    <row r="2311" spans="1:10" x14ac:dyDescent="0.25">
      <c r="A2311" t="s">
        <v>49</v>
      </c>
      <c r="B2311" t="s">
        <v>15</v>
      </c>
      <c r="C2311" t="s">
        <v>30</v>
      </c>
      <c r="D2311" s="1">
        <v>45374</v>
      </c>
      <c r="E2311" s="2">
        <v>8727.09</v>
      </c>
      <c r="F2311">
        <v>523</v>
      </c>
      <c r="G2311" s="2">
        <f t="shared" si="144"/>
        <v>16.686596558317401</v>
      </c>
      <c r="H2311" t="str">
        <f t="shared" si="145"/>
        <v>March</v>
      </c>
      <c r="I2311" t="str">
        <f t="shared" si="146"/>
        <v>Q1</v>
      </c>
      <c r="J2311" t="str">
        <f t="shared" si="147"/>
        <v>Large</v>
      </c>
    </row>
    <row r="2312" spans="1:10" x14ac:dyDescent="0.25">
      <c r="A2312" t="s">
        <v>38</v>
      </c>
      <c r="B2312" t="s">
        <v>29</v>
      </c>
      <c r="C2312" t="s">
        <v>39</v>
      </c>
      <c r="D2312" s="1">
        <v>45459</v>
      </c>
      <c r="E2312" s="2">
        <v>911.46</v>
      </c>
      <c r="F2312">
        <v>126</v>
      </c>
      <c r="G2312" s="2">
        <f t="shared" si="144"/>
        <v>7.2338095238095237</v>
      </c>
      <c r="H2312" t="str">
        <f t="shared" si="145"/>
        <v>June</v>
      </c>
      <c r="I2312" t="str">
        <f t="shared" si="146"/>
        <v>Q2</v>
      </c>
      <c r="J2312" t="str">
        <f t="shared" si="147"/>
        <v>Large</v>
      </c>
    </row>
    <row r="2313" spans="1:10" x14ac:dyDescent="0.25">
      <c r="A2313" t="s">
        <v>17</v>
      </c>
      <c r="B2313" t="s">
        <v>10</v>
      </c>
      <c r="C2313" t="s">
        <v>51</v>
      </c>
      <c r="D2313" s="1">
        <v>45396</v>
      </c>
      <c r="E2313" s="2">
        <v>7620.86</v>
      </c>
      <c r="F2313">
        <v>46</v>
      </c>
      <c r="G2313" s="2">
        <f t="shared" si="144"/>
        <v>165.67086956521737</v>
      </c>
      <c r="H2313" t="str">
        <f t="shared" si="145"/>
        <v>April</v>
      </c>
      <c r="I2313" t="str">
        <f t="shared" si="146"/>
        <v>Q2</v>
      </c>
      <c r="J2313" t="str">
        <f t="shared" si="147"/>
        <v>Large</v>
      </c>
    </row>
    <row r="2314" spans="1:10" x14ac:dyDescent="0.25">
      <c r="A2314" t="s">
        <v>49</v>
      </c>
      <c r="B2314" t="s">
        <v>7</v>
      </c>
      <c r="C2314" t="s">
        <v>30</v>
      </c>
      <c r="D2314" s="1">
        <v>45316</v>
      </c>
      <c r="E2314" s="2">
        <v>5054.5600000000004</v>
      </c>
      <c r="F2314">
        <v>60</v>
      </c>
      <c r="G2314" s="2">
        <f t="shared" si="144"/>
        <v>84.242666666666679</v>
      </c>
      <c r="H2314" t="str">
        <f t="shared" si="145"/>
        <v>January</v>
      </c>
      <c r="I2314" t="str">
        <f t="shared" si="146"/>
        <v>Q1</v>
      </c>
      <c r="J2314" t="str">
        <f t="shared" si="147"/>
        <v>Large</v>
      </c>
    </row>
    <row r="2315" spans="1:10" x14ac:dyDescent="0.25">
      <c r="A2315" t="s">
        <v>14</v>
      </c>
      <c r="B2315" t="s">
        <v>10</v>
      </c>
      <c r="C2315" t="s">
        <v>47</v>
      </c>
      <c r="D2315" s="1">
        <v>45362</v>
      </c>
      <c r="E2315" s="2">
        <v>5230.5</v>
      </c>
      <c r="F2315">
        <v>23</v>
      </c>
      <c r="G2315" s="2">
        <f t="shared" si="144"/>
        <v>227.41304347826087</v>
      </c>
      <c r="H2315" t="str">
        <f t="shared" si="145"/>
        <v>March</v>
      </c>
      <c r="I2315" t="str">
        <f t="shared" si="146"/>
        <v>Q1</v>
      </c>
      <c r="J2315" t="str">
        <f t="shared" si="147"/>
        <v>Large</v>
      </c>
    </row>
    <row r="2316" spans="1:10" x14ac:dyDescent="0.25">
      <c r="A2316" t="s">
        <v>54</v>
      </c>
      <c r="B2316" t="s">
        <v>7</v>
      </c>
      <c r="C2316" t="s">
        <v>47</v>
      </c>
      <c r="D2316" s="1">
        <v>45501</v>
      </c>
      <c r="E2316" s="2">
        <v>17104.04</v>
      </c>
      <c r="F2316">
        <v>103</v>
      </c>
      <c r="G2316" s="2">
        <f t="shared" si="144"/>
        <v>166.05864077669904</v>
      </c>
      <c r="H2316" t="str">
        <f t="shared" si="145"/>
        <v>July</v>
      </c>
      <c r="I2316" t="str">
        <f t="shared" si="146"/>
        <v>Q3</v>
      </c>
      <c r="J2316" t="str">
        <f t="shared" si="147"/>
        <v>Large</v>
      </c>
    </row>
    <row r="2317" spans="1:10" x14ac:dyDescent="0.25">
      <c r="A2317" t="s">
        <v>33</v>
      </c>
      <c r="B2317" t="s">
        <v>21</v>
      </c>
      <c r="C2317" t="s">
        <v>20</v>
      </c>
      <c r="D2317" s="1">
        <v>45360</v>
      </c>
      <c r="E2317" s="2">
        <v>1642.32</v>
      </c>
      <c r="F2317">
        <v>43</v>
      </c>
      <c r="G2317" s="2">
        <f t="shared" si="144"/>
        <v>38.193488372093022</v>
      </c>
      <c r="H2317" t="str">
        <f t="shared" si="145"/>
        <v>March</v>
      </c>
      <c r="I2317" t="str">
        <f t="shared" si="146"/>
        <v>Q1</v>
      </c>
      <c r="J2317" t="str">
        <f t="shared" si="147"/>
        <v>Large</v>
      </c>
    </row>
    <row r="2318" spans="1:10" x14ac:dyDescent="0.25">
      <c r="A2318" t="s">
        <v>40</v>
      </c>
      <c r="B2318" t="s">
        <v>15</v>
      </c>
      <c r="C2318" t="s">
        <v>27</v>
      </c>
      <c r="D2318" s="1">
        <v>45471</v>
      </c>
      <c r="E2318" s="2">
        <v>10322.19</v>
      </c>
      <c r="F2318">
        <v>182</v>
      </c>
      <c r="G2318" s="2">
        <f t="shared" si="144"/>
        <v>56.715329670329673</v>
      </c>
      <c r="H2318" t="str">
        <f t="shared" si="145"/>
        <v>June</v>
      </c>
      <c r="I2318" t="str">
        <f t="shared" si="146"/>
        <v>Q2</v>
      </c>
      <c r="J2318" t="str">
        <f t="shared" si="147"/>
        <v>Large</v>
      </c>
    </row>
    <row r="2319" spans="1:10" x14ac:dyDescent="0.25">
      <c r="A2319" t="s">
        <v>33</v>
      </c>
      <c r="B2319" t="s">
        <v>15</v>
      </c>
      <c r="C2319" t="s">
        <v>37</v>
      </c>
      <c r="D2319" s="1">
        <v>45501</v>
      </c>
      <c r="E2319" s="2">
        <v>2715.92</v>
      </c>
      <c r="F2319">
        <v>423</v>
      </c>
      <c r="G2319" s="2">
        <f t="shared" si="144"/>
        <v>6.4206146572104021</v>
      </c>
      <c r="H2319" t="str">
        <f t="shared" si="145"/>
        <v>July</v>
      </c>
      <c r="I2319" t="str">
        <f t="shared" si="146"/>
        <v>Q3</v>
      </c>
      <c r="J2319" t="str">
        <f t="shared" si="147"/>
        <v>Large</v>
      </c>
    </row>
    <row r="2320" spans="1:10" x14ac:dyDescent="0.25">
      <c r="A2320" t="s">
        <v>49</v>
      </c>
      <c r="B2320" t="s">
        <v>29</v>
      </c>
      <c r="C2320" t="s">
        <v>18</v>
      </c>
      <c r="D2320" s="1">
        <v>45519</v>
      </c>
      <c r="E2320" s="2">
        <v>5598.05</v>
      </c>
      <c r="F2320">
        <v>51</v>
      </c>
      <c r="G2320" s="2">
        <f t="shared" si="144"/>
        <v>109.7656862745098</v>
      </c>
      <c r="H2320" t="str">
        <f t="shared" si="145"/>
        <v>August</v>
      </c>
      <c r="I2320" t="str">
        <f t="shared" si="146"/>
        <v>Q3</v>
      </c>
      <c r="J2320" t="str">
        <f t="shared" si="147"/>
        <v>Large</v>
      </c>
    </row>
    <row r="2321" spans="1:10" x14ac:dyDescent="0.25">
      <c r="A2321" t="s">
        <v>41</v>
      </c>
      <c r="B2321" t="s">
        <v>15</v>
      </c>
      <c r="C2321" t="s">
        <v>45</v>
      </c>
      <c r="D2321" s="1">
        <v>45303</v>
      </c>
      <c r="E2321" s="2">
        <v>2996.99</v>
      </c>
      <c r="F2321">
        <v>280</v>
      </c>
      <c r="G2321" s="2">
        <f t="shared" si="144"/>
        <v>10.703535714285714</v>
      </c>
      <c r="H2321" t="str">
        <f t="shared" si="145"/>
        <v>January</v>
      </c>
      <c r="I2321" t="str">
        <f t="shared" si="146"/>
        <v>Q1</v>
      </c>
      <c r="J2321" t="str">
        <f t="shared" si="147"/>
        <v>Large</v>
      </c>
    </row>
    <row r="2322" spans="1:10" x14ac:dyDescent="0.25">
      <c r="A2322" t="s">
        <v>34</v>
      </c>
      <c r="B2322" t="s">
        <v>21</v>
      </c>
      <c r="C2322" t="s">
        <v>44</v>
      </c>
      <c r="D2322" s="1">
        <v>45375</v>
      </c>
      <c r="E2322" s="2">
        <v>7946.49</v>
      </c>
      <c r="F2322">
        <v>7</v>
      </c>
      <c r="G2322" s="2">
        <f t="shared" si="144"/>
        <v>1135.212857142857</v>
      </c>
      <c r="H2322" t="str">
        <f t="shared" si="145"/>
        <v>March</v>
      </c>
      <c r="I2322" t="str">
        <f t="shared" si="146"/>
        <v>Q1</v>
      </c>
      <c r="J2322" t="str">
        <f t="shared" si="147"/>
        <v>Large</v>
      </c>
    </row>
    <row r="2323" spans="1:10" x14ac:dyDescent="0.25">
      <c r="A2323" t="s">
        <v>9</v>
      </c>
      <c r="B2323" t="s">
        <v>7</v>
      </c>
      <c r="C2323" t="s">
        <v>37</v>
      </c>
      <c r="D2323" s="1">
        <v>45498</v>
      </c>
      <c r="E2323" s="2">
        <v>4991.22</v>
      </c>
      <c r="F2323">
        <v>92</v>
      </c>
      <c r="G2323" s="2">
        <f t="shared" si="144"/>
        <v>54.252391304347832</v>
      </c>
      <c r="H2323" t="str">
        <f t="shared" si="145"/>
        <v>July</v>
      </c>
      <c r="I2323" t="str">
        <f t="shared" si="146"/>
        <v>Q3</v>
      </c>
      <c r="J2323" t="str">
        <f t="shared" si="147"/>
        <v>Large</v>
      </c>
    </row>
    <row r="2324" spans="1:10" x14ac:dyDescent="0.25">
      <c r="A2324" t="s">
        <v>17</v>
      </c>
      <c r="B2324" t="s">
        <v>29</v>
      </c>
      <c r="C2324" t="s">
        <v>18</v>
      </c>
      <c r="D2324" s="1">
        <v>45505</v>
      </c>
      <c r="E2324" s="2">
        <v>4151.7</v>
      </c>
      <c r="F2324">
        <v>424</v>
      </c>
      <c r="G2324" s="2">
        <f t="shared" si="144"/>
        <v>9.7917452830188676</v>
      </c>
      <c r="H2324" t="str">
        <f t="shared" si="145"/>
        <v>August</v>
      </c>
      <c r="I2324" t="str">
        <f t="shared" si="146"/>
        <v>Q3</v>
      </c>
      <c r="J2324" t="str">
        <f t="shared" si="147"/>
        <v>Large</v>
      </c>
    </row>
    <row r="2325" spans="1:10" x14ac:dyDescent="0.25">
      <c r="A2325" t="s">
        <v>9</v>
      </c>
      <c r="B2325" t="s">
        <v>10</v>
      </c>
      <c r="C2325" t="s">
        <v>35</v>
      </c>
      <c r="D2325" s="1">
        <v>45428</v>
      </c>
      <c r="E2325" s="2">
        <v>22701.85</v>
      </c>
      <c r="F2325">
        <v>168</v>
      </c>
      <c r="G2325" s="2">
        <f t="shared" si="144"/>
        <v>135.13005952380951</v>
      </c>
      <c r="H2325" t="str">
        <f t="shared" si="145"/>
        <v>May</v>
      </c>
      <c r="I2325" t="str">
        <f t="shared" si="146"/>
        <v>Q2</v>
      </c>
      <c r="J2325" t="str">
        <f t="shared" si="147"/>
        <v>Large</v>
      </c>
    </row>
    <row r="2326" spans="1:10" x14ac:dyDescent="0.25">
      <c r="A2326" t="s">
        <v>36</v>
      </c>
      <c r="B2326" t="s">
        <v>10</v>
      </c>
      <c r="C2326" t="s">
        <v>16</v>
      </c>
      <c r="D2326" s="1">
        <v>45514</v>
      </c>
      <c r="E2326" s="2">
        <v>6014.3</v>
      </c>
      <c r="F2326">
        <v>141</v>
      </c>
      <c r="G2326" s="2">
        <f t="shared" si="144"/>
        <v>42.654609929078013</v>
      </c>
      <c r="H2326" t="str">
        <f t="shared" si="145"/>
        <v>August</v>
      </c>
      <c r="I2326" t="str">
        <f t="shared" si="146"/>
        <v>Q3</v>
      </c>
      <c r="J2326" t="str">
        <f t="shared" si="147"/>
        <v>Large</v>
      </c>
    </row>
    <row r="2327" spans="1:10" x14ac:dyDescent="0.25">
      <c r="A2327" t="s">
        <v>14</v>
      </c>
      <c r="B2327" t="s">
        <v>10</v>
      </c>
      <c r="C2327" t="s">
        <v>30</v>
      </c>
      <c r="D2327" s="1">
        <v>45296</v>
      </c>
      <c r="E2327" s="2">
        <v>2788.6</v>
      </c>
      <c r="F2327">
        <v>27</v>
      </c>
      <c r="G2327" s="2">
        <f t="shared" si="144"/>
        <v>103.28148148148148</v>
      </c>
      <c r="H2327" t="str">
        <f t="shared" si="145"/>
        <v>January</v>
      </c>
      <c r="I2327" t="str">
        <f t="shared" si="146"/>
        <v>Q1</v>
      </c>
      <c r="J2327" t="str">
        <f t="shared" si="147"/>
        <v>Large</v>
      </c>
    </row>
    <row r="2328" spans="1:10" x14ac:dyDescent="0.25">
      <c r="A2328" t="s">
        <v>55</v>
      </c>
      <c r="B2328" t="s">
        <v>7</v>
      </c>
      <c r="C2328" t="s">
        <v>16</v>
      </c>
      <c r="D2328" s="1">
        <v>45484</v>
      </c>
      <c r="E2328" s="2">
        <v>6503.75</v>
      </c>
      <c r="F2328">
        <v>116</v>
      </c>
      <c r="G2328" s="2">
        <f t="shared" si="144"/>
        <v>56.066810344827587</v>
      </c>
      <c r="H2328" t="str">
        <f t="shared" si="145"/>
        <v>July</v>
      </c>
      <c r="I2328" t="str">
        <f t="shared" si="146"/>
        <v>Q3</v>
      </c>
      <c r="J2328" t="str">
        <f t="shared" si="147"/>
        <v>Large</v>
      </c>
    </row>
    <row r="2329" spans="1:10" x14ac:dyDescent="0.25">
      <c r="A2329" t="s">
        <v>46</v>
      </c>
      <c r="B2329" t="s">
        <v>26</v>
      </c>
      <c r="C2329" t="s">
        <v>20</v>
      </c>
      <c r="D2329" s="1">
        <v>45407</v>
      </c>
      <c r="E2329" s="2">
        <v>433.92</v>
      </c>
      <c r="F2329">
        <v>31</v>
      </c>
      <c r="G2329" s="2">
        <f t="shared" si="144"/>
        <v>13.99741935483871</v>
      </c>
      <c r="H2329" t="str">
        <f t="shared" si="145"/>
        <v>April</v>
      </c>
      <c r="I2329" t="str">
        <f t="shared" si="146"/>
        <v>Q2</v>
      </c>
      <c r="J2329" t="str">
        <f t="shared" si="147"/>
        <v>Small</v>
      </c>
    </row>
    <row r="2330" spans="1:10" x14ac:dyDescent="0.25">
      <c r="A2330" t="s">
        <v>12</v>
      </c>
      <c r="B2330" t="s">
        <v>21</v>
      </c>
      <c r="C2330" t="s">
        <v>42</v>
      </c>
      <c r="D2330" s="1">
        <v>45386</v>
      </c>
      <c r="E2330" s="2">
        <v>12314.13</v>
      </c>
      <c r="F2330">
        <v>129</v>
      </c>
      <c r="G2330" s="2">
        <f t="shared" si="144"/>
        <v>95.458372093023243</v>
      </c>
      <c r="H2330" t="str">
        <f t="shared" si="145"/>
        <v>April</v>
      </c>
      <c r="I2330" t="str">
        <f t="shared" si="146"/>
        <v>Q2</v>
      </c>
      <c r="J2330" t="str">
        <f t="shared" si="147"/>
        <v>Large</v>
      </c>
    </row>
    <row r="2331" spans="1:10" x14ac:dyDescent="0.25">
      <c r="A2331" t="s">
        <v>25</v>
      </c>
      <c r="B2331" t="s">
        <v>26</v>
      </c>
      <c r="C2331" t="s">
        <v>51</v>
      </c>
      <c r="D2331" s="1">
        <v>45394</v>
      </c>
      <c r="E2331" s="2">
        <v>9876.86</v>
      </c>
      <c r="F2331">
        <v>106</v>
      </c>
      <c r="G2331" s="2">
        <f t="shared" si="144"/>
        <v>93.177924528301887</v>
      </c>
      <c r="H2331" t="str">
        <f t="shared" si="145"/>
        <v>April</v>
      </c>
      <c r="I2331" t="str">
        <f t="shared" si="146"/>
        <v>Q2</v>
      </c>
      <c r="J2331" t="str">
        <f t="shared" si="147"/>
        <v>Large</v>
      </c>
    </row>
    <row r="2332" spans="1:10" x14ac:dyDescent="0.25">
      <c r="A2332" t="s">
        <v>46</v>
      </c>
      <c r="B2332" t="s">
        <v>21</v>
      </c>
      <c r="C2332" t="s">
        <v>11</v>
      </c>
      <c r="D2332" s="1">
        <v>45506</v>
      </c>
      <c r="E2332" s="2">
        <v>2043.06</v>
      </c>
      <c r="F2332">
        <v>121</v>
      </c>
      <c r="G2332" s="2">
        <f t="shared" si="144"/>
        <v>16.884793388429753</v>
      </c>
      <c r="H2332" t="str">
        <f t="shared" si="145"/>
        <v>August</v>
      </c>
      <c r="I2332" t="str">
        <f t="shared" si="146"/>
        <v>Q3</v>
      </c>
      <c r="J2332" t="str">
        <f t="shared" si="147"/>
        <v>Large</v>
      </c>
    </row>
    <row r="2333" spans="1:10" x14ac:dyDescent="0.25">
      <c r="A2333" t="s">
        <v>12</v>
      </c>
      <c r="B2333" t="s">
        <v>21</v>
      </c>
      <c r="C2333" t="s">
        <v>45</v>
      </c>
      <c r="D2333" s="1">
        <v>45471</v>
      </c>
      <c r="E2333" s="2">
        <v>8728.7999999999993</v>
      </c>
      <c r="F2333">
        <v>272</v>
      </c>
      <c r="G2333" s="2">
        <f t="shared" si="144"/>
        <v>32.091176470588231</v>
      </c>
      <c r="H2333" t="str">
        <f t="shared" si="145"/>
        <v>June</v>
      </c>
      <c r="I2333" t="str">
        <f t="shared" si="146"/>
        <v>Q2</v>
      </c>
      <c r="J2333" t="str">
        <f t="shared" si="147"/>
        <v>Large</v>
      </c>
    </row>
    <row r="2334" spans="1:10" x14ac:dyDescent="0.25">
      <c r="A2334" t="s">
        <v>55</v>
      </c>
      <c r="B2334" t="s">
        <v>15</v>
      </c>
      <c r="C2334" t="s">
        <v>30</v>
      </c>
      <c r="D2334" s="1">
        <v>45478</v>
      </c>
      <c r="E2334" s="2">
        <v>4906.57</v>
      </c>
      <c r="F2334">
        <v>128</v>
      </c>
      <c r="G2334" s="2">
        <f t="shared" si="144"/>
        <v>38.332578124999998</v>
      </c>
      <c r="H2334" t="str">
        <f t="shared" si="145"/>
        <v>July</v>
      </c>
      <c r="I2334" t="str">
        <f t="shared" si="146"/>
        <v>Q3</v>
      </c>
      <c r="J2334" t="str">
        <f t="shared" si="147"/>
        <v>Large</v>
      </c>
    </row>
    <row r="2335" spans="1:10" x14ac:dyDescent="0.25">
      <c r="A2335" t="s">
        <v>24</v>
      </c>
      <c r="B2335" t="s">
        <v>21</v>
      </c>
      <c r="C2335" t="s">
        <v>52</v>
      </c>
      <c r="D2335" s="1">
        <v>45450</v>
      </c>
      <c r="E2335" s="2">
        <v>2278.06</v>
      </c>
      <c r="F2335">
        <v>49</v>
      </c>
      <c r="G2335" s="2">
        <f t="shared" si="144"/>
        <v>46.491020408163266</v>
      </c>
      <c r="H2335" t="str">
        <f t="shared" si="145"/>
        <v>June</v>
      </c>
      <c r="I2335" t="str">
        <f t="shared" si="146"/>
        <v>Q2</v>
      </c>
      <c r="J2335" t="str">
        <f t="shared" si="147"/>
        <v>Large</v>
      </c>
    </row>
    <row r="2336" spans="1:10" x14ac:dyDescent="0.25">
      <c r="A2336" t="s">
        <v>23</v>
      </c>
      <c r="B2336" t="s">
        <v>21</v>
      </c>
      <c r="C2336" t="s">
        <v>16</v>
      </c>
      <c r="D2336" s="1">
        <v>45309</v>
      </c>
      <c r="E2336" s="2">
        <v>1108.18</v>
      </c>
      <c r="F2336">
        <v>27</v>
      </c>
      <c r="G2336" s="2">
        <f t="shared" si="144"/>
        <v>41.043703703703706</v>
      </c>
      <c r="H2336" t="str">
        <f t="shared" si="145"/>
        <v>January</v>
      </c>
      <c r="I2336" t="str">
        <f t="shared" si="146"/>
        <v>Q1</v>
      </c>
      <c r="J2336" t="str">
        <f t="shared" si="147"/>
        <v>Large</v>
      </c>
    </row>
    <row r="2337" spans="1:10" x14ac:dyDescent="0.25">
      <c r="A2337" t="s">
        <v>23</v>
      </c>
      <c r="B2337" t="s">
        <v>15</v>
      </c>
      <c r="C2337" t="s">
        <v>56</v>
      </c>
      <c r="D2337" s="1">
        <v>45295</v>
      </c>
      <c r="E2337" s="2">
        <v>14957.65</v>
      </c>
      <c r="F2337">
        <v>206</v>
      </c>
      <c r="G2337" s="2">
        <f t="shared" si="144"/>
        <v>72.609951456310682</v>
      </c>
      <c r="H2337" t="str">
        <f t="shared" si="145"/>
        <v>January</v>
      </c>
      <c r="I2337" t="str">
        <f t="shared" si="146"/>
        <v>Q1</v>
      </c>
      <c r="J2337" t="str">
        <f t="shared" si="147"/>
        <v>Large</v>
      </c>
    </row>
    <row r="2338" spans="1:10" x14ac:dyDescent="0.25">
      <c r="A2338" t="s">
        <v>43</v>
      </c>
      <c r="B2338" t="s">
        <v>15</v>
      </c>
      <c r="C2338" t="s">
        <v>18</v>
      </c>
      <c r="D2338" s="1">
        <v>45322</v>
      </c>
      <c r="E2338" s="2">
        <v>3020.67</v>
      </c>
      <c r="F2338">
        <v>19</v>
      </c>
      <c r="G2338" s="2">
        <f t="shared" si="144"/>
        <v>158.98263157894738</v>
      </c>
      <c r="H2338" t="str">
        <f t="shared" si="145"/>
        <v>January</v>
      </c>
      <c r="I2338" t="str">
        <f t="shared" si="146"/>
        <v>Q1</v>
      </c>
      <c r="J2338" t="str">
        <f t="shared" si="147"/>
        <v>Large</v>
      </c>
    </row>
    <row r="2339" spans="1:10" x14ac:dyDescent="0.25">
      <c r="A2339" t="s">
        <v>49</v>
      </c>
      <c r="B2339" t="s">
        <v>10</v>
      </c>
      <c r="C2339" t="s">
        <v>47</v>
      </c>
      <c r="D2339" s="1">
        <v>45365</v>
      </c>
      <c r="E2339" s="2">
        <v>3677.47</v>
      </c>
      <c r="F2339">
        <v>152</v>
      </c>
      <c r="G2339" s="2">
        <f t="shared" si="144"/>
        <v>24.193881578947366</v>
      </c>
      <c r="H2339" t="str">
        <f t="shared" si="145"/>
        <v>March</v>
      </c>
      <c r="I2339" t="str">
        <f t="shared" si="146"/>
        <v>Q1</v>
      </c>
      <c r="J2339" t="str">
        <f t="shared" si="147"/>
        <v>Large</v>
      </c>
    </row>
    <row r="2340" spans="1:10" x14ac:dyDescent="0.25">
      <c r="A2340" t="s">
        <v>50</v>
      </c>
      <c r="B2340" t="s">
        <v>15</v>
      </c>
      <c r="C2340" t="s">
        <v>58</v>
      </c>
      <c r="D2340" s="1">
        <v>45411</v>
      </c>
      <c r="E2340" s="2">
        <v>6999.62</v>
      </c>
      <c r="F2340">
        <v>500</v>
      </c>
      <c r="G2340" s="2">
        <f t="shared" si="144"/>
        <v>13.99924</v>
      </c>
      <c r="H2340" t="str">
        <f t="shared" si="145"/>
        <v>April</v>
      </c>
      <c r="I2340" t="str">
        <f t="shared" si="146"/>
        <v>Q2</v>
      </c>
      <c r="J2340" t="str">
        <f t="shared" si="147"/>
        <v>Large</v>
      </c>
    </row>
    <row r="2341" spans="1:10" x14ac:dyDescent="0.25">
      <c r="A2341" t="s">
        <v>17</v>
      </c>
      <c r="B2341" t="s">
        <v>10</v>
      </c>
      <c r="C2341" t="s">
        <v>16</v>
      </c>
      <c r="D2341" s="1">
        <v>45329</v>
      </c>
      <c r="E2341" s="2">
        <v>10901.65</v>
      </c>
      <c r="F2341">
        <v>116</v>
      </c>
      <c r="G2341" s="2">
        <f t="shared" si="144"/>
        <v>93.97974137931034</v>
      </c>
      <c r="H2341" t="str">
        <f t="shared" si="145"/>
        <v>February</v>
      </c>
      <c r="I2341" t="str">
        <f t="shared" si="146"/>
        <v>Q1</v>
      </c>
      <c r="J2341" t="str">
        <f t="shared" si="147"/>
        <v>Large</v>
      </c>
    </row>
    <row r="2342" spans="1:10" x14ac:dyDescent="0.25">
      <c r="A2342" t="s">
        <v>41</v>
      </c>
      <c r="B2342" t="s">
        <v>7</v>
      </c>
      <c r="C2342" t="s">
        <v>35</v>
      </c>
      <c r="D2342" s="1">
        <v>45382</v>
      </c>
      <c r="E2342" s="2">
        <v>2586.62</v>
      </c>
      <c r="F2342">
        <v>172</v>
      </c>
      <c r="G2342" s="2">
        <f t="shared" si="144"/>
        <v>15.038488372093022</v>
      </c>
      <c r="H2342" t="str">
        <f t="shared" si="145"/>
        <v>March</v>
      </c>
      <c r="I2342" t="str">
        <f t="shared" si="146"/>
        <v>Q1</v>
      </c>
      <c r="J2342" t="str">
        <f t="shared" si="147"/>
        <v>Large</v>
      </c>
    </row>
    <row r="2343" spans="1:10" x14ac:dyDescent="0.25">
      <c r="A2343" t="s">
        <v>33</v>
      </c>
      <c r="B2343" t="s">
        <v>10</v>
      </c>
      <c r="C2343" t="s">
        <v>57</v>
      </c>
      <c r="D2343" s="1">
        <v>45367</v>
      </c>
      <c r="E2343" s="2">
        <v>5077.5</v>
      </c>
      <c r="F2343">
        <v>81</v>
      </c>
      <c r="G2343" s="2">
        <f t="shared" si="144"/>
        <v>62.685185185185183</v>
      </c>
      <c r="H2343" t="str">
        <f t="shared" si="145"/>
        <v>March</v>
      </c>
      <c r="I2343" t="str">
        <f t="shared" si="146"/>
        <v>Q1</v>
      </c>
      <c r="J2343" t="str">
        <f t="shared" si="147"/>
        <v>Large</v>
      </c>
    </row>
    <row r="2344" spans="1:10" x14ac:dyDescent="0.25">
      <c r="A2344" t="s">
        <v>31</v>
      </c>
      <c r="B2344" t="s">
        <v>7</v>
      </c>
      <c r="C2344" t="s">
        <v>30</v>
      </c>
      <c r="D2344" s="1">
        <v>45316</v>
      </c>
      <c r="E2344" s="2">
        <v>8360.11</v>
      </c>
      <c r="F2344">
        <v>203</v>
      </c>
      <c r="G2344" s="2">
        <f t="shared" si="144"/>
        <v>41.1828078817734</v>
      </c>
      <c r="H2344" t="str">
        <f t="shared" si="145"/>
        <v>January</v>
      </c>
      <c r="I2344" t="str">
        <f t="shared" si="146"/>
        <v>Q1</v>
      </c>
      <c r="J2344" t="str">
        <f t="shared" si="147"/>
        <v>Large</v>
      </c>
    </row>
    <row r="2345" spans="1:10" x14ac:dyDescent="0.25">
      <c r="A2345" t="s">
        <v>9</v>
      </c>
      <c r="B2345" t="s">
        <v>10</v>
      </c>
      <c r="C2345" t="s">
        <v>56</v>
      </c>
      <c r="D2345" s="1">
        <v>45463</v>
      </c>
      <c r="E2345" s="2">
        <v>3566.77</v>
      </c>
      <c r="F2345">
        <v>426</v>
      </c>
      <c r="G2345" s="2">
        <f t="shared" si="144"/>
        <v>8.3726995305164316</v>
      </c>
      <c r="H2345" t="str">
        <f t="shared" si="145"/>
        <v>June</v>
      </c>
      <c r="I2345" t="str">
        <f t="shared" si="146"/>
        <v>Q2</v>
      </c>
      <c r="J2345" t="str">
        <f t="shared" si="147"/>
        <v>Large</v>
      </c>
    </row>
    <row r="2346" spans="1:10" x14ac:dyDescent="0.25">
      <c r="A2346" t="s">
        <v>12</v>
      </c>
      <c r="B2346" t="s">
        <v>7</v>
      </c>
      <c r="C2346" t="s">
        <v>20</v>
      </c>
      <c r="D2346" s="1">
        <v>45380</v>
      </c>
      <c r="E2346" s="2">
        <v>9186.69</v>
      </c>
      <c r="F2346">
        <v>173</v>
      </c>
      <c r="G2346" s="2">
        <f t="shared" si="144"/>
        <v>53.10225433526012</v>
      </c>
      <c r="H2346" t="str">
        <f t="shared" si="145"/>
        <v>March</v>
      </c>
      <c r="I2346" t="str">
        <f t="shared" si="146"/>
        <v>Q1</v>
      </c>
      <c r="J2346" t="str">
        <f t="shared" si="147"/>
        <v>Large</v>
      </c>
    </row>
    <row r="2347" spans="1:10" x14ac:dyDescent="0.25">
      <c r="A2347" t="s">
        <v>38</v>
      </c>
      <c r="B2347" t="s">
        <v>15</v>
      </c>
      <c r="C2347" t="s">
        <v>27</v>
      </c>
      <c r="D2347" s="1">
        <v>45485</v>
      </c>
      <c r="E2347" s="2">
        <v>917.35</v>
      </c>
      <c r="F2347">
        <v>140</v>
      </c>
      <c r="G2347" s="2">
        <f t="shared" si="144"/>
        <v>6.5525000000000002</v>
      </c>
      <c r="H2347" t="str">
        <f t="shared" si="145"/>
        <v>July</v>
      </c>
      <c r="I2347" t="str">
        <f t="shared" si="146"/>
        <v>Q3</v>
      </c>
      <c r="J2347" t="str">
        <f t="shared" si="147"/>
        <v>Large</v>
      </c>
    </row>
    <row r="2348" spans="1:10" x14ac:dyDescent="0.25">
      <c r="A2348" t="s">
        <v>6</v>
      </c>
      <c r="B2348" t="s">
        <v>29</v>
      </c>
      <c r="C2348" t="s">
        <v>16</v>
      </c>
      <c r="D2348" s="1">
        <v>45484</v>
      </c>
      <c r="E2348" s="2">
        <v>6199.12</v>
      </c>
      <c r="F2348">
        <v>132</v>
      </c>
      <c r="G2348" s="2">
        <f t="shared" si="144"/>
        <v>46.963030303030301</v>
      </c>
      <c r="H2348" t="str">
        <f t="shared" si="145"/>
        <v>July</v>
      </c>
      <c r="I2348" t="str">
        <f t="shared" si="146"/>
        <v>Q3</v>
      </c>
      <c r="J2348" t="str">
        <f t="shared" si="147"/>
        <v>Large</v>
      </c>
    </row>
    <row r="2349" spans="1:10" x14ac:dyDescent="0.25">
      <c r="A2349" t="s">
        <v>31</v>
      </c>
      <c r="B2349" t="s">
        <v>29</v>
      </c>
      <c r="C2349" t="s">
        <v>16</v>
      </c>
      <c r="D2349" s="1">
        <v>45310</v>
      </c>
      <c r="E2349" s="2">
        <v>3368.63</v>
      </c>
      <c r="F2349">
        <v>180</v>
      </c>
      <c r="G2349" s="2">
        <f t="shared" si="144"/>
        <v>18.714611111111111</v>
      </c>
      <c r="H2349" t="str">
        <f t="shared" si="145"/>
        <v>January</v>
      </c>
      <c r="I2349" t="str">
        <f t="shared" si="146"/>
        <v>Q1</v>
      </c>
      <c r="J2349" t="str">
        <f t="shared" si="147"/>
        <v>Large</v>
      </c>
    </row>
    <row r="2350" spans="1:10" x14ac:dyDescent="0.25">
      <c r="A2350" t="s">
        <v>48</v>
      </c>
      <c r="B2350" t="s">
        <v>26</v>
      </c>
      <c r="C2350" t="s">
        <v>11</v>
      </c>
      <c r="D2350" s="1">
        <v>45387</v>
      </c>
      <c r="E2350" s="2">
        <v>10527.23</v>
      </c>
      <c r="F2350">
        <v>82</v>
      </c>
      <c r="G2350" s="2">
        <f t="shared" si="144"/>
        <v>128.38085365853658</v>
      </c>
      <c r="H2350" t="str">
        <f t="shared" si="145"/>
        <v>April</v>
      </c>
      <c r="I2350" t="str">
        <f t="shared" si="146"/>
        <v>Q2</v>
      </c>
      <c r="J2350" t="str">
        <f t="shared" si="147"/>
        <v>Large</v>
      </c>
    </row>
    <row r="2351" spans="1:10" x14ac:dyDescent="0.25">
      <c r="A2351" t="s">
        <v>6</v>
      </c>
      <c r="B2351" t="s">
        <v>29</v>
      </c>
      <c r="C2351" t="s">
        <v>37</v>
      </c>
      <c r="D2351" s="1">
        <v>45343</v>
      </c>
      <c r="E2351" s="2">
        <v>7927.57</v>
      </c>
      <c r="F2351">
        <v>12</v>
      </c>
      <c r="G2351" s="2">
        <f t="shared" si="144"/>
        <v>660.63083333333327</v>
      </c>
      <c r="H2351" t="str">
        <f t="shared" si="145"/>
        <v>February</v>
      </c>
      <c r="I2351" t="str">
        <f t="shared" si="146"/>
        <v>Q1</v>
      </c>
      <c r="J2351" t="str">
        <f t="shared" si="147"/>
        <v>Large</v>
      </c>
    </row>
    <row r="2352" spans="1:10" x14ac:dyDescent="0.25">
      <c r="A2352" t="s">
        <v>24</v>
      </c>
      <c r="B2352" t="s">
        <v>21</v>
      </c>
      <c r="C2352" t="s">
        <v>57</v>
      </c>
      <c r="D2352" s="1">
        <v>45432</v>
      </c>
      <c r="E2352" s="2">
        <v>14493.5</v>
      </c>
      <c r="F2352">
        <v>15</v>
      </c>
      <c r="G2352" s="2">
        <f t="shared" si="144"/>
        <v>966.23333333333335</v>
      </c>
      <c r="H2352" t="str">
        <f t="shared" si="145"/>
        <v>May</v>
      </c>
      <c r="I2352" t="str">
        <f t="shared" si="146"/>
        <v>Q2</v>
      </c>
      <c r="J2352" t="str">
        <f t="shared" si="147"/>
        <v>Large</v>
      </c>
    </row>
    <row r="2353" spans="1:10" x14ac:dyDescent="0.25">
      <c r="A2353" t="s">
        <v>28</v>
      </c>
      <c r="B2353" t="s">
        <v>15</v>
      </c>
      <c r="C2353" t="s">
        <v>37</v>
      </c>
      <c r="D2353" s="1">
        <v>45502</v>
      </c>
      <c r="E2353" s="2">
        <v>3112.2</v>
      </c>
      <c r="F2353">
        <v>107</v>
      </c>
      <c r="G2353" s="2">
        <f t="shared" si="144"/>
        <v>29.085981308411213</v>
      </c>
      <c r="H2353" t="str">
        <f t="shared" si="145"/>
        <v>July</v>
      </c>
      <c r="I2353" t="str">
        <f t="shared" si="146"/>
        <v>Q3</v>
      </c>
      <c r="J2353" t="str">
        <f t="shared" si="147"/>
        <v>Large</v>
      </c>
    </row>
    <row r="2354" spans="1:10" x14ac:dyDescent="0.25">
      <c r="A2354" t="s">
        <v>25</v>
      </c>
      <c r="B2354" t="s">
        <v>26</v>
      </c>
      <c r="C2354" t="s">
        <v>42</v>
      </c>
      <c r="D2354" s="1">
        <v>45319</v>
      </c>
      <c r="E2354" s="2">
        <v>9617.64</v>
      </c>
      <c r="F2354">
        <v>44</v>
      </c>
      <c r="G2354" s="2">
        <f t="shared" si="144"/>
        <v>218.58272727272725</v>
      </c>
      <c r="H2354" t="str">
        <f t="shared" si="145"/>
        <v>January</v>
      </c>
      <c r="I2354" t="str">
        <f t="shared" si="146"/>
        <v>Q1</v>
      </c>
      <c r="J2354" t="str">
        <f t="shared" si="147"/>
        <v>Large</v>
      </c>
    </row>
    <row r="2355" spans="1:10" x14ac:dyDescent="0.25">
      <c r="A2355" t="s">
        <v>33</v>
      </c>
      <c r="B2355" t="s">
        <v>7</v>
      </c>
      <c r="C2355" t="s">
        <v>57</v>
      </c>
      <c r="D2355" s="1">
        <v>45492</v>
      </c>
      <c r="E2355" s="2">
        <v>4198.08</v>
      </c>
      <c r="F2355">
        <v>107</v>
      </c>
      <c r="G2355" s="2">
        <f t="shared" si="144"/>
        <v>39.234392523364484</v>
      </c>
      <c r="H2355" t="str">
        <f t="shared" si="145"/>
        <v>July</v>
      </c>
      <c r="I2355" t="str">
        <f t="shared" si="146"/>
        <v>Q3</v>
      </c>
      <c r="J2355" t="str">
        <f t="shared" si="147"/>
        <v>Large</v>
      </c>
    </row>
    <row r="2356" spans="1:10" x14ac:dyDescent="0.25">
      <c r="A2356" t="s">
        <v>28</v>
      </c>
      <c r="B2356" t="s">
        <v>21</v>
      </c>
      <c r="C2356" t="s">
        <v>45</v>
      </c>
      <c r="D2356" s="1">
        <v>45395</v>
      </c>
      <c r="E2356" s="2">
        <v>10927.22</v>
      </c>
      <c r="F2356">
        <v>11</v>
      </c>
      <c r="G2356" s="2">
        <f t="shared" si="144"/>
        <v>993.38363636363636</v>
      </c>
      <c r="H2356" t="str">
        <f t="shared" si="145"/>
        <v>April</v>
      </c>
      <c r="I2356" t="str">
        <f t="shared" si="146"/>
        <v>Q2</v>
      </c>
      <c r="J2356" t="str">
        <f t="shared" si="147"/>
        <v>Large</v>
      </c>
    </row>
    <row r="2357" spans="1:10" x14ac:dyDescent="0.25">
      <c r="A2357" t="s">
        <v>36</v>
      </c>
      <c r="B2357" t="s">
        <v>10</v>
      </c>
      <c r="C2357" t="s">
        <v>13</v>
      </c>
      <c r="D2357" s="1">
        <v>45333</v>
      </c>
      <c r="E2357" s="2">
        <v>10759.18</v>
      </c>
      <c r="F2357">
        <v>20</v>
      </c>
      <c r="G2357" s="2">
        <f t="shared" si="144"/>
        <v>537.95900000000006</v>
      </c>
      <c r="H2357" t="str">
        <f t="shared" si="145"/>
        <v>February</v>
      </c>
      <c r="I2357" t="str">
        <f t="shared" si="146"/>
        <v>Q1</v>
      </c>
      <c r="J2357" t="str">
        <f t="shared" si="147"/>
        <v>Large</v>
      </c>
    </row>
    <row r="2358" spans="1:10" x14ac:dyDescent="0.25">
      <c r="A2358" t="s">
        <v>36</v>
      </c>
      <c r="B2358" t="s">
        <v>21</v>
      </c>
      <c r="C2358" t="s">
        <v>37</v>
      </c>
      <c r="D2358" s="1">
        <v>45353</v>
      </c>
      <c r="E2358" s="2">
        <v>6250.42</v>
      </c>
      <c r="F2358">
        <v>111</v>
      </c>
      <c r="G2358" s="2">
        <f t="shared" si="144"/>
        <v>56.310090090090092</v>
      </c>
      <c r="H2358" t="str">
        <f t="shared" si="145"/>
        <v>March</v>
      </c>
      <c r="I2358" t="str">
        <f t="shared" si="146"/>
        <v>Q1</v>
      </c>
      <c r="J2358" t="str">
        <f t="shared" si="147"/>
        <v>Large</v>
      </c>
    </row>
    <row r="2359" spans="1:10" x14ac:dyDescent="0.25">
      <c r="A2359" t="s">
        <v>55</v>
      </c>
      <c r="B2359" t="s">
        <v>15</v>
      </c>
      <c r="C2359" t="s">
        <v>44</v>
      </c>
      <c r="D2359" s="1">
        <v>45353</v>
      </c>
      <c r="E2359" s="2">
        <v>1103.54</v>
      </c>
      <c r="F2359">
        <v>195</v>
      </c>
      <c r="G2359" s="2">
        <f t="shared" si="144"/>
        <v>5.6591794871794869</v>
      </c>
      <c r="H2359" t="str">
        <f t="shared" si="145"/>
        <v>March</v>
      </c>
      <c r="I2359" t="str">
        <f t="shared" si="146"/>
        <v>Q1</v>
      </c>
      <c r="J2359" t="str">
        <f t="shared" si="147"/>
        <v>Large</v>
      </c>
    </row>
    <row r="2360" spans="1:10" x14ac:dyDescent="0.25">
      <c r="A2360" t="s">
        <v>9</v>
      </c>
      <c r="B2360" t="s">
        <v>26</v>
      </c>
      <c r="C2360" t="s">
        <v>18</v>
      </c>
      <c r="D2360" s="1">
        <v>45501</v>
      </c>
      <c r="E2360" s="2">
        <v>13435.98</v>
      </c>
      <c r="F2360">
        <v>6</v>
      </c>
      <c r="G2360" s="2">
        <f t="shared" si="144"/>
        <v>2239.33</v>
      </c>
      <c r="H2360" t="str">
        <f t="shared" si="145"/>
        <v>July</v>
      </c>
      <c r="I2360" t="str">
        <f t="shared" si="146"/>
        <v>Q3</v>
      </c>
      <c r="J2360" t="str">
        <f t="shared" si="147"/>
        <v>Large</v>
      </c>
    </row>
    <row r="2361" spans="1:10" x14ac:dyDescent="0.25">
      <c r="A2361" t="s">
        <v>49</v>
      </c>
      <c r="B2361" t="s">
        <v>10</v>
      </c>
      <c r="C2361" t="s">
        <v>20</v>
      </c>
      <c r="D2361" s="1">
        <v>45298</v>
      </c>
      <c r="E2361" s="2">
        <v>1855.03</v>
      </c>
      <c r="F2361">
        <v>563</v>
      </c>
      <c r="G2361" s="2">
        <f t="shared" si="144"/>
        <v>3.2949023090586147</v>
      </c>
      <c r="H2361" t="str">
        <f t="shared" si="145"/>
        <v>January</v>
      </c>
      <c r="I2361" t="str">
        <f t="shared" si="146"/>
        <v>Q1</v>
      </c>
      <c r="J2361" t="str">
        <f t="shared" si="147"/>
        <v>Large</v>
      </c>
    </row>
    <row r="2362" spans="1:10" x14ac:dyDescent="0.25">
      <c r="A2362" t="s">
        <v>23</v>
      </c>
      <c r="B2362" t="s">
        <v>7</v>
      </c>
      <c r="C2362" t="s">
        <v>44</v>
      </c>
      <c r="D2362" s="1">
        <v>45394</v>
      </c>
      <c r="E2362" s="2">
        <v>5799.09</v>
      </c>
      <c r="F2362">
        <v>169</v>
      </c>
      <c r="G2362" s="2">
        <f t="shared" si="144"/>
        <v>34.314142011834321</v>
      </c>
      <c r="H2362" t="str">
        <f t="shared" si="145"/>
        <v>April</v>
      </c>
      <c r="I2362" t="str">
        <f t="shared" si="146"/>
        <v>Q2</v>
      </c>
      <c r="J2362" t="str">
        <f t="shared" si="147"/>
        <v>Large</v>
      </c>
    </row>
    <row r="2363" spans="1:10" x14ac:dyDescent="0.25">
      <c r="A2363" t="s">
        <v>9</v>
      </c>
      <c r="B2363" t="s">
        <v>29</v>
      </c>
      <c r="C2363" t="s">
        <v>47</v>
      </c>
      <c r="D2363" s="1">
        <v>45470</v>
      </c>
      <c r="E2363" s="2">
        <v>3631.78</v>
      </c>
      <c r="F2363">
        <v>71</v>
      </c>
      <c r="G2363" s="2">
        <f t="shared" si="144"/>
        <v>51.151830985915495</v>
      </c>
      <c r="H2363" t="str">
        <f t="shared" si="145"/>
        <v>June</v>
      </c>
      <c r="I2363" t="str">
        <f t="shared" si="146"/>
        <v>Q2</v>
      </c>
      <c r="J2363" t="str">
        <f t="shared" si="147"/>
        <v>Large</v>
      </c>
    </row>
    <row r="2364" spans="1:10" x14ac:dyDescent="0.25">
      <c r="A2364" t="s">
        <v>6</v>
      </c>
      <c r="B2364" t="s">
        <v>15</v>
      </c>
      <c r="C2364" t="s">
        <v>22</v>
      </c>
      <c r="D2364" s="1">
        <v>45305</v>
      </c>
      <c r="E2364" s="2">
        <v>5461.43</v>
      </c>
      <c r="F2364">
        <v>456</v>
      </c>
      <c r="G2364" s="2">
        <f t="shared" si="144"/>
        <v>11.976820175438597</v>
      </c>
      <c r="H2364" t="str">
        <f t="shared" si="145"/>
        <v>January</v>
      </c>
      <c r="I2364" t="str">
        <f t="shared" si="146"/>
        <v>Q1</v>
      </c>
      <c r="J2364" t="str">
        <f t="shared" si="147"/>
        <v>Large</v>
      </c>
    </row>
    <row r="2365" spans="1:10" x14ac:dyDescent="0.25">
      <c r="A2365" t="s">
        <v>31</v>
      </c>
      <c r="B2365" t="s">
        <v>7</v>
      </c>
      <c r="C2365" t="s">
        <v>56</v>
      </c>
      <c r="D2365" s="1">
        <v>45329</v>
      </c>
      <c r="E2365" s="2">
        <v>5315.95</v>
      </c>
      <c r="F2365">
        <v>389</v>
      </c>
      <c r="G2365" s="2">
        <f t="shared" si="144"/>
        <v>13.665681233933162</v>
      </c>
      <c r="H2365" t="str">
        <f t="shared" si="145"/>
        <v>February</v>
      </c>
      <c r="I2365" t="str">
        <f t="shared" si="146"/>
        <v>Q1</v>
      </c>
      <c r="J2365" t="str">
        <f t="shared" si="147"/>
        <v>Large</v>
      </c>
    </row>
    <row r="2366" spans="1:10" x14ac:dyDescent="0.25">
      <c r="A2366" t="s">
        <v>6</v>
      </c>
      <c r="B2366" t="s">
        <v>15</v>
      </c>
      <c r="C2366" t="s">
        <v>27</v>
      </c>
      <c r="D2366" s="1">
        <v>45374</v>
      </c>
      <c r="E2366" s="2">
        <v>16059.94</v>
      </c>
      <c r="F2366">
        <v>28</v>
      </c>
      <c r="G2366" s="2">
        <f t="shared" si="144"/>
        <v>573.56928571428568</v>
      </c>
      <c r="H2366" t="str">
        <f t="shared" si="145"/>
        <v>March</v>
      </c>
      <c r="I2366" t="str">
        <f t="shared" si="146"/>
        <v>Q1</v>
      </c>
      <c r="J2366" t="str">
        <f t="shared" si="147"/>
        <v>Large</v>
      </c>
    </row>
    <row r="2367" spans="1:10" x14ac:dyDescent="0.25">
      <c r="A2367" t="s">
        <v>33</v>
      </c>
      <c r="B2367" t="s">
        <v>10</v>
      </c>
      <c r="C2367" t="s">
        <v>13</v>
      </c>
      <c r="D2367" s="1">
        <v>45301</v>
      </c>
      <c r="E2367" s="2">
        <v>7803.84</v>
      </c>
      <c r="F2367">
        <v>157</v>
      </c>
      <c r="G2367" s="2">
        <f t="shared" si="144"/>
        <v>49.705987261146497</v>
      </c>
      <c r="H2367" t="str">
        <f t="shared" si="145"/>
        <v>January</v>
      </c>
      <c r="I2367" t="str">
        <f t="shared" si="146"/>
        <v>Q1</v>
      </c>
      <c r="J2367" t="str">
        <f t="shared" si="147"/>
        <v>Large</v>
      </c>
    </row>
    <row r="2368" spans="1:10" x14ac:dyDescent="0.25">
      <c r="A2368" t="s">
        <v>17</v>
      </c>
      <c r="B2368" t="s">
        <v>7</v>
      </c>
      <c r="C2368" t="s">
        <v>52</v>
      </c>
      <c r="D2368" s="1">
        <v>45368</v>
      </c>
      <c r="E2368" s="2">
        <v>10751.19</v>
      </c>
      <c r="F2368">
        <v>44</v>
      </c>
      <c r="G2368" s="2">
        <f t="shared" si="144"/>
        <v>244.34522727272727</v>
      </c>
      <c r="H2368" t="str">
        <f t="shared" si="145"/>
        <v>March</v>
      </c>
      <c r="I2368" t="str">
        <f t="shared" si="146"/>
        <v>Q1</v>
      </c>
      <c r="J2368" t="str">
        <f t="shared" si="147"/>
        <v>Large</v>
      </c>
    </row>
    <row r="2369" spans="1:10" x14ac:dyDescent="0.25">
      <c r="A2369" t="s">
        <v>12</v>
      </c>
      <c r="B2369" t="s">
        <v>26</v>
      </c>
      <c r="C2369" t="s">
        <v>39</v>
      </c>
      <c r="D2369" s="1">
        <v>45312</v>
      </c>
      <c r="E2369" s="2">
        <v>12156.54</v>
      </c>
      <c r="F2369">
        <v>54</v>
      </c>
      <c r="G2369" s="2">
        <f t="shared" si="144"/>
        <v>225.12111111111113</v>
      </c>
      <c r="H2369" t="str">
        <f t="shared" si="145"/>
        <v>January</v>
      </c>
      <c r="I2369" t="str">
        <f t="shared" si="146"/>
        <v>Q1</v>
      </c>
      <c r="J2369" t="str">
        <f t="shared" si="147"/>
        <v>Large</v>
      </c>
    </row>
    <row r="2370" spans="1:10" x14ac:dyDescent="0.25">
      <c r="A2370" t="s">
        <v>25</v>
      </c>
      <c r="B2370" t="s">
        <v>15</v>
      </c>
      <c r="C2370" t="s">
        <v>44</v>
      </c>
      <c r="D2370" s="1">
        <v>45477</v>
      </c>
      <c r="E2370" s="2">
        <v>9402.26</v>
      </c>
      <c r="F2370">
        <v>401</v>
      </c>
      <c r="G2370" s="2">
        <f t="shared" si="144"/>
        <v>23.44703241895262</v>
      </c>
      <c r="H2370" t="str">
        <f t="shared" si="145"/>
        <v>July</v>
      </c>
      <c r="I2370" t="str">
        <f t="shared" si="146"/>
        <v>Q3</v>
      </c>
      <c r="J2370" t="str">
        <f t="shared" si="147"/>
        <v>Large</v>
      </c>
    </row>
    <row r="2371" spans="1:10" x14ac:dyDescent="0.25">
      <c r="A2371" t="s">
        <v>41</v>
      </c>
      <c r="B2371" t="s">
        <v>29</v>
      </c>
      <c r="C2371" t="s">
        <v>13</v>
      </c>
      <c r="D2371" s="1">
        <v>45477</v>
      </c>
      <c r="E2371" s="2">
        <v>3653.39</v>
      </c>
      <c r="F2371">
        <v>185</v>
      </c>
      <c r="G2371" s="2">
        <f t="shared" ref="G2371:G2434" si="148">E2371/F2371</f>
        <v>19.748054054054052</v>
      </c>
      <c r="H2371" t="str">
        <f t="shared" ref="H2371:H2434" si="149">TEXT(D2371, "mmmm")</f>
        <v>July</v>
      </c>
      <c r="I2371" t="str">
        <f t="shared" ref="I2371:I2434" si="150">"Q" &amp; ROUNDUP(MONTH(D2371)/3,0)</f>
        <v>Q3</v>
      </c>
      <c r="J2371" t="str">
        <f t="shared" ref="J2371:J2434" si="151">IF(E2371 &gt; 500, "Large", "Small")</f>
        <v>Large</v>
      </c>
    </row>
    <row r="2372" spans="1:10" x14ac:dyDescent="0.25">
      <c r="A2372" t="s">
        <v>54</v>
      </c>
      <c r="B2372" t="s">
        <v>26</v>
      </c>
      <c r="C2372" t="s">
        <v>45</v>
      </c>
      <c r="D2372" s="1">
        <v>45514</v>
      </c>
      <c r="E2372" s="2">
        <v>320.11</v>
      </c>
      <c r="F2372">
        <v>201</v>
      </c>
      <c r="G2372" s="2">
        <f t="shared" si="148"/>
        <v>1.5925870646766169</v>
      </c>
      <c r="H2372" t="str">
        <f t="shared" si="149"/>
        <v>August</v>
      </c>
      <c r="I2372" t="str">
        <f t="shared" si="150"/>
        <v>Q3</v>
      </c>
      <c r="J2372" t="str">
        <f t="shared" si="151"/>
        <v>Small</v>
      </c>
    </row>
    <row r="2373" spans="1:10" x14ac:dyDescent="0.25">
      <c r="A2373" t="s">
        <v>43</v>
      </c>
      <c r="B2373" t="s">
        <v>15</v>
      </c>
      <c r="C2373" t="s">
        <v>22</v>
      </c>
      <c r="D2373" s="1">
        <v>45383</v>
      </c>
      <c r="E2373" s="2">
        <v>7618.91</v>
      </c>
      <c r="F2373">
        <v>12</v>
      </c>
      <c r="G2373" s="2">
        <f t="shared" si="148"/>
        <v>634.90916666666669</v>
      </c>
      <c r="H2373" t="str">
        <f t="shared" si="149"/>
        <v>April</v>
      </c>
      <c r="I2373" t="str">
        <f t="shared" si="150"/>
        <v>Q2</v>
      </c>
      <c r="J2373" t="str">
        <f t="shared" si="151"/>
        <v>Large</v>
      </c>
    </row>
    <row r="2374" spans="1:10" x14ac:dyDescent="0.25">
      <c r="A2374" t="s">
        <v>12</v>
      </c>
      <c r="B2374" t="s">
        <v>10</v>
      </c>
      <c r="C2374" t="s">
        <v>51</v>
      </c>
      <c r="D2374" s="1">
        <v>45344</v>
      </c>
      <c r="E2374" s="2">
        <v>2843.9</v>
      </c>
      <c r="F2374">
        <v>158</v>
      </c>
      <c r="G2374" s="2">
        <f t="shared" si="148"/>
        <v>17.999367088607595</v>
      </c>
      <c r="H2374" t="str">
        <f t="shared" si="149"/>
        <v>February</v>
      </c>
      <c r="I2374" t="str">
        <f t="shared" si="150"/>
        <v>Q1</v>
      </c>
      <c r="J2374" t="str">
        <f t="shared" si="151"/>
        <v>Large</v>
      </c>
    </row>
    <row r="2375" spans="1:10" x14ac:dyDescent="0.25">
      <c r="A2375" t="s">
        <v>50</v>
      </c>
      <c r="B2375" t="s">
        <v>7</v>
      </c>
      <c r="C2375" t="s">
        <v>44</v>
      </c>
      <c r="D2375" s="1">
        <v>45294</v>
      </c>
      <c r="E2375" s="2">
        <v>11946.4</v>
      </c>
      <c r="F2375">
        <v>192</v>
      </c>
      <c r="G2375" s="2">
        <f t="shared" si="148"/>
        <v>62.220833333333331</v>
      </c>
      <c r="H2375" t="str">
        <f t="shared" si="149"/>
        <v>January</v>
      </c>
      <c r="I2375" t="str">
        <f t="shared" si="150"/>
        <v>Q1</v>
      </c>
      <c r="J2375" t="str">
        <f t="shared" si="151"/>
        <v>Large</v>
      </c>
    </row>
    <row r="2376" spans="1:10" x14ac:dyDescent="0.25">
      <c r="A2376" t="s">
        <v>31</v>
      </c>
      <c r="B2376" t="s">
        <v>10</v>
      </c>
      <c r="C2376" t="s">
        <v>32</v>
      </c>
      <c r="D2376" s="1">
        <v>45443</v>
      </c>
      <c r="E2376" s="2">
        <v>5055.05</v>
      </c>
      <c r="F2376">
        <v>241</v>
      </c>
      <c r="G2376" s="2">
        <f t="shared" si="148"/>
        <v>20.975311203319503</v>
      </c>
      <c r="H2376" t="str">
        <f t="shared" si="149"/>
        <v>May</v>
      </c>
      <c r="I2376" t="str">
        <f t="shared" si="150"/>
        <v>Q2</v>
      </c>
      <c r="J2376" t="str">
        <f t="shared" si="151"/>
        <v>Large</v>
      </c>
    </row>
    <row r="2377" spans="1:10" x14ac:dyDescent="0.25">
      <c r="A2377" t="s">
        <v>54</v>
      </c>
      <c r="B2377" t="s">
        <v>7</v>
      </c>
      <c r="C2377" t="s">
        <v>18</v>
      </c>
      <c r="D2377" s="1">
        <v>45294</v>
      </c>
      <c r="E2377" s="2">
        <v>10378.36</v>
      </c>
      <c r="F2377">
        <v>301</v>
      </c>
      <c r="G2377" s="2">
        <f t="shared" si="148"/>
        <v>34.479601328903655</v>
      </c>
      <c r="H2377" t="str">
        <f t="shared" si="149"/>
        <v>January</v>
      </c>
      <c r="I2377" t="str">
        <f t="shared" si="150"/>
        <v>Q1</v>
      </c>
      <c r="J2377" t="str">
        <f t="shared" si="151"/>
        <v>Large</v>
      </c>
    </row>
    <row r="2378" spans="1:10" x14ac:dyDescent="0.25">
      <c r="A2378" t="s">
        <v>40</v>
      </c>
      <c r="B2378" t="s">
        <v>21</v>
      </c>
      <c r="C2378" t="s">
        <v>57</v>
      </c>
      <c r="D2378" s="1">
        <v>45318</v>
      </c>
      <c r="E2378" s="2">
        <v>595.16</v>
      </c>
      <c r="F2378">
        <v>461</v>
      </c>
      <c r="G2378" s="2">
        <f t="shared" si="148"/>
        <v>1.2910195227765726</v>
      </c>
      <c r="H2378" t="str">
        <f t="shared" si="149"/>
        <v>January</v>
      </c>
      <c r="I2378" t="str">
        <f t="shared" si="150"/>
        <v>Q1</v>
      </c>
      <c r="J2378" t="str">
        <f t="shared" si="151"/>
        <v>Large</v>
      </c>
    </row>
    <row r="2379" spans="1:10" x14ac:dyDescent="0.25">
      <c r="A2379" t="s">
        <v>25</v>
      </c>
      <c r="B2379" t="s">
        <v>7</v>
      </c>
      <c r="C2379" t="s">
        <v>22</v>
      </c>
      <c r="D2379" s="1">
        <v>45319</v>
      </c>
      <c r="E2379" s="2">
        <v>639.95000000000005</v>
      </c>
      <c r="F2379">
        <v>71</v>
      </c>
      <c r="G2379" s="2">
        <f t="shared" si="148"/>
        <v>9.0133802816901412</v>
      </c>
      <c r="H2379" t="str">
        <f t="shared" si="149"/>
        <v>January</v>
      </c>
      <c r="I2379" t="str">
        <f t="shared" si="150"/>
        <v>Q1</v>
      </c>
      <c r="J2379" t="str">
        <f t="shared" si="151"/>
        <v>Large</v>
      </c>
    </row>
    <row r="2380" spans="1:10" x14ac:dyDescent="0.25">
      <c r="A2380" t="s">
        <v>38</v>
      </c>
      <c r="B2380" t="s">
        <v>15</v>
      </c>
      <c r="C2380" t="s">
        <v>35</v>
      </c>
      <c r="D2380" s="1">
        <v>45471</v>
      </c>
      <c r="E2380" s="2">
        <v>3717.35</v>
      </c>
      <c r="F2380">
        <v>322</v>
      </c>
      <c r="G2380" s="2">
        <f t="shared" si="148"/>
        <v>11.544565217391304</v>
      </c>
      <c r="H2380" t="str">
        <f t="shared" si="149"/>
        <v>June</v>
      </c>
      <c r="I2380" t="str">
        <f t="shared" si="150"/>
        <v>Q2</v>
      </c>
      <c r="J2380" t="str">
        <f t="shared" si="151"/>
        <v>Large</v>
      </c>
    </row>
    <row r="2381" spans="1:10" x14ac:dyDescent="0.25">
      <c r="A2381" t="s">
        <v>40</v>
      </c>
      <c r="B2381" t="s">
        <v>7</v>
      </c>
      <c r="C2381" t="s">
        <v>52</v>
      </c>
      <c r="D2381" s="1">
        <v>45353</v>
      </c>
      <c r="E2381" s="2">
        <v>5057.1000000000004</v>
      </c>
      <c r="F2381">
        <v>41</v>
      </c>
      <c r="G2381" s="2">
        <f t="shared" si="148"/>
        <v>123.3439024390244</v>
      </c>
      <c r="H2381" t="str">
        <f t="shared" si="149"/>
        <v>March</v>
      </c>
      <c r="I2381" t="str">
        <f t="shared" si="150"/>
        <v>Q1</v>
      </c>
      <c r="J2381" t="str">
        <f t="shared" si="151"/>
        <v>Large</v>
      </c>
    </row>
    <row r="2382" spans="1:10" x14ac:dyDescent="0.25">
      <c r="A2382" t="s">
        <v>46</v>
      </c>
      <c r="B2382" t="s">
        <v>15</v>
      </c>
      <c r="C2382" t="s">
        <v>20</v>
      </c>
      <c r="D2382" s="1">
        <v>45439</v>
      </c>
      <c r="E2382" s="2">
        <v>3729.83</v>
      </c>
      <c r="F2382">
        <v>27</v>
      </c>
      <c r="G2382" s="2">
        <f t="shared" si="148"/>
        <v>138.14185185185184</v>
      </c>
      <c r="H2382" t="str">
        <f t="shared" si="149"/>
        <v>May</v>
      </c>
      <c r="I2382" t="str">
        <f t="shared" si="150"/>
        <v>Q2</v>
      </c>
      <c r="J2382" t="str">
        <f t="shared" si="151"/>
        <v>Large</v>
      </c>
    </row>
    <row r="2383" spans="1:10" x14ac:dyDescent="0.25">
      <c r="A2383" t="s">
        <v>43</v>
      </c>
      <c r="B2383" t="s">
        <v>26</v>
      </c>
      <c r="C2383" t="s">
        <v>47</v>
      </c>
      <c r="D2383" s="1">
        <v>45473</v>
      </c>
      <c r="E2383" s="2">
        <v>13786.87</v>
      </c>
      <c r="F2383">
        <v>85</v>
      </c>
      <c r="G2383" s="2">
        <f t="shared" si="148"/>
        <v>162.1984705882353</v>
      </c>
      <c r="H2383" t="str">
        <f t="shared" si="149"/>
        <v>June</v>
      </c>
      <c r="I2383" t="str">
        <f t="shared" si="150"/>
        <v>Q2</v>
      </c>
      <c r="J2383" t="str">
        <f t="shared" si="151"/>
        <v>Large</v>
      </c>
    </row>
    <row r="2384" spans="1:10" x14ac:dyDescent="0.25">
      <c r="A2384" t="s">
        <v>25</v>
      </c>
      <c r="B2384" t="s">
        <v>29</v>
      </c>
      <c r="C2384" t="s">
        <v>13</v>
      </c>
      <c r="D2384" s="1">
        <v>45450</v>
      </c>
      <c r="E2384" s="2">
        <v>2206.2800000000002</v>
      </c>
      <c r="F2384">
        <v>79</v>
      </c>
      <c r="G2384" s="2">
        <f t="shared" si="148"/>
        <v>27.927594936708864</v>
      </c>
      <c r="H2384" t="str">
        <f t="shared" si="149"/>
        <v>June</v>
      </c>
      <c r="I2384" t="str">
        <f t="shared" si="150"/>
        <v>Q2</v>
      </c>
      <c r="J2384" t="str">
        <f t="shared" si="151"/>
        <v>Large</v>
      </c>
    </row>
    <row r="2385" spans="1:10" x14ac:dyDescent="0.25">
      <c r="A2385" t="s">
        <v>41</v>
      </c>
      <c r="B2385" t="s">
        <v>26</v>
      </c>
      <c r="C2385" t="s">
        <v>58</v>
      </c>
      <c r="D2385" s="1">
        <v>45424</v>
      </c>
      <c r="E2385" s="2">
        <v>4672.25</v>
      </c>
      <c r="F2385">
        <v>103</v>
      </c>
      <c r="G2385" s="2">
        <f t="shared" si="148"/>
        <v>45.36165048543689</v>
      </c>
      <c r="H2385" t="str">
        <f t="shared" si="149"/>
        <v>May</v>
      </c>
      <c r="I2385" t="str">
        <f t="shared" si="150"/>
        <v>Q2</v>
      </c>
      <c r="J2385" t="str">
        <f t="shared" si="151"/>
        <v>Large</v>
      </c>
    </row>
    <row r="2386" spans="1:10" x14ac:dyDescent="0.25">
      <c r="A2386" t="s">
        <v>25</v>
      </c>
      <c r="B2386" t="s">
        <v>21</v>
      </c>
      <c r="C2386" t="s">
        <v>51</v>
      </c>
      <c r="D2386" s="1">
        <v>45502</v>
      </c>
      <c r="E2386" s="2">
        <v>7667.99</v>
      </c>
      <c r="F2386">
        <v>69</v>
      </c>
      <c r="G2386" s="2">
        <f t="shared" si="148"/>
        <v>111.13028985507246</v>
      </c>
      <c r="H2386" t="str">
        <f t="shared" si="149"/>
        <v>July</v>
      </c>
      <c r="I2386" t="str">
        <f t="shared" si="150"/>
        <v>Q3</v>
      </c>
      <c r="J2386" t="str">
        <f t="shared" si="151"/>
        <v>Large</v>
      </c>
    </row>
    <row r="2387" spans="1:10" x14ac:dyDescent="0.25">
      <c r="A2387" t="s">
        <v>43</v>
      </c>
      <c r="B2387" t="s">
        <v>7</v>
      </c>
      <c r="C2387" t="s">
        <v>44</v>
      </c>
      <c r="D2387" s="1">
        <v>45507</v>
      </c>
      <c r="E2387" s="2">
        <v>8338.51</v>
      </c>
      <c r="F2387">
        <v>270</v>
      </c>
      <c r="G2387" s="2">
        <f t="shared" si="148"/>
        <v>30.883370370370372</v>
      </c>
      <c r="H2387" t="str">
        <f t="shared" si="149"/>
        <v>August</v>
      </c>
      <c r="I2387" t="str">
        <f t="shared" si="150"/>
        <v>Q3</v>
      </c>
      <c r="J2387" t="str">
        <f t="shared" si="151"/>
        <v>Large</v>
      </c>
    </row>
    <row r="2388" spans="1:10" x14ac:dyDescent="0.25">
      <c r="A2388" t="s">
        <v>25</v>
      </c>
      <c r="B2388" t="s">
        <v>10</v>
      </c>
      <c r="C2388" t="s">
        <v>56</v>
      </c>
      <c r="D2388" s="1">
        <v>45522</v>
      </c>
      <c r="E2388" s="2">
        <v>7548.62</v>
      </c>
      <c r="F2388">
        <v>153</v>
      </c>
      <c r="G2388" s="2">
        <f t="shared" si="148"/>
        <v>49.337385620915029</v>
      </c>
      <c r="H2388" t="str">
        <f t="shared" si="149"/>
        <v>August</v>
      </c>
      <c r="I2388" t="str">
        <f t="shared" si="150"/>
        <v>Q3</v>
      </c>
      <c r="J2388" t="str">
        <f t="shared" si="151"/>
        <v>Large</v>
      </c>
    </row>
    <row r="2389" spans="1:10" x14ac:dyDescent="0.25">
      <c r="A2389" t="s">
        <v>9</v>
      </c>
      <c r="B2389" t="s">
        <v>21</v>
      </c>
      <c r="C2389" t="s">
        <v>16</v>
      </c>
      <c r="D2389" s="1">
        <v>45457</v>
      </c>
      <c r="E2389" s="2">
        <v>3608.83</v>
      </c>
      <c r="F2389">
        <v>46</v>
      </c>
      <c r="G2389" s="2">
        <f t="shared" si="148"/>
        <v>78.45282608695652</v>
      </c>
      <c r="H2389" t="str">
        <f t="shared" si="149"/>
        <v>June</v>
      </c>
      <c r="I2389" t="str">
        <f t="shared" si="150"/>
        <v>Q2</v>
      </c>
      <c r="J2389" t="str">
        <f t="shared" si="151"/>
        <v>Large</v>
      </c>
    </row>
    <row r="2390" spans="1:10" x14ac:dyDescent="0.25">
      <c r="A2390" t="s">
        <v>34</v>
      </c>
      <c r="B2390" t="s">
        <v>7</v>
      </c>
      <c r="C2390" t="s">
        <v>44</v>
      </c>
      <c r="D2390" s="1">
        <v>45473</v>
      </c>
      <c r="E2390" s="2">
        <v>7108.96</v>
      </c>
      <c r="F2390">
        <v>80</v>
      </c>
      <c r="G2390" s="2">
        <f t="shared" si="148"/>
        <v>88.861999999999995</v>
      </c>
      <c r="H2390" t="str">
        <f t="shared" si="149"/>
        <v>June</v>
      </c>
      <c r="I2390" t="str">
        <f t="shared" si="150"/>
        <v>Q2</v>
      </c>
      <c r="J2390" t="str">
        <f t="shared" si="151"/>
        <v>Large</v>
      </c>
    </row>
    <row r="2391" spans="1:10" x14ac:dyDescent="0.25">
      <c r="A2391" t="s">
        <v>50</v>
      </c>
      <c r="B2391" t="s">
        <v>21</v>
      </c>
      <c r="C2391" t="s">
        <v>8</v>
      </c>
      <c r="D2391" s="1">
        <v>45456</v>
      </c>
      <c r="E2391" s="2">
        <v>1293.02</v>
      </c>
      <c r="F2391">
        <v>201</v>
      </c>
      <c r="G2391" s="2">
        <f t="shared" si="148"/>
        <v>6.4329353233830844</v>
      </c>
      <c r="H2391" t="str">
        <f t="shared" si="149"/>
        <v>June</v>
      </c>
      <c r="I2391" t="str">
        <f t="shared" si="150"/>
        <v>Q2</v>
      </c>
      <c r="J2391" t="str">
        <f t="shared" si="151"/>
        <v>Large</v>
      </c>
    </row>
    <row r="2392" spans="1:10" x14ac:dyDescent="0.25">
      <c r="A2392" t="s">
        <v>55</v>
      </c>
      <c r="B2392" t="s">
        <v>7</v>
      </c>
      <c r="C2392" t="s">
        <v>27</v>
      </c>
      <c r="D2392" s="1">
        <v>45409</v>
      </c>
      <c r="E2392" s="2">
        <v>15365.78</v>
      </c>
      <c r="F2392">
        <v>57</v>
      </c>
      <c r="G2392" s="2">
        <f t="shared" si="148"/>
        <v>269.57508771929827</v>
      </c>
      <c r="H2392" t="str">
        <f t="shared" si="149"/>
        <v>April</v>
      </c>
      <c r="I2392" t="str">
        <f t="shared" si="150"/>
        <v>Q2</v>
      </c>
      <c r="J2392" t="str">
        <f t="shared" si="151"/>
        <v>Large</v>
      </c>
    </row>
    <row r="2393" spans="1:10" x14ac:dyDescent="0.25">
      <c r="A2393" t="s">
        <v>14</v>
      </c>
      <c r="B2393" t="s">
        <v>15</v>
      </c>
      <c r="C2393" t="s">
        <v>44</v>
      </c>
      <c r="D2393" s="1">
        <v>45500</v>
      </c>
      <c r="E2393" s="2">
        <v>3766.49</v>
      </c>
      <c r="F2393">
        <v>33</v>
      </c>
      <c r="G2393" s="2">
        <f t="shared" si="148"/>
        <v>114.1360606060606</v>
      </c>
      <c r="H2393" t="str">
        <f t="shared" si="149"/>
        <v>July</v>
      </c>
      <c r="I2393" t="str">
        <f t="shared" si="150"/>
        <v>Q3</v>
      </c>
      <c r="J2393" t="str">
        <f t="shared" si="151"/>
        <v>Large</v>
      </c>
    </row>
    <row r="2394" spans="1:10" x14ac:dyDescent="0.25">
      <c r="A2394" t="s">
        <v>28</v>
      </c>
      <c r="B2394" t="s">
        <v>29</v>
      </c>
      <c r="C2394" t="s">
        <v>11</v>
      </c>
      <c r="D2394" s="1">
        <v>45402</v>
      </c>
      <c r="E2394" s="2">
        <v>1664.68</v>
      </c>
      <c r="F2394">
        <v>465</v>
      </c>
      <c r="G2394" s="2">
        <f t="shared" si="148"/>
        <v>3.5799569892473118</v>
      </c>
      <c r="H2394" t="str">
        <f t="shared" si="149"/>
        <v>April</v>
      </c>
      <c r="I2394" t="str">
        <f t="shared" si="150"/>
        <v>Q2</v>
      </c>
      <c r="J2394" t="str">
        <f t="shared" si="151"/>
        <v>Large</v>
      </c>
    </row>
    <row r="2395" spans="1:10" x14ac:dyDescent="0.25">
      <c r="A2395" t="s">
        <v>24</v>
      </c>
      <c r="B2395" t="s">
        <v>10</v>
      </c>
      <c r="C2395" t="s">
        <v>39</v>
      </c>
      <c r="D2395" s="1">
        <v>45295</v>
      </c>
      <c r="E2395" s="2">
        <v>8972.7900000000009</v>
      </c>
      <c r="F2395">
        <v>134</v>
      </c>
      <c r="G2395" s="2">
        <f t="shared" si="148"/>
        <v>66.961119402985076</v>
      </c>
      <c r="H2395" t="str">
        <f t="shared" si="149"/>
        <v>January</v>
      </c>
      <c r="I2395" t="str">
        <f t="shared" si="150"/>
        <v>Q1</v>
      </c>
      <c r="J2395" t="str">
        <f t="shared" si="151"/>
        <v>Large</v>
      </c>
    </row>
    <row r="2396" spans="1:10" x14ac:dyDescent="0.25">
      <c r="A2396" t="s">
        <v>55</v>
      </c>
      <c r="B2396" t="s">
        <v>15</v>
      </c>
      <c r="C2396" t="s">
        <v>8</v>
      </c>
      <c r="D2396" s="1">
        <v>45343</v>
      </c>
      <c r="E2396" s="2">
        <v>10576.55</v>
      </c>
      <c r="F2396">
        <v>96</v>
      </c>
      <c r="G2396" s="2">
        <f t="shared" si="148"/>
        <v>110.17239583333333</v>
      </c>
      <c r="H2396" t="str">
        <f t="shared" si="149"/>
        <v>February</v>
      </c>
      <c r="I2396" t="str">
        <f t="shared" si="150"/>
        <v>Q1</v>
      </c>
      <c r="J2396" t="str">
        <f t="shared" si="151"/>
        <v>Large</v>
      </c>
    </row>
    <row r="2397" spans="1:10" x14ac:dyDescent="0.25">
      <c r="A2397" t="s">
        <v>31</v>
      </c>
      <c r="B2397" t="s">
        <v>15</v>
      </c>
      <c r="C2397" t="s">
        <v>44</v>
      </c>
      <c r="D2397" s="1">
        <v>45296</v>
      </c>
      <c r="E2397" s="2">
        <v>8857.15</v>
      </c>
      <c r="F2397">
        <v>50</v>
      </c>
      <c r="G2397" s="2">
        <f t="shared" si="148"/>
        <v>177.143</v>
      </c>
      <c r="H2397" t="str">
        <f t="shared" si="149"/>
        <v>January</v>
      </c>
      <c r="I2397" t="str">
        <f t="shared" si="150"/>
        <v>Q1</v>
      </c>
      <c r="J2397" t="str">
        <f t="shared" si="151"/>
        <v>Large</v>
      </c>
    </row>
    <row r="2398" spans="1:10" x14ac:dyDescent="0.25">
      <c r="A2398" t="s">
        <v>34</v>
      </c>
      <c r="B2398" t="s">
        <v>10</v>
      </c>
      <c r="C2398" t="s">
        <v>32</v>
      </c>
      <c r="D2398" s="1">
        <v>45488</v>
      </c>
      <c r="E2398" s="2">
        <v>6756.17</v>
      </c>
      <c r="F2398">
        <v>45</v>
      </c>
      <c r="G2398" s="2">
        <f t="shared" si="148"/>
        <v>150.13711111111112</v>
      </c>
      <c r="H2398" t="str">
        <f t="shared" si="149"/>
        <v>July</v>
      </c>
      <c r="I2398" t="str">
        <f t="shared" si="150"/>
        <v>Q3</v>
      </c>
      <c r="J2398" t="str">
        <f t="shared" si="151"/>
        <v>Large</v>
      </c>
    </row>
    <row r="2399" spans="1:10" x14ac:dyDescent="0.25">
      <c r="A2399" t="s">
        <v>23</v>
      </c>
      <c r="B2399" t="s">
        <v>15</v>
      </c>
      <c r="C2399" t="s">
        <v>52</v>
      </c>
      <c r="D2399" s="1">
        <v>45437</v>
      </c>
      <c r="E2399" s="2">
        <v>5532.85</v>
      </c>
      <c r="F2399">
        <v>63</v>
      </c>
      <c r="G2399" s="2">
        <f t="shared" si="148"/>
        <v>87.823015873015876</v>
      </c>
      <c r="H2399" t="str">
        <f t="shared" si="149"/>
        <v>May</v>
      </c>
      <c r="I2399" t="str">
        <f t="shared" si="150"/>
        <v>Q2</v>
      </c>
      <c r="J2399" t="str">
        <f t="shared" si="151"/>
        <v>Large</v>
      </c>
    </row>
    <row r="2400" spans="1:10" x14ac:dyDescent="0.25">
      <c r="A2400" t="s">
        <v>31</v>
      </c>
      <c r="B2400" t="s">
        <v>29</v>
      </c>
      <c r="C2400" t="s">
        <v>30</v>
      </c>
      <c r="D2400" s="1">
        <v>45402</v>
      </c>
      <c r="E2400" s="2">
        <v>3713.66</v>
      </c>
      <c r="F2400">
        <v>352</v>
      </c>
      <c r="G2400" s="2">
        <f t="shared" si="148"/>
        <v>10.550170454545453</v>
      </c>
      <c r="H2400" t="str">
        <f t="shared" si="149"/>
        <v>April</v>
      </c>
      <c r="I2400" t="str">
        <f t="shared" si="150"/>
        <v>Q2</v>
      </c>
      <c r="J2400" t="str">
        <f t="shared" si="151"/>
        <v>Large</v>
      </c>
    </row>
    <row r="2401" spans="1:10" x14ac:dyDescent="0.25">
      <c r="A2401" t="s">
        <v>12</v>
      </c>
      <c r="B2401" t="s">
        <v>26</v>
      </c>
      <c r="C2401" t="s">
        <v>18</v>
      </c>
      <c r="D2401" s="1">
        <v>45445</v>
      </c>
      <c r="E2401" s="2">
        <v>906.85</v>
      </c>
      <c r="F2401">
        <v>246</v>
      </c>
      <c r="G2401" s="2">
        <f t="shared" si="148"/>
        <v>3.6863821138211383</v>
      </c>
      <c r="H2401" t="str">
        <f t="shared" si="149"/>
        <v>June</v>
      </c>
      <c r="I2401" t="str">
        <f t="shared" si="150"/>
        <v>Q2</v>
      </c>
      <c r="J2401" t="str">
        <f t="shared" si="151"/>
        <v>Large</v>
      </c>
    </row>
    <row r="2402" spans="1:10" x14ac:dyDescent="0.25">
      <c r="A2402" t="s">
        <v>33</v>
      </c>
      <c r="B2402" t="s">
        <v>7</v>
      </c>
      <c r="C2402" t="s">
        <v>16</v>
      </c>
      <c r="D2402" s="1">
        <v>45425</v>
      </c>
      <c r="E2402" s="2">
        <v>22558.880000000001</v>
      </c>
      <c r="F2402">
        <v>84</v>
      </c>
      <c r="G2402" s="2">
        <f t="shared" si="148"/>
        <v>268.55809523809523</v>
      </c>
      <c r="H2402" t="str">
        <f t="shared" si="149"/>
        <v>May</v>
      </c>
      <c r="I2402" t="str">
        <f t="shared" si="150"/>
        <v>Q2</v>
      </c>
      <c r="J2402" t="str">
        <f t="shared" si="151"/>
        <v>Large</v>
      </c>
    </row>
    <row r="2403" spans="1:10" x14ac:dyDescent="0.25">
      <c r="A2403" t="s">
        <v>34</v>
      </c>
      <c r="B2403" t="s">
        <v>21</v>
      </c>
      <c r="C2403" t="s">
        <v>56</v>
      </c>
      <c r="D2403" s="1">
        <v>45507</v>
      </c>
      <c r="E2403" s="2">
        <v>1517.05</v>
      </c>
      <c r="F2403">
        <v>147</v>
      </c>
      <c r="G2403" s="2">
        <f t="shared" si="148"/>
        <v>10.320068027210883</v>
      </c>
      <c r="H2403" t="str">
        <f t="shared" si="149"/>
        <v>August</v>
      </c>
      <c r="I2403" t="str">
        <f t="shared" si="150"/>
        <v>Q3</v>
      </c>
      <c r="J2403" t="str">
        <f t="shared" si="151"/>
        <v>Large</v>
      </c>
    </row>
    <row r="2404" spans="1:10" x14ac:dyDescent="0.25">
      <c r="A2404" t="s">
        <v>34</v>
      </c>
      <c r="B2404" t="s">
        <v>15</v>
      </c>
      <c r="C2404" t="s">
        <v>37</v>
      </c>
      <c r="D2404" s="1">
        <v>45437</v>
      </c>
      <c r="E2404" s="2">
        <v>770.45</v>
      </c>
      <c r="F2404">
        <v>389</v>
      </c>
      <c r="G2404" s="2">
        <f t="shared" si="148"/>
        <v>1.980591259640103</v>
      </c>
      <c r="H2404" t="str">
        <f t="shared" si="149"/>
        <v>May</v>
      </c>
      <c r="I2404" t="str">
        <f t="shared" si="150"/>
        <v>Q2</v>
      </c>
      <c r="J2404" t="str">
        <f t="shared" si="151"/>
        <v>Large</v>
      </c>
    </row>
    <row r="2405" spans="1:10" x14ac:dyDescent="0.25">
      <c r="A2405" t="s">
        <v>9</v>
      </c>
      <c r="B2405" t="s">
        <v>7</v>
      </c>
      <c r="C2405" t="s">
        <v>51</v>
      </c>
      <c r="D2405" s="1">
        <v>45367</v>
      </c>
      <c r="E2405" s="2">
        <v>7623.35</v>
      </c>
      <c r="F2405">
        <v>80</v>
      </c>
      <c r="G2405" s="2">
        <f t="shared" si="148"/>
        <v>95.291875000000005</v>
      </c>
      <c r="H2405" t="str">
        <f t="shared" si="149"/>
        <v>March</v>
      </c>
      <c r="I2405" t="str">
        <f t="shared" si="150"/>
        <v>Q1</v>
      </c>
      <c r="J2405" t="str">
        <f t="shared" si="151"/>
        <v>Large</v>
      </c>
    </row>
    <row r="2406" spans="1:10" x14ac:dyDescent="0.25">
      <c r="A2406" t="s">
        <v>14</v>
      </c>
      <c r="B2406" t="s">
        <v>15</v>
      </c>
      <c r="C2406" t="s">
        <v>27</v>
      </c>
      <c r="D2406" s="1">
        <v>45477</v>
      </c>
      <c r="E2406" s="2">
        <v>3418.05</v>
      </c>
      <c r="F2406">
        <v>117</v>
      </c>
      <c r="G2406" s="2">
        <f t="shared" si="148"/>
        <v>29.214102564102564</v>
      </c>
      <c r="H2406" t="str">
        <f t="shared" si="149"/>
        <v>July</v>
      </c>
      <c r="I2406" t="str">
        <f t="shared" si="150"/>
        <v>Q3</v>
      </c>
      <c r="J2406" t="str">
        <f t="shared" si="151"/>
        <v>Large</v>
      </c>
    </row>
    <row r="2407" spans="1:10" x14ac:dyDescent="0.25">
      <c r="A2407" t="s">
        <v>6</v>
      </c>
      <c r="B2407" t="s">
        <v>10</v>
      </c>
      <c r="C2407" t="s">
        <v>22</v>
      </c>
      <c r="D2407" s="1">
        <v>45478</v>
      </c>
      <c r="E2407" s="2">
        <v>4055.71</v>
      </c>
      <c r="F2407">
        <v>137</v>
      </c>
      <c r="G2407" s="2">
        <f t="shared" si="148"/>
        <v>29.603722627737227</v>
      </c>
      <c r="H2407" t="str">
        <f t="shared" si="149"/>
        <v>July</v>
      </c>
      <c r="I2407" t="str">
        <f t="shared" si="150"/>
        <v>Q3</v>
      </c>
      <c r="J2407" t="str">
        <f t="shared" si="151"/>
        <v>Large</v>
      </c>
    </row>
    <row r="2408" spans="1:10" x14ac:dyDescent="0.25">
      <c r="A2408" t="s">
        <v>53</v>
      </c>
      <c r="B2408" t="s">
        <v>26</v>
      </c>
      <c r="C2408" t="s">
        <v>20</v>
      </c>
      <c r="D2408" s="1">
        <v>45366</v>
      </c>
      <c r="E2408" s="2">
        <v>5432.84</v>
      </c>
      <c r="F2408">
        <v>450</v>
      </c>
      <c r="G2408" s="2">
        <f t="shared" si="148"/>
        <v>12.072977777777778</v>
      </c>
      <c r="H2408" t="str">
        <f t="shared" si="149"/>
        <v>March</v>
      </c>
      <c r="I2408" t="str">
        <f t="shared" si="150"/>
        <v>Q1</v>
      </c>
      <c r="J2408" t="str">
        <f t="shared" si="151"/>
        <v>Large</v>
      </c>
    </row>
    <row r="2409" spans="1:10" x14ac:dyDescent="0.25">
      <c r="A2409" t="s">
        <v>25</v>
      </c>
      <c r="B2409" t="s">
        <v>7</v>
      </c>
      <c r="C2409" t="s">
        <v>51</v>
      </c>
      <c r="D2409" s="1">
        <v>45526</v>
      </c>
      <c r="E2409" s="2">
        <v>6016.8</v>
      </c>
      <c r="F2409">
        <v>71</v>
      </c>
      <c r="G2409" s="2">
        <f t="shared" si="148"/>
        <v>84.743661971830988</v>
      </c>
      <c r="H2409" t="str">
        <f t="shared" si="149"/>
        <v>August</v>
      </c>
      <c r="I2409" t="str">
        <f t="shared" si="150"/>
        <v>Q3</v>
      </c>
      <c r="J2409" t="str">
        <f t="shared" si="151"/>
        <v>Large</v>
      </c>
    </row>
    <row r="2410" spans="1:10" x14ac:dyDescent="0.25">
      <c r="A2410" t="s">
        <v>55</v>
      </c>
      <c r="B2410" t="s">
        <v>15</v>
      </c>
      <c r="C2410" t="s">
        <v>58</v>
      </c>
      <c r="D2410" s="1">
        <v>45303</v>
      </c>
      <c r="E2410" s="2">
        <v>3609.76</v>
      </c>
      <c r="F2410">
        <v>122</v>
      </c>
      <c r="G2410" s="2">
        <f t="shared" si="148"/>
        <v>29.588196721311476</v>
      </c>
      <c r="H2410" t="str">
        <f t="shared" si="149"/>
        <v>January</v>
      </c>
      <c r="I2410" t="str">
        <f t="shared" si="150"/>
        <v>Q1</v>
      </c>
      <c r="J2410" t="str">
        <f t="shared" si="151"/>
        <v>Large</v>
      </c>
    </row>
    <row r="2411" spans="1:10" x14ac:dyDescent="0.25">
      <c r="A2411" t="s">
        <v>33</v>
      </c>
      <c r="B2411" t="s">
        <v>7</v>
      </c>
      <c r="C2411" t="s">
        <v>56</v>
      </c>
      <c r="D2411" s="1">
        <v>45453</v>
      </c>
      <c r="E2411" s="2">
        <v>302.25</v>
      </c>
      <c r="F2411">
        <v>154</v>
      </c>
      <c r="G2411" s="2">
        <f t="shared" si="148"/>
        <v>1.9626623376623376</v>
      </c>
      <c r="H2411" t="str">
        <f t="shared" si="149"/>
        <v>June</v>
      </c>
      <c r="I2411" t="str">
        <f t="shared" si="150"/>
        <v>Q2</v>
      </c>
      <c r="J2411" t="str">
        <f t="shared" si="151"/>
        <v>Small</v>
      </c>
    </row>
    <row r="2412" spans="1:10" x14ac:dyDescent="0.25">
      <c r="A2412" t="s">
        <v>41</v>
      </c>
      <c r="B2412" t="s">
        <v>15</v>
      </c>
      <c r="C2412" t="s">
        <v>13</v>
      </c>
      <c r="D2412" s="1">
        <v>45376</v>
      </c>
      <c r="E2412" s="2">
        <v>6062.87</v>
      </c>
      <c r="F2412">
        <v>290</v>
      </c>
      <c r="G2412" s="2">
        <f t="shared" si="148"/>
        <v>20.906448275862068</v>
      </c>
      <c r="H2412" t="str">
        <f t="shared" si="149"/>
        <v>March</v>
      </c>
      <c r="I2412" t="str">
        <f t="shared" si="150"/>
        <v>Q1</v>
      </c>
      <c r="J2412" t="str">
        <f t="shared" si="151"/>
        <v>Large</v>
      </c>
    </row>
    <row r="2413" spans="1:10" x14ac:dyDescent="0.25">
      <c r="A2413" t="s">
        <v>24</v>
      </c>
      <c r="B2413" t="s">
        <v>10</v>
      </c>
      <c r="C2413" t="s">
        <v>47</v>
      </c>
      <c r="D2413" s="1">
        <v>45500</v>
      </c>
      <c r="E2413" s="2">
        <v>3589.91</v>
      </c>
      <c r="F2413">
        <v>106</v>
      </c>
      <c r="G2413" s="2">
        <f t="shared" si="148"/>
        <v>33.867075471698115</v>
      </c>
      <c r="H2413" t="str">
        <f t="shared" si="149"/>
        <v>July</v>
      </c>
      <c r="I2413" t="str">
        <f t="shared" si="150"/>
        <v>Q3</v>
      </c>
      <c r="J2413" t="str">
        <f t="shared" si="151"/>
        <v>Large</v>
      </c>
    </row>
    <row r="2414" spans="1:10" x14ac:dyDescent="0.25">
      <c r="A2414" t="s">
        <v>40</v>
      </c>
      <c r="B2414" t="s">
        <v>7</v>
      </c>
      <c r="C2414" t="s">
        <v>57</v>
      </c>
      <c r="D2414" s="1">
        <v>45397</v>
      </c>
      <c r="E2414" s="2">
        <v>16457.28</v>
      </c>
      <c r="F2414">
        <v>442</v>
      </c>
      <c r="G2414" s="2">
        <f t="shared" si="148"/>
        <v>37.233665158371039</v>
      </c>
      <c r="H2414" t="str">
        <f t="shared" si="149"/>
        <v>April</v>
      </c>
      <c r="I2414" t="str">
        <f t="shared" si="150"/>
        <v>Q2</v>
      </c>
      <c r="J2414" t="str">
        <f t="shared" si="151"/>
        <v>Large</v>
      </c>
    </row>
    <row r="2415" spans="1:10" x14ac:dyDescent="0.25">
      <c r="A2415" t="s">
        <v>36</v>
      </c>
      <c r="B2415" t="s">
        <v>10</v>
      </c>
      <c r="C2415" t="s">
        <v>27</v>
      </c>
      <c r="D2415" s="1">
        <v>45470</v>
      </c>
      <c r="E2415" s="2">
        <v>4813.53</v>
      </c>
      <c r="F2415">
        <v>19</v>
      </c>
      <c r="G2415" s="2">
        <f t="shared" si="148"/>
        <v>253.34368421052631</v>
      </c>
      <c r="H2415" t="str">
        <f t="shared" si="149"/>
        <v>June</v>
      </c>
      <c r="I2415" t="str">
        <f t="shared" si="150"/>
        <v>Q2</v>
      </c>
      <c r="J2415" t="str">
        <f t="shared" si="151"/>
        <v>Large</v>
      </c>
    </row>
    <row r="2416" spans="1:10" x14ac:dyDescent="0.25">
      <c r="A2416" t="s">
        <v>6</v>
      </c>
      <c r="B2416" t="s">
        <v>7</v>
      </c>
      <c r="C2416" t="s">
        <v>58</v>
      </c>
      <c r="D2416" s="1">
        <v>45396</v>
      </c>
      <c r="E2416" s="2">
        <v>5819.17</v>
      </c>
      <c r="F2416">
        <v>270</v>
      </c>
      <c r="G2416" s="2">
        <f t="shared" si="148"/>
        <v>21.552481481481482</v>
      </c>
      <c r="H2416" t="str">
        <f t="shared" si="149"/>
        <v>April</v>
      </c>
      <c r="I2416" t="str">
        <f t="shared" si="150"/>
        <v>Q2</v>
      </c>
      <c r="J2416" t="str">
        <f t="shared" si="151"/>
        <v>Large</v>
      </c>
    </row>
    <row r="2417" spans="1:10" x14ac:dyDescent="0.25">
      <c r="A2417" t="s">
        <v>40</v>
      </c>
      <c r="B2417" t="s">
        <v>15</v>
      </c>
      <c r="C2417" t="s">
        <v>45</v>
      </c>
      <c r="D2417" s="1">
        <v>45366</v>
      </c>
      <c r="E2417" s="2">
        <v>7824.91</v>
      </c>
      <c r="F2417">
        <v>100</v>
      </c>
      <c r="G2417" s="2">
        <f t="shared" si="148"/>
        <v>78.249099999999999</v>
      </c>
      <c r="H2417" t="str">
        <f t="shared" si="149"/>
        <v>March</v>
      </c>
      <c r="I2417" t="str">
        <f t="shared" si="150"/>
        <v>Q1</v>
      </c>
      <c r="J2417" t="str">
        <f t="shared" si="151"/>
        <v>Large</v>
      </c>
    </row>
    <row r="2418" spans="1:10" x14ac:dyDescent="0.25">
      <c r="A2418" t="s">
        <v>53</v>
      </c>
      <c r="B2418" t="s">
        <v>26</v>
      </c>
      <c r="C2418" t="s">
        <v>30</v>
      </c>
      <c r="D2418" s="1">
        <v>45369</v>
      </c>
      <c r="E2418" s="2">
        <v>9446.67</v>
      </c>
      <c r="F2418">
        <v>193</v>
      </c>
      <c r="G2418" s="2">
        <f t="shared" si="148"/>
        <v>48.946476683937824</v>
      </c>
      <c r="H2418" t="str">
        <f t="shared" si="149"/>
        <v>March</v>
      </c>
      <c r="I2418" t="str">
        <f t="shared" si="150"/>
        <v>Q1</v>
      </c>
      <c r="J2418" t="str">
        <f t="shared" si="151"/>
        <v>Large</v>
      </c>
    </row>
    <row r="2419" spans="1:10" x14ac:dyDescent="0.25">
      <c r="A2419" t="s">
        <v>23</v>
      </c>
      <c r="B2419" t="s">
        <v>10</v>
      </c>
      <c r="C2419" t="s">
        <v>30</v>
      </c>
      <c r="D2419" s="1">
        <v>45411</v>
      </c>
      <c r="E2419" s="2">
        <v>1447.58</v>
      </c>
      <c r="F2419">
        <v>67</v>
      </c>
      <c r="G2419" s="2">
        <f t="shared" si="148"/>
        <v>21.605671641791044</v>
      </c>
      <c r="H2419" t="str">
        <f t="shared" si="149"/>
        <v>April</v>
      </c>
      <c r="I2419" t="str">
        <f t="shared" si="150"/>
        <v>Q2</v>
      </c>
      <c r="J2419" t="str">
        <f t="shared" si="151"/>
        <v>Large</v>
      </c>
    </row>
    <row r="2420" spans="1:10" x14ac:dyDescent="0.25">
      <c r="A2420" t="s">
        <v>28</v>
      </c>
      <c r="B2420" t="s">
        <v>21</v>
      </c>
      <c r="C2420" t="s">
        <v>44</v>
      </c>
      <c r="D2420" s="1">
        <v>45347</v>
      </c>
      <c r="E2420" s="2">
        <v>3356.27</v>
      </c>
      <c r="F2420">
        <v>238</v>
      </c>
      <c r="G2420" s="2">
        <f t="shared" si="148"/>
        <v>14.101974789915966</v>
      </c>
      <c r="H2420" t="str">
        <f t="shared" si="149"/>
        <v>February</v>
      </c>
      <c r="I2420" t="str">
        <f t="shared" si="150"/>
        <v>Q1</v>
      </c>
      <c r="J2420" t="str">
        <f t="shared" si="151"/>
        <v>Large</v>
      </c>
    </row>
    <row r="2421" spans="1:10" x14ac:dyDescent="0.25">
      <c r="A2421" t="s">
        <v>40</v>
      </c>
      <c r="B2421" t="s">
        <v>26</v>
      </c>
      <c r="C2421" t="s">
        <v>37</v>
      </c>
      <c r="D2421" s="1">
        <v>45353</v>
      </c>
      <c r="E2421" s="2">
        <v>1031.25</v>
      </c>
      <c r="F2421">
        <v>55</v>
      </c>
      <c r="G2421" s="2">
        <f t="shared" si="148"/>
        <v>18.75</v>
      </c>
      <c r="H2421" t="str">
        <f t="shared" si="149"/>
        <v>March</v>
      </c>
      <c r="I2421" t="str">
        <f t="shared" si="150"/>
        <v>Q1</v>
      </c>
      <c r="J2421" t="str">
        <f t="shared" si="151"/>
        <v>Large</v>
      </c>
    </row>
    <row r="2422" spans="1:10" x14ac:dyDescent="0.25">
      <c r="A2422" t="s">
        <v>9</v>
      </c>
      <c r="B2422" t="s">
        <v>15</v>
      </c>
      <c r="C2422" t="s">
        <v>37</v>
      </c>
      <c r="D2422" s="1">
        <v>45463</v>
      </c>
      <c r="E2422" s="2">
        <v>9471.51</v>
      </c>
      <c r="F2422">
        <v>95</v>
      </c>
      <c r="G2422" s="2">
        <f t="shared" si="148"/>
        <v>99.700105263157894</v>
      </c>
      <c r="H2422" t="str">
        <f t="shared" si="149"/>
        <v>June</v>
      </c>
      <c r="I2422" t="str">
        <f t="shared" si="150"/>
        <v>Q2</v>
      </c>
      <c r="J2422" t="str">
        <f t="shared" si="151"/>
        <v>Large</v>
      </c>
    </row>
    <row r="2423" spans="1:10" x14ac:dyDescent="0.25">
      <c r="A2423" t="s">
        <v>34</v>
      </c>
      <c r="B2423" t="s">
        <v>29</v>
      </c>
      <c r="C2423" t="s">
        <v>44</v>
      </c>
      <c r="D2423" s="1">
        <v>45488</v>
      </c>
      <c r="E2423" s="2">
        <v>10573.29</v>
      </c>
      <c r="F2423">
        <v>179</v>
      </c>
      <c r="G2423" s="2">
        <f t="shared" si="148"/>
        <v>59.068659217877098</v>
      </c>
      <c r="H2423" t="str">
        <f t="shared" si="149"/>
        <v>July</v>
      </c>
      <c r="I2423" t="str">
        <f t="shared" si="150"/>
        <v>Q3</v>
      </c>
      <c r="J2423" t="str">
        <f t="shared" si="151"/>
        <v>Large</v>
      </c>
    </row>
    <row r="2424" spans="1:10" x14ac:dyDescent="0.25">
      <c r="A2424" t="s">
        <v>54</v>
      </c>
      <c r="B2424" t="s">
        <v>15</v>
      </c>
      <c r="C2424" t="s">
        <v>22</v>
      </c>
      <c r="D2424" s="1">
        <v>45424</v>
      </c>
      <c r="E2424" s="2">
        <v>3321.9</v>
      </c>
      <c r="F2424">
        <v>247</v>
      </c>
      <c r="G2424" s="2">
        <f t="shared" si="148"/>
        <v>13.448987854251012</v>
      </c>
      <c r="H2424" t="str">
        <f t="shared" si="149"/>
        <v>May</v>
      </c>
      <c r="I2424" t="str">
        <f t="shared" si="150"/>
        <v>Q2</v>
      </c>
      <c r="J2424" t="str">
        <f t="shared" si="151"/>
        <v>Large</v>
      </c>
    </row>
    <row r="2425" spans="1:10" x14ac:dyDescent="0.25">
      <c r="A2425" t="s">
        <v>28</v>
      </c>
      <c r="B2425" t="s">
        <v>21</v>
      </c>
      <c r="C2425" t="s">
        <v>35</v>
      </c>
      <c r="D2425" s="1">
        <v>45474</v>
      </c>
      <c r="E2425" s="2">
        <v>5318</v>
      </c>
      <c r="F2425">
        <v>281</v>
      </c>
      <c r="G2425" s="2">
        <f t="shared" si="148"/>
        <v>18.92526690391459</v>
      </c>
      <c r="H2425" t="str">
        <f t="shared" si="149"/>
        <v>July</v>
      </c>
      <c r="I2425" t="str">
        <f t="shared" si="150"/>
        <v>Q3</v>
      </c>
      <c r="J2425" t="str">
        <f t="shared" si="151"/>
        <v>Large</v>
      </c>
    </row>
    <row r="2426" spans="1:10" x14ac:dyDescent="0.25">
      <c r="A2426" t="s">
        <v>40</v>
      </c>
      <c r="B2426" t="s">
        <v>26</v>
      </c>
      <c r="C2426" t="s">
        <v>11</v>
      </c>
      <c r="D2426" s="1">
        <v>45512</v>
      </c>
      <c r="E2426" s="2">
        <v>415.67</v>
      </c>
      <c r="F2426">
        <v>59</v>
      </c>
      <c r="G2426" s="2">
        <f t="shared" si="148"/>
        <v>7.0452542372881357</v>
      </c>
      <c r="H2426" t="str">
        <f t="shared" si="149"/>
        <v>August</v>
      </c>
      <c r="I2426" t="str">
        <f t="shared" si="150"/>
        <v>Q3</v>
      </c>
      <c r="J2426" t="str">
        <f t="shared" si="151"/>
        <v>Small</v>
      </c>
    </row>
    <row r="2427" spans="1:10" x14ac:dyDescent="0.25">
      <c r="A2427" t="s">
        <v>53</v>
      </c>
      <c r="B2427" t="s">
        <v>15</v>
      </c>
      <c r="C2427" t="s">
        <v>22</v>
      </c>
      <c r="D2427" s="1">
        <v>45498</v>
      </c>
      <c r="E2427" s="2">
        <v>8295.8799999999992</v>
      </c>
      <c r="F2427">
        <v>6</v>
      </c>
      <c r="G2427" s="2">
        <f t="shared" si="148"/>
        <v>1382.6466666666665</v>
      </c>
      <c r="H2427" t="str">
        <f t="shared" si="149"/>
        <v>July</v>
      </c>
      <c r="I2427" t="str">
        <f t="shared" si="150"/>
        <v>Q3</v>
      </c>
      <c r="J2427" t="str">
        <f t="shared" si="151"/>
        <v>Large</v>
      </c>
    </row>
    <row r="2428" spans="1:10" x14ac:dyDescent="0.25">
      <c r="A2428" t="s">
        <v>46</v>
      </c>
      <c r="B2428" t="s">
        <v>7</v>
      </c>
      <c r="C2428" t="s">
        <v>32</v>
      </c>
      <c r="D2428" s="1">
        <v>45430</v>
      </c>
      <c r="E2428" s="2">
        <v>3857.25</v>
      </c>
      <c r="F2428">
        <v>54</v>
      </c>
      <c r="G2428" s="2">
        <f t="shared" si="148"/>
        <v>71.430555555555557</v>
      </c>
      <c r="H2428" t="str">
        <f t="shared" si="149"/>
        <v>May</v>
      </c>
      <c r="I2428" t="str">
        <f t="shared" si="150"/>
        <v>Q2</v>
      </c>
      <c r="J2428" t="str">
        <f t="shared" si="151"/>
        <v>Large</v>
      </c>
    </row>
    <row r="2429" spans="1:10" x14ac:dyDescent="0.25">
      <c r="A2429" t="s">
        <v>50</v>
      </c>
      <c r="B2429" t="s">
        <v>10</v>
      </c>
      <c r="C2429" t="s">
        <v>13</v>
      </c>
      <c r="D2429" s="1">
        <v>45488</v>
      </c>
      <c r="E2429" s="2">
        <v>14102.83</v>
      </c>
      <c r="F2429">
        <v>291</v>
      </c>
      <c r="G2429" s="2">
        <f t="shared" si="148"/>
        <v>48.463333333333331</v>
      </c>
      <c r="H2429" t="str">
        <f t="shared" si="149"/>
        <v>July</v>
      </c>
      <c r="I2429" t="str">
        <f t="shared" si="150"/>
        <v>Q3</v>
      </c>
      <c r="J2429" t="str">
        <f t="shared" si="151"/>
        <v>Large</v>
      </c>
    </row>
    <row r="2430" spans="1:10" x14ac:dyDescent="0.25">
      <c r="A2430" t="s">
        <v>38</v>
      </c>
      <c r="B2430" t="s">
        <v>10</v>
      </c>
      <c r="C2430" t="s">
        <v>58</v>
      </c>
      <c r="D2430" s="1">
        <v>45478</v>
      </c>
      <c r="E2430" s="2">
        <v>2453.44</v>
      </c>
      <c r="F2430">
        <v>43</v>
      </c>
      <c r="G2430" s="2">
        <f t="shared" si="148"/>
        <v>57.056744186046515</v>
      </c>
      <c r="H2430" t="str">
        <f t="shared" si="149"/>
        <v>July</v>
      </c>
      <c r="I2430" t="str">
        <f t="shared" si="150"/>
        <v>Q3</v>
      </c>
      <c r="J2430" t="str">
        <f t="shared" si="151"/>
        <v>Large</v>
      </c>
    </row>
    <row r="2431" spans="1:10" x14ac:dyDescent="0.25">
      <c r="A2431" t="s">
        <v>28</v>
      </c>
      <c r="B2431" t="s">
        <v>26</v>
      </c>
      <c r="C2431" t="s">
        <v>45</v>
      </c>
      <c r="D2431" s="1">
        <v>45477</v>
      </c>
      <c r="E2431" s="2">
        <v>5910.67</v>
      </c>
      <c r="F2431">
        <v>100</v>
      </c>
      <c r="G2431" s="2">
        <f t="shared" si="148"/>
        <v>59.106700000000004</v>
      </c>
      <c r="H2431" t="str">
        <f t="shared" si="149"/>
        <v>July</v>
      </c>
      <c r="I2431" t="str">
        <f t="shared" si="150"/>
        <v>Q3</v>
      </c>
      <c r="J2431" t="str">
        <f t="shared" si="151"/>
        <v>Large</v>
      </c>
    </row>
    <row r="2432" spans="1:10" x14ac:dyDescent="0.25">
      <c r="A2432" t="s">
        <v>54</v>
      </c>
      <c r="B2432" t="s">
        <v>7</v>
      </c>
      <c r="C2432" t="s">
        <v>58</v>
      </c>
      <c r="D2432" s="1">
        <v>45463</v>
      </c>
      <c r="E2432" s="2">
        <v>1515.42</v>
      </c>
      <c r="F2432">
        <v>230</v>
      </c>
      <c r="G2432" s="2">
        <f t="shared" si="148"/>
        <v>6.5887826086956522</v>
      </c>
      <c r="H2432" t="str">
        <f t="shared" si="149"/>
        <v>June</v>
      </c>
      <c r="I2432" t="str">
        <f t="shared" si="150"/>
        <v>Q2</v>
      </c>
      <c r="J2432" t="str">
        <f t="shared" si="151"/>
        <v>Large</v>
      </c>
    </row>
    <row r="2433" spans="1:10" x14ac:dyDescent="0.25">
      <c r="A2433" t="s">
        <v>19</v>
      </c>
      <c r="B2433" t="s">
        <v>15</v>
      </c>
      <c r="C2433" t="s">
        <v>47</v>
      </c>
      <c r="D2433" s="1">
        <v>45316</v>
      </c>
      <c r="E2433" s="2">
        <v>4498.05</v>
      </c>
      <c r="F2433">
        <v>464</v>
      </c>
      <c r="G2433" s="2">
        <f t="shared" si="148"/>
        <v>9.6940732758620687</v>
      </c>
      <c r="H2433" t="str">
        <f t="shared" si="149"/>
        <v>January</v>
      </c>
      <c r="I2433" t="str">
        <f t="shared" si="150"/>
        <v>Q1</v>
      </c>
      <c r="J2433" t="str">
        <f t="shared" si="151"/>
        <v>Large</v>
      </c>
    </row>
    <row r="2434" spans="1:10" x14ac:dyDescent="0.25">
      <c r="A2434" t="s">
        <v>41</v>
      </c>
      <c r="B2434" t="s">
        <v>21</v>
      </c>
      <c r="C2434" t="s">
        <v>39</v>
      </c>
      <c r="D2434" s="1">
        <v>45474</v>
      </c>
      <c r="E2434" s="2">
        <v>8755.31</v>
      </c>
      <c r="F2434">
        <v>38</v>
      </c>
      <c r="G2434" s="2">
        <f t="shared" si="148"/>
        <v>230.40289473684209</v>
      </c>
      <c r="H2434" t="str">
        <f t="shared" si="149"/>
        <v>July</v>
      </c>
      <c r="I2434" t="str">
        <f t="shared" si="150"/>
        <v>Q3</v>
      </c>
      <c r="J2434" t="str">
        <f t="shared" si="151"/>
        <v>Large</v>
      </c>
    </row>
    <row r="2435" spans="1:10" x14ac:dyDescent="0.25">
      <c r="A2435" t="s">
        <v>12</v>
      </c>
      <c r="B2435" t="s">
        <v>26</v>
      </c>
      <c r="C2435" t="s">
        <v>22</v>
      </c>
      <c r="D2435" s="1">
        <v>45395</v>
      </c>
      <c r="E2435" s="2">
        <v>2651.48</v>
      </c>
      <c r="F2435">
        <v>60</v>
      </c>
      <c r="G2435" s="2">
        <f t="shared" ref="G2435:G2498" si="152">E2435/F2435</f>
        <v>44.191333333333333</v>
      </c>
      <c r="H2435" t="str">
        <f t="shared" ref="H2435:H2498" si="153">TEXT(D2435, "mmmm")</f>
        <v>April</v>
      </c>
      <c r="I2435" t="str">
        <f t="shared" ref="I2435:I2498" si="154">"Q" &amp; ROUNDUP(MONTH(D2435)/3,0)</f>
        <v>Q2</v>
      </c>
      <c r="J2435" t="str">
        <f t="shared" ref="J2435:J2498" si="155">IF(E2435 &gt; 500, "Large", "Small")</f>
        <v>Large</v>
      </c>
    </row>
    <row r="2436" spans="1:10" x14ac:dyDescent="0.25">
      <c r="A2436" t="s">
        <v>34</v>
      </c>
      <c r="B2436" t="s">
        <v>7</v>
      </c>
      <c r="C2436" t="s">
        <v>16</v>
      </c>
      <c r="D2436" s="1">
        <v>45416</v>
      </c>
      <c r="E2436" s="2">
        <v>5119.3500000000004</v>
      </c>
      <c r="F2436">
        <v>77</v>
      </c>
      <c r="G2436" s="2">
        <f t="shared" si="152"/>
        <v>66.485064935064941</v>
      </c>
      <c r="H2436" t="str">
        <f t="shared" si="153"/>
        <v>May</v>
      </c>
      <c r="I2436" t="str">
        <f t="shared" si="154"/>
        <v>Q2</v>
      </c>
      <c r="J2436" t="str">
        <f t="shared" si="155"/>
        <v>Large</v>
      </c>
    </row>
    <row r="2437" spans="1:10" x14ac:dyDescent="0.25">
      <c r="A2437" t="s">
        <v>34</v>
      </c>
      <c r="B2437" t="s">
        <v>15</v>
      </c>
      <c r="C2437" t="s">
        <v>56</v>
      </c>
      <c r="D2437" s="1">
        <v>45508</v>
      </c>
      <c r="E2437" s="2">
        <v>3360.74</v>
      </c>
      <c r="F2437">
        <v>119</v>
      </c>
      <c r="G2437" s="2">
        <f t="shared" si="152"/>
        <v>28.241512605042015</v>
      </c>
      <c r="H2437" t="str">
        <f t="shared" si="153"/>
        <v>August</v>
      </c>
      <c r="I2437" t="str">
        <f t="shared" si="154"/>
        <v>Q3</v>
      </c>
      <c r="J2437" t="str">
        <f t="shared" si="155"/>
        <v>Large</v>
      </c>
    </row>
    <row r="2438" spans="1:10" x14ac:dyDescent="0.25">
      <c r="A2438" t="s">
        <v>34</v>
      </c>
      <c r="B2438" t="s">
        <v>10</v>
      </c>
      <c r="C2438" t="s">
        <v>58</v>
      </c>
      <c r="D2438" s="1">
        <v>45444</v>
      </c>
      <c r="E2438" s="2">
        <v>495.65</v>
      </c>
      <c r="F2438">
        <v>146</v>
      </c>
      <c r="G2438" s="2">
        <f t="shared" si="152"/>
        <v>3.3948630136986302</v>
      </c>
      <c r="H2438" t="str">
        <f t="shared" si="153"/>
        <v>June</v>
      </c>
      <c r="I2438" t="str">
        <f t="shared" si="154"/>
        <v>Q2</v>
      </c>
      <c r="J2438" t="str">
        <f t="shared" si="155"/>
        <v>Small</v>
      </c>
    </row>
    <row r="2439" spans="1:10" x14ac:dyDescent="0.25">
      <c r="A2439" t="s">
        <v>6</v>
      </c>
      <c r="B2439" t="s">
        <v>7</v>
      </c>
      <c r="C2439" t="s">
        <v>52</v>
      </c>
      <c r="D2439" s="1">
        <v>45404</v>
      </c>
      <c r="E2439" s="2">
        <v>5108.8500000000004</v>
      </c>
      <c r="F2439">
        <v>187</v>
      </c>
      <c r="G2439" s="2">
        <f t="shared" si="152"/>
        <v>27.320053475935829</v>
      </c>
      <c r="H2439" t="str">
        <f t="shared" si="153"/>
        <v>April</v>
      </c>
      <c r="I2439" t="str">
        <f t="shared" si="154"/>
        <v>Q2</v>
      </c>
      <c r="J2439" t="str">
        <f t="shared" si="155"/>
        <v>Large</v>
      </c>
    </row>
    <row r="2440" spans="1:10" x14ac:dyDescent="0.25">
      <c r="A2440" t="s">
        <v>41</v>
      </c>
      <c r="B2440" t="s">
        <v>26</v>
      </c>
      <c r="C2440" t="s">
        <v>22</v>
      </c>
      <c r="D2440" s="1">
        <v>45507</v>
      </c>
      <c r="E2440" s="2">
        <v>77.099999999999994</v>
      </c>
      <c r="F2440">
        <v>26</v>
      </c>
      <c r="G2440" s="2">
        <f t="shared" si="152"/>
        <v>2.9653846153846151</v>
      </c>
      <c r="H2440" t="str">
        <f t="shared" si="153"/>
        <v>August</v>
      </c>
      <c r="I2440" t="str">
        <f t="shared" si="154"/>
        <v>Q3</v>
      </c>
      <c r="J2440" t="str">
        <f t="shared" si="155"/>
        <v>Small</v>
      </c>
    </row>
    <row r="2441" spans="1:10" x14ac:dyDescent="0.25">
      <c r="A2441" t="s">
        <v>55</v>
      </c>
      <c r="B2441" t="s">
        <v>26</v>
      </c>
      <c r="C2441" t="s">
        <v>27</v>
      </c>
      <c r="D2441" s="1">
        <v>45453</v>
      </c>
      <c r="E2441" s="2">
        <v>1860.29</v>
      </c>
      <c r="F2441">
        <v>71</v>
      </c>
      <c r="G2441" s="2">
        <f t="shared" si="152"/>
        <v>26.201267605633802</v>
      </c>
      <c r="H2441" t="str">
        <f t="shared" si="153"/>
        <v>June</v>
      </c>
      <c r="I2441" t="str">
        <f t="shared" si="154"/>
        <v>Q2</v>
      </c>
      <c r="J2441" t="str">
        <f t="shared" si="155"/>
        <v>Large</v>
      </c>
    </row>
    <row r="2442" spans="1:10" x14ac:dyDescent="0.25">
      <c r="A2442" t="s">
        <v>19</v>
      </c>
      <c r="B2442" t="s">
        <v>7</v>
      </c>
      <c r="C2442" t="s">
        <v>45</v>
      </c>
      <c r="D2442" s="1">
        <v>45470</v>
      </c>
      <c r="E2442" s="2">
        <v>7917.76</v>
      </c>
      <c r="F2442">
        <v>50</v>
      </c>
      <c r="G2442" s="2">
        <f t="shared" si="152"/>
        <v>158.3552</v>
      </c>
      <c r="H2442" t="str">
        <f t="shared" si="153"/>
        <v>June</v>
      </c>
      <c r="I2442" t="str">
        <f t="shared" si="154"/>
        <v>Q2</v>
      </c>
      <c r="J2442" t="str">
        <f t="shared" si="155"/>
        <v>Large</v>
      </c>
    </row>
    <row r="2443" spans="1:10" x14ac:dyDescent="0.25">
      <c r="A2443" t="s">
        <v>33</v>
      </c>
      <c r="B2443" t="s">
        <v>15</v>
      </c>
      <c r="C2443" t="s">
        <v>16</v>
      </c>
      <c r="D2443" s="1">
        <v>45294</v>
      </c>
      <c r="E2443" s="2">
        <v>4059.92</v>
      </c>
      <c r="F2443">
        <v>179</v>
      </c>
      <c r="G2443" s="2">
        <f t="shared" si="152"/>
        <v>22.681117318435753</v>
      </c>
      <c r="H2443" t="str">
        <f t="shared" si="153"/>
        <v>January</v>
      </c>
      <c r="I2443" t="str">
        <f t="shared" si="154"/>
        <v>Q1</v>
      </c>
      <c r="J2443" t="str">
        <f t="shared" si="155"/>
        <v>Large</v>
      </c>
    </row>
    <row r="2444" spans="1:10" x14ac:dyDescent="0.25">
      <c r="A2444" t="s">
        <v>33</v>
      </c>
      <c r="B2444" t="s">
        <v>10</v>
      </c>
      <c r="C2444" t="s">
        <v>20</v>
      </c>
      <c r="D2444" s="1">
        <v>45484</v>
      </c>
      <c r="E2444" s="2">
        <v>2816.85</v>
      </c>
      <c r="F2444">
        <v>188</v>
      </c>
      <c r="G2444" s="2">
        <f t="shared" si="152"/>
        <v>14.983244680851064</v>
      </c>
      <c r="H2444" t="str">
        <f t="shared" si="153"/>
        <v>July</v>
      </c>
      <c r="I2444" t="str">
        <f t="shared" si="154"/>
        <v>Q3</v>
      </c>
      <c r="J2444" t="str">
        <f t="shared" si="155"/>
        <v>Large</v>
      </c>
    </row>
    <row r="2445" spans="1:10" x14ac:dyDescent="0.25">
      <c r="A2445" t="s">
        <v>55</v>
      </c>
      <c r="B2445" t="s">
        <v>21</v>
      </c>
      <c r="C2445" t="s">
        <v>37</v>
      </c>
      <c r="D2445" s="1">
        <v>45521</v>
      </c>
      <c r="E2445" s="2">
        <v>5306.48</v>
      </c>
      <c r="F2445">
        <v>128</v>
      </c>
      <c r="G2445" s="2">
        <f t="shared" si="152"/>
        <v>41.456874999999997</v>
      </c>
      <c r="H2445" t="str">
        <f t="shared" si="153"/>
        <v>August</v>
      </c>
      <c r="I2445" t="str">
        <f t="shared" si="154"/>
        <v>Q3</v>
      </c>
      <c r="J2445" t="str">
        <f t="shared" si="155"/>
        <v>Large</v>
      </c>
    </row>
    <row r="2446" spans="1:10" x14ac:dyDescent="0.25">
      <c r="A2446" t="s">
        <v>24</v>
      </c>
      <c r="B2446" t="s">
        <v>26</v>
      </c>
      <c r="C2446" t="s">
        <v>42</v>
      </c>
      <c r="D2446" s="1">
        <v>45309</v>
      </c>
      <c r="E2446" s="2">
        <v>2756.63</v>
      </c>
      <c r="F2446">
        <v>66</v>
      </c>
      <c r="G2446" s="2">
        <f t="shared" si="152"/>
        <v>41.767121212121211</v>
      </c>
      <c r="H2446" t="str">
        <f t="shared" si="153"/>
        <v>January</v>
      </c>
      <c r="I2446" t="str">
        <f t="shared" si="154"/>
        <v>Q1</v>
      </c>
      <c r="J2446" t="str">
        <f t="shared" si="155"/>
        <v>Large</v>
      </c>
    </row>
    <row r="2447" spans="1:10" x14ac:dyDescent="0.25">
      <c r="A2447" t="s">
        <v>55</v>
      </c>
      <c r="B2447" t="s">
        <v>10</v>
      </c>
      <c r="C2447" t="s">
        <v>35</v>
      </c>
      <c r="D2447" s="1">
        <v>45359</v>
      </c>
      <c r="E2447" s="2">
        <v>17903.7</v>
      </c>
      <c r="F2447">
        <v>107</v>
      </c>
      <c r="G2447" s="2">
        <f t="shared" si="152"/>
        <v>167.32429906542058</v>
      </c>
      <c r="H2447" t="str">
        <f t="shared" si="153"/>
        <v>March</v>
      </c>
      <c r="I2447" t="str">
        <f t="shared" si="154"/>
        <v>Q1</v>
      </c>
      <c r="J2447" t="str">
        <f t="shared" si="155"/>
        <v>Large</v>
      </c>
    </row>
    <row r="2448" spans="1:10" x14ac:dyDescent="0.25">
      <c r="A2448" t="s">
        <v>28</v>
      </c>
      <c r="B2448" t="s">
        <v>15</v>
      </c>
      <c r="C2448" t="s">
        <v>27</v>
      </c>
      <c r="D2448" s="1">
        <v>45358</v>
      </c>
      <c r="E2448" s="2">
        <v>15825.08</v>
      </c>
      <c r="F2448">
        <v>284</v>
      </c>
      <c r="G2448" s="2">
        <f t="shared" si="152"/>
        <v>55.722112676056341</v>
      </c>
      <c r="H2448" t="str">
        <f t="shared" si="153"/>
        <v>March</v>
      </c>
      <c r="I2448" t="str">
        <f t="shared" si="154"/>
        <v>Q1</v>
      </c>
      <c r="J2448" t="str">
        <f t="shared" si="155"/>
        <v>Large</v>
      </c>
    </row>
    <row r="2449" spans="1:10" x14ac:dyDescent="0.25">
      <c r="A2449" t="s">
        <v>40</v>
      </c>
      <c r="B2449" t="s">
        <v>10</v>
      </c>
      <c r="C2449" t="s">
        <v>58</v>
      </c>
      <c r="D2449" s="1">
        <v>45421</v>
      </c>
      <c r="E2449" s="2">
        <v>7745.33</v>
      </c>
      <c r="F2449">
        <v>164</v>
      </c>
      <c r="G2449" s="2">
        <f t="shared" si="152"/>
        <v>47.227621951219511</v>
      </c>
      <c r="H2449" t="str">
        <f t="shared" si="153"/>
        <v>May</v>
      </c>
      <c r="I2449" t="str">
        <f t="shared" si="154"/>
        <v>Q2</v>
      </c>
      <c r="J2449" t="str">
        <f t="shared" si="155"/>
        <v>Large</v>
      </c>
    </row>
    <row r="2450" spans="1:10" x14ac:dyDescent="0.25">
      <c r="A2450" t="s">
        <v>25</v>
      </c>
      <c r="B2450" t="s">
        <v>21</v>
      </c>
      <c r="C2450" t="s">
        <v>11</v>
      </c>
      <c r="D2450" s="1">
        <v>45435</v>
      </c>
      <c r="E2450" s="2">
        <v>2214.91</v>
      </c>
      <c r="F2450">
        <v>161</v>
      </c>
      <c r="G2450" s="2">
        <f t="shared" si="152"/>
        <v>13.757204968944098</v>
      </c>
      <c r="H2450" t="str">
        <f t="shared" si="153"/>
        <v>May</v>
      </c>
      <c r="I2450" t="str">
        <f t="shared" si="154"/>
        <v>Q2</v>
      </c>
      <c r="J2450" t="str">
        <f t="shared" si="155"/>
        <v>Large</v>
      </c>
    </row>
    <row r="2451" spans="1:10" x14ac:dyDescent="0.25">
      <c r="A2451" t="s">
        <v>53</v>
      </c>
      <c r="B2451" t="s">
        <v>7</v>
      </c>
      <c r="C2451" t="s">
        <v>57</v>
      </c>
      <c r="D2451" s="1">
        <v>45397</v>
      </c>
      <c r="E2451" s="2">
        <v>190.24</v>
      </c>
      <c r="F2451">
        <v>156</v>
      </c>
      <c r="G2451" s="2">
        <f t="shared" si="152"/>
        <v>1.2194871794871796</v>
      </c>
      <c r="H2451" t="str">
        <f t="shared" si="153"/>
        <v>April</v>
      </c>
      <c r="I2451" t="str">
        <f t="shared" si="154"/>
        <v>Q2</v>
      </c>
      <c r="J2451" t="str">
        <f t="shared" si="155"/>
        <v>Small</v>
      </c>
    </row>
    <row r="2452" spans="1:10" x14ac:dyDescent="0.25">
      <c r="A2452" t="s">
        <v>12</v>
      </c>
      <c r="B2452" t="s">
        <v>15</v>
      </c>
      <c r="C2452" t="s">
        <v>32</v>
      </c>
      <c r="D2452" s="1">
        <v>45500</v>
      </c>
      <c r="E2452" s="2">
        <v>2960</v>
      </c>
      <c r="F2452">
        <v>141</v>
      </c>
      <c r="G2452" s="2">
        <f t="shared" si="152"/>
        <v>20.99290780141844</v>
      </c>
      <c r="H2452" t="str">
        <f t="shared" si="153"/>
        <v>July</v>
      </c>
      <c r="I2452" t="str">
        <f t="shared" si="154"/>
        <v>Q3</v>
      </c>
      <c r="J2452" t="str">
        <f t="shared" si="155"/>
        <v>Large</v>
      </c>
    </row>
    <row r="2453" spans="1:10" x14ac:dyDescent="0.25">
      <c r="A2453" t="s">
        <v>33</v>
      </c>
      <c r="B2453" t="s">
        <v>29</v>
      </c>
      <c r="C2453" t="s">
        <v>52</v>
      </c>
      <c r="D2453" s="1">
        <v>45526</v>
      </c>
      <c r="E2453" s="2">
        <v>2937.62</v>
      </c>
      <c r="F2453">
        <v>389</v>
      </c>
      <c r="G2453" s="2">
        <f t="shared" si="152"/>
        <v>7.5517223650385601</v>
      </c>
      <c r="H2453" t="str">
        <f t="shared" si="153"/>
        <v>August</v>
      </c>
      <c r="I2453" t="str">
        <f t="shared" si="154"/>
        <v>Q3</v>
      </c>
      <c r="J2453" t="str">
        <f t="shared" si="155"/>
        <v>Large</v>
      </c>
    </row>
    <row r="2454" spans="1:10" x14ac:dyDescent="0.25">
      <c r="A2454" t="s">
        <v>55</v>
      </c>
      <c r="B2454" t="s">
        <v>26</v>
      </c>
      <c r="C2454" t="s">
        <v>58</v>
      </c>
      <c r="D2454" s="1">
        <v>45423</v>
      </c>
      <c r="E2454" s="2">
        <v>4778.3599999999997</v>
      </c>
      <c r="F2454">
        <v>124</v>
      </c>
      <c r="G2454" s="2">
        <f t="shared" si="152"/>
        <v>38.535161290322577</v>
      </c>
      <c r="H2454" t="str">
        <f t="shared" si="153"/>
        <v>May</v>
      </c>
      <c r="I2454" t="str">
        <f t="shared" si="154"/>
        <v>Q2</v>
      </c>
      <c r="J2454" t="str">
        <f t="shared" si="155"/>
        <v>Large</v>
      </c>
    </row>
    <row r="2455" spans="1:10" x14ac:dyDescent="0.25">
      <c r="A2455" t="s">
        <v>53</v>
      </c>
      <c r="B2455" t="s">
        <v>10</v>
      </c>
      <c r="C2455" t="s">
        <v>35</v>
      </c>
      <c r="D2455" s="1">
        <v>45317</v>
      </c>
      <c r="E2455" s="2">
        <v>5401.01</v>
      </c>
      <c r="F2455">
        <v>41</v>
      </c>
      <c r="G2455" s="2">
        <f t="shared" si="152"/>
        <v>131.73195121951221</v>
      </c>
      <c r="H2455" t="str">
        <f t="shared" si="153"/>
        <v>January</v>
      </c>
      <c r="I2455" t="str">
        <f t="shared" si="154"/>
        <v>Q1</v>
      </c>
      <c r="J2455" t="str">
        <f t="shared" si="155"/>
        <v>Large</v>
      </c>
    </row>
    <row r="2456" spans="1:10" x14ac:dyDescent="0.25">
      <c r="A2456" t="s">
        <v>25</v>
      </c>
      <c r="B2456" t="s">
        <v>26</v>
      </c>
      <c r="C2456" t="s">
        <v>22</v>
      </c>
      <c r="D2456" s="1">
        <v>45396</v>
      </c>
      <c r="E2456" s="2">
        <v>15372.94</v>
      </c>
      <c r="F2456">
        <v>124</v>
      </c>
      <c r="G2456" s="2">
        <f t="shared" si="152"/>
        <v>123.97532258064517</v>
      </c>
      <c r="H2456" t="str">
        <f t="shared" si="153"/>
        <v>April</v>
      </c>
      <c r="I2456" t="str">
        <f t="shared" si="154"/>
        <v>Q2</v>
      </c>
      <c r="J2456" t="str">
        <f t="shared" si="155"/>
        <v>Large</v>
      </c>
    </row>
    <row r="2457" spans="1:10" x14ac:dyDescent="0.25">
      <c r="A2457" t="s">
        <v>43</v>
      </c>
      <c r="B2457" t="s">
        <v>21</v>
      </c>
      <c r="C2457" t="s">
        <v>8</v>
      </c>
      <c r="D2457" s="1">
        <v>45387</v>
      </c>
      <c r="E2457" s="2">
        <v>7121.02</v>
      </c>
      <c r="F2457">
        <v>433</v>
      </c>
      <c r="G2457" s="2">
        <f t="shared" si="152"/>
        <v>16.445773672055427</v>
      </c>
      <c r="H2457" t="str">
        <f t="shared" si="153"/>
        <v>April</v>
      </c>
      <c r="I2457" t="str">
        <f t="shared" si="154"/>
        <v>Q2</v>
      </c>
      <c r="J2457" t="str">
        <f t="shared" si="155"/>
        <v>Large</v>
      </c>
    </row>
    <row r="2458" spans="1:10" x14ac:dyDescent="0.25">
      <c r="A2458" t="s">
        <v>33</v>
      </c>
      <c r="B2458" t="s">
        <v>21</v>
      </c>
      <c r="C2458" t="s">
        <v>16</v>
      </c>
      <c r="D2458" s="1">
        <v>45457</v>
      </c>
      <c r="E2458" s="2">
        <v>9057.64</v>
      </c>
      <c r="F2458">
        <v>56</v>
      </c>
      <c r="G2458" s="2">
        <f t="shared" si="152"/>
        <v>161.74357142857141</v>
      </c>
      <c r="H2458" t="str">
        <f t="shared" si="153"/>
        <v>June</v>
      </c>
      <c r="I2458" t="str">
        <f t="shared" si="154"/>
        <v>Q2</v>
      </c>
      <c r="J2458" t="str">
        <f t="shared" si="155"/>
        <v>Large</v>
      </c>
    </row>
    <row r="2459" spans="1:10" x14ac:dyDescent="0.25">
      <c r="A2459" t="s">
        <v>23</v>
      </c>
      <c r="B2459" t="s">
        <v>29</v>
      </c>
      <c r="C2459" t="s">
        <v>47</v>
      </c>
      <c r="D2459" s="1">
        <v>45395</v>
      </c>
      <c r="E2459" s="2">
        <v>5439.43</v>
      </c>
      <c r="F2459">
        <v>125</v>
      </c>
      <c r="G2459" s="2">
        <f t="shared" si="152"/>
        <v>43.515440000000005</v>
      </c>
      <c r="H2459" t="str">
        <f t="shared" si="153"/>
        <v>April</v>
      </c>
      <c r="I2459" t="str">
        <f t="shared" si="154"/>
        <v>Q2</v>
      </c>
      <c r="J2459" t="str">
        <f t="shared" si="155"/>
        <v>Large</v>
      </c>
    </row>
    <row r="2460" spans="1:10" x14ac:dyDescent="0.25">
      <c r="A2460" t="s">
        <v>34</v>
      </c>
      <c r="B2460" t="s">
        <v>15</v>
      </c>
      <c r="C2460" t="s">
        <v>44</v>
      </c>
      <c r="D2460" s="1">
        <v>45470</v>
      </c>
      <c r="E2460" s="2">
        <v>2659.78</v>
      </c>
      <c r="F2460">
        <v>178</v>
      </c>
      <c r="G2460" s="2">
        <f t="shared" si="152"/>
        <v>14.942584269662923</v>
      </c>
      <c r="H2460" t="str">
        <f t="shared" si="153"/>
        <v>June</v>
      </c>
      <c r="I2460" t="str">
        <f t="shared" si="154"/>
        <v>Q2</v>
      </c>
      <c r="J2460" t="str">
        <f t="shared" si="155"/>
        <v>Large</v>
      </c>
    </row>
    <row r="2461" spans="1:10" x14ac:dyDescent="0.25">
      <c r="A2461" t="s">
        <v>54</v>
      </c>
      <c r="B2461" t="s">
        <v>15</v>
      </c>
      <c r="C2461" t="s">
        <v>30</v>
      </c>
      <c r="D2461" s="1">
        <v>45317</v>
      </c>
      <c r="E2461" s="2">
        <v>7897.59</v>
      </c>
      <c r="F2461">
        <v>3</v>
      </c>
      <c r="G2461" s="2">
        <f t="shared" si="152"/>
        <v>2632.53</v>
      </c>
      <c r="H2461" t="str">
        <f t="shared" si="153"/>
        <v>January</v>
      </c>
      <c r="I2461" t="str">
        <f t="shared" si="154"/>
        <v>Q1</v>
      </c>
      <c r="J2461" t="str">
        <f t="shared" si="155"/>
        <v>Large</v>
      </c>
    </row>
    <row r="2462" spans="1:10" x14ac:dyDescent="0.25">
      <c r="A2462" t="s">
        <v>25</v>
      </c>
      <c r="B2462" t="s">
        <v>7</v>
      </c>
      <c r="C2462" t="s">
        <v>44</v>
      </c>
      <c r="D2462" s="1">
        <v>45478</v>
      </c>
      <c r="E2462" s="2">
        <v>1959.22</v>
      </c>
      <c r="F2462">
        <v>70</v>
      </c>
      <c r="G2462" s="2">
        <f t="shared" si="152"/>
        <v>27.988857142857142</v>
      </c>
      <c r="H2462" t="str">
        <f t="shared" si="153"/>
        <v>July</v>
      </c>
      <c r="I2462" t="str">
        <f t="shared" si="154"/>
        <v>Q3</v>
      </c>
      <c r="J2462" t="str">
        <f t="shared" si="155"/>
        <v>Large</v>
      </c>
    </row>
    <row r="2463" spans="1:10" x14ac:dyDescent="0.25">
      <c r="A2463" t="s">
        <v>34</v>
      </c>
      <c r="B2463" t="s">
        <v>29</v>
      </c>
      <c r="C2463" t="s">
        <v>56</v>
      </c>
      <c r="D2463" s="1">
        <v>45302</v>
      </c>
      <c r="E2463" s="2">
        <v>15305.32</v>
      </c>
      <c r="F2463">
        <v>91</v>
      </c>
      <c r="G2463" s="2">
        <f t="shared" si="152"/>
        <v>168.19032967032967</v>
      </c>
      <c r="H2463" t="str">
        <f t="shared" si="153"/>
        <v>January</v>
      </c>
      <c r="I2463" t="str">
        <f t="shared" si="154"/>
        <v>Q1</v>
      </c>
      <c r="J2463" t="str">
        <f t="shared" si="155"/>
        <v>Large</v>
      </c>
    </row>
    <row r="2464" spans="1:10" x14ac:dyDescent="0.25">
      <c r="A2464" t="s">
        <v>49</v>
      </c>
      <c r="B2464" t="s">
        <v>26</v>
      </c>
      <c r="C2464" t="s">
        <v>44</v>
      </c>
      <c r="D2464" s="1">
        <v>45358</v>
      </c>
      <c r="E2464" s="2">
        <v>11257.11</v>
      </c>
      <c r="F2464">
        <v>21</v>
      </c>
      <c r="G2464" s="2">
        <f t="shared" si="152"/>
        <v>536.05285714285719</v>
      </c>
      <c r="H2464" t="str">
        <f t="shared" si="153"/>
        <v>March</v>
      </c>
      <c r="I2464" t="str">
        <f t="shared" si="154"/>
        <v>Q1</v>
      </c>
      <c r="J2464" t="str">
        <f t="shared" si="155"/>
        <v>Large</v>
      </c>
    </row>
    <row r="2465" spans="1:10" x14ac:dyDescent="0.25">
      <c r="A2465" t="s">
        <v>41</v>
      </c>
      <c r="B2465" t="s">
        <v>29</v>
      </c>
      <c r="C2465" t="s">
        <v>22</v>
      </c>
      <c r="D2465" s="1">
        <v>45355</v>
      </c>
      <c r="E2465" s="2">
        <v>9207.09</v>
      </c>
      <c r="F2465">
        <v>109</v>
      </c>
      <c r="G2465" s="2">
        <f t="shared" si="152"/>
        <v>84.46871559633027</v>
      </c>
      <c r="H2465" t="str">
        <f t="shared" si="153"/>
        <v>March</v>
      </c>
      <c r="I2465" t="str">
        <f t="shared" si="154"/>
        <v>Q1</v>
      </c>
      <c r="J2465" t="str">
        <f t="shared" si="155"/>
        <v>Large</v>
      </c>
    </row>
    <row r="2466" spans="1:10" x14ac:dyDescent="0.25">
      <c r="A2466" t="s">
        <v>31</v>
      </c>
      <c r="B2466" t="s">
        <v>29</v>
      </c>
      <c r="C2466" t="s">
        <v>35</v>
      </c>
      <c r="D2466" s="1">
        <v>45488</v>
      </c>
      <c r="E2466" s="2">
        <v>2769.94</v>
      </c>
      <c r="F2466">
        <v>302</v>
      </c>
      <c r="G2466" s="2">
        <f t="shared" si="152"/>
        <v>9.1719867549668876</v>
      </c>
      <c r="H2466" t="str">
        <f t="shared" si="153"/>
        <v>July</v>
      </c>
      <c r="I2466" t="str">
        <f t="shared" si="154"/>
        <v>Q3</v>
      </c>
      <c r="J2466" t="str">
        <f t="shared" si="155"/>
        <v>Large</v>
      </c>
    </row>
    <row r="2467" spans="1:10" x14ac:dyDescent="0.25">
      <c r="A2467" t="s">
        <v>41</v>
      </c>
      <c r="B2467" t="s">
        <v>7</v>
      </c>
      <c r="C2467" t="s">
        <v>13</v>
      </c>
      <c r="D2467" s="1">
        <v>45423</v>
      </c>
      <c r="E2467" s="2">
        <v>7477.56</v>
      </c>
      <c r="F2467">
        <v>85</v>
      </c>
      <c r="G2467" s="2">
        <f t="shared" si="152"/>
        <v>87.971294117647062</v>
      </c>
      <c r="H2467" t="str">
        <f t="shared" si="153"/>
        <v>May</v>
      </c>
      <c r="I2467" t="str">
        <f t="shared" si="154"/>
        <v>Q2</v>
      </c>
      <c r="J2467" t="str">
        <f t="shared" si="155"/>
        <v>Large</v>
      </c>
    </row>
    <row r="2468" spans="1:10" x14ac:dyDescent="0.25">
      <c r="A2468" t="s">
        <v>31</v>
      </c>
      <c r="B2468" t="s">
        <v>26</v>
      </c>
      <c r="C2468" t="s">
        <v>37</v>
      </c>
      <c r="D2468" s="1">
        <v>45318</v>
      </c>
      <c r="E2468" s="2">
        <v>5231.54</v>
      </c>
      <c r="F2468">
        <v>8</v>
      </c>
      <c r="G2468" s="2">
        <f t="shared" si="152"/>
        <v>653.9425</v>
      </c>
      <c r="H2468" t="str">
        <f t="shared" si="153"/>
        <v>January</v>
      </c>
      <c r="I2468" t="str">
        <f t="shared" si="154"/>
        <v>Q1</v>
      </c>
      <c r="J2468" t="str">
        <f t="shared" si="155"/>
        <v>Large</v>
      </c>
    </row>
    <row r="2469" spans="1:10" x14ac:dyDescent="0.25">
      <c r="A2469" t="s">
        <v>31</v>
      </c>
      <c r="B2469" t="s">
        <v>10</v>
      </c>
      <c r="C2469" t="s">
        <v>27</v>
      </c>
      <c r="D2469" s="1">
        <v>45470</v>
      </c>
      <c r="E2469" s="2">
        <v>3745.21</v>
      </c>
      <c r="F2469">
        <v>161</v>
      </c>
      <c r="G2469" s="2">
        <f t="shared" si="152"/>
        <v>23.26217391304348</v>
      </c>
      <c r="H2469" t="str">
        <f t="shared" si="153"/>
        <v>June</v>
      </c>
      <c r="I2469" t="str">
        <f t="shared" si="154"/>
        <v>Q2</v>
      </c>
      <c r="J2469" t="str">
        <f t="shared" si="155"/>
        <v>Large</v>
      </c>
    </row>
    <row r="2470" spans="1:10" x14ac:dyDescent="0.25">
      <c r="A2470" t="s">
        <v>55</v>
      </c>
      <c r="B2470" t="s">
        <v>10</v>
      </c>
      <c r="C2470" t="s">
        <v>16</v>
      </c>
      <c r="D2470" s="1">
        <v>45507</v>
      </c>
      <c r="E2470" s="2">
        <v>8503.93</v>
      </c>
      <c r="F2470">
        <v>19</v>
      </c>
      <c r="G2470" s="2">
        <f t="shared" si="152"/>
        <v>447.57526315789477</v>
      </c>
      <c r="H2470" t="str">
        <f t="shared" si="153"/>
        <v>August</v>
      </c>
      <c r="I2470" t="str">
        <f t="shared" si="154"/>
        <v>Q3</v>
      </c>
      <c r="J2470" t="str">
        <f t="shared" si="155"/>
        <v>Large</v>
      </c>
    </row>
    <row r="2471" spans="1:10" x14ac:dyDescent="0.25">
      <c r="A2471" t="s">
        <v>46</v>
      </c>
      <c r="B2471" t="s">
        <v>21</v>
      </c>
      <c r="C2471" t="s">
        <v>8</v>
      </c>
      <c r="D2471" s="1">
        <v>45523</v>
      </c>
      <c r="E2471" s="2">
        <v>12524.3</v>
      </c>
      <c r="F2471">
        <v>251</v>
      </c>
      <c r="G2471" s="2">
        <f t="shared" si="152"/>
        <v>49.897609561752986</v>
      </c>
      <c r="H2471" t="str">
        <f t="shared" si="153"/>
        <v>August</v>
      </c>
      <c r="I2471" t="str">
        <f t="shared" si="154"/>
        <v>Q3</v>
      </c>
      <c r="J2471" t="str">
        <f t="shared" si="155"/>
        <v>Large</v>
      </c>
    </row>
    <row r="2472" spans="1:10" x14ac:dyDescent="0.25">
      <c r="A2472" t="s">
        <v>46</v>
      </c>
      <c r="B2472" t="s">
        <v>15</v>
      </c>
      <c r="C2472" t="s">
        <v>42</v>
      </c>
      <c r="D2472" s="1">
        <v>45458</v>
      </c>
      <c r="E2472" s="2">
        <v>472.27</v>
      </c>
      <c r="F2472">
        <v>101</v>
      </c>
      <c r="G2472" s="2">
        <f t="shared" si="152"/>
        <v>4.6759405940594059</v>
      </c>
      <c r="H2472" t="str">
        <f t="shared" si="153"/>
        <v>June</v>
      </c>
      <c r="I2472" t="str">
        <f t="shared" si="154"/>
        <v>Q2</v>
      </c>
      <c r="J2472" t="str">
        <f t="shared" si="155"/>
        <v>Small</v>
      </c>
    </row>
    <row r="2473" spans="1:10" x14ac:dyDescent="0.25">
      <c r="A2473" t="s">
        <v>43</v>
      </c>
      <c r="B2473" t="s">
        <v>7</v>
      </c>
      <c r="C2473" t="s">
        <v>13</v>
      </c>
      <c r="D2473" s="1">
        <v>45329</v>
      </c>
      <c r="E2473" s="2">
        <v>9771.8700000000008</v>
      </c>
      <c r="F2473">
        <v>158</v>
      </c>
      <c r="G2473" s="2">
        <f t="shared" si="152"/>
        <v>61.847278481012665</v>
      </c>
      <c r="H2473" t="str">
        <f t="shared" si="153"/>
        <v>February</v>
      </c>
      <c r="I2473" t="str">
        <f t="shared" si="154"/>
        <v>Q1</v>
      </c>
      <c r="J2473" t="str">
        <f t="shared" si="155"/>
        <v>Large</v>
      </c>
    </row>
    <row r="2474" spans="1:10" x14ac:dyDescent="0.25">
      <c r="A2474" t="s">
        <v>31</v>
      </c>
      <c r="B2474" t="s">
        <v>15</v>
      </c>
      <c r="C2474" t="s">
        <v>47</v>
      </c>
      <c r="D2474" s="1">
        <v>45481</v>
      </c>
      <c r="E2474" s="2">
        <v>8130.06</v>
      </c>
      <c r="F2474">
        <v>140</v>
      </c>
      <c r="G2474" s="2">
        <f t="shared" si="152"/>
        <v>58.071857142857148</v>
      </c>
      <c r="H2474" t="str">
        <f t="shared" si="153"/>
        <v>July</v>
      </c>
      <c r="I2474" t="str">
        <f t="shared" si="154"/>
        <v>Q3</v>
      </c>
      <c r="J2474" t="str">
        <f t="shared" si="155"/>
        <v>Large</v>
      </c>
    </row>
    <row r="2475" spans="1:10" x14ac:dyDescent="0.25">
      <c r="A2475" t="s">
        <v>43</v>
      </c>
      <c r="B2475" t="s">
        <v>10</v>
      </c>
      <c r="C2475" t="s">
        <v>37</v>
      </c>
      <c r="D2475" s="1">
        <v>45403</v>
      </c>
      <c r="E2475" s="2">
        <v>1624.06</v>
      </c>
      <c r="F2475">
        <v>96</v>
      </c>
      <c r="G2475" s="2">
        <f t="shared" si="152"/>
        <v>16.917291666666667</v>
      </c>
      <c r="H2475" t="str">
        <f t="shared" si="153"/>
        <v>April</v>
      </c>
      <c r="I2475" t="str">
        <f t="shared" si="154"/>
        <v>Q2</v>
      </c>
      <c r="J2475" t="str">
        <f t="shared" si="155"/>
        <v>Large</v>
      </c>
    </row>
    <row r="2476" spans="1:10" x14ac:dyDescent="0.25">
      <c r="A2476" t="s">
        <v>55</v>
      </c>
      <c r="B2476" t="s">
        <v>7</v>
      </c>
      <c r="C2476" t="s">
        <v>8</v>
      </c>
      <c r="D2476" s="1">
        <v>45390</v>
      </c>
      <c r="E2476" s="2">
        <v>2984.4</v>
      </c>
      <c r="F2476">
        <v>214</v>
      </c>
      <c r="G2476" s="2">
        <f t="shared" si="152"/>
        <v>13.945794392523364</v>
      </c>
      <c r="H2476" t="str">
        <f t="shared" si="153"/>
        <v>April</v>
      </c>
      <c r="I2476" t="str">
        <f t="shared" si="154"/>
        <v>Q2</v>
      </c>
      <c r="J2476" t="str">
        <f t="shared" si="155"/>
        <v>Large</v>
      </c>
    </row>
    <row r="2477" spans="1:10" x14ac:dyDescent="0.25">
      <c r="A2477" t="s">
        <v>40</v>
      </c>
      <c r="B2477" t="s">
        <v>15</v>
      </c>
      <c r="C2477" t="s">
        <v>22</v>
      </c>
      <c r="D2477" s="1">
        <v>45523</v>
      </c>
      <c r="E2477" s="2">
        <v>15593.5</v>
      </c>
      <c r="F2477">
        <v>56</v>
      </c>
      <c r="G2477" s="2">
        <f t="shared" si="152"/>
        <v>278.45535714285717</v>
      </c>
      <c r="H2477" t="str">
        <f t="shared" si="153"/>
        <v>August</v>
      </c>
      <c r="I2477" t="str">
        <f t="shared" si="154"/>
        <v>Q3</v>
      </c>
      <c r="J2477" t="str">
        <f t="shared" si="155"/>
        <v>Large</v>
      </c>
    </row>
    <row r="2478" spans="1:10" x14ac:dyDescent="0.25">
      <c r="A2478" t="s">
        <v>14</v>
      </c>
      <c r="B2478" t="s">
        <v>10</v>
      </c>
      <c r="C2478" t="s">
        <v>42</v>
      </c>
      <c r="D2478" s="1">
        <v>45416</v>
      </c>
      <c r="E2478" s="2">
        <v>3387.76</v>
      </c>
      <c r="F2478">
        <v>60</v>
      </c>
      <c r="G2478" s="2">
        <f t="shared" si="152"/>
        <v>56.462666666666671</v>
      </c>
      <c r="H2478" t="str">
        <f t="shared" si="153"/>
        <v>May</v>
      </c>
      <c r="I2478" t="str">
        <f t="shared" si="154"/>
        <v>Q2</v>
      </c>
      <c r="J2478" t="str">
        <f t="shared" si="155"/>
        <v>Large</v>
      </c>
    </row>
    <row r="2479" spans="1:10" x14ac:dyDescent="0.25">
      <c r="A2479" t="s">
        <v>28</v>
      </c>
      <c r="B2479" t="s">
        <v>26</v>
      </c>
      <c r="C2479" t="s">
        <v>11</v>
      </c>
      <c r="D2479" s="1">
        <v>45423</v>
      </c>
      <c r="E2479" s="2">
        <v>2847.18</v>
      </c>
      <c r="F2479">
        <v>115</v>
      </c>
      <c r="G2479" s="2">
        <f t="shared" si="152"/>
        <v>24.758086956521737</v>
      </c>
      <c r="H2479" t="str">
        <f t="shared" si="153"/>
        <v>May</v>
      </c>
      <c r="I2479" t="str">
        <f t="shared" si="154"/>
        <v>Q2</v>
      </c>
      <c r="J2479" t="str">
        <f t="shared" si="155"/>
        <v>Large</v>
      </c>
    </row>
    <row r="2480" spans="1:10" x14ac:dyDescent="0.25">
      <c r="A2480" t="s">
        <v>28</v>
      </c>
      <c r="B2480" t="s">
        <v>26</v>
      </c>
      <c r="C2480" t="s">
        <v>30</v>
      </c>
      <c r="D2480" s="1">
        <v>45373</v>
      </c>
      <c r="E2480" s="2">
        <v>7511.77</v>
      </c>
      <c r="F2480">
        <v>49</v>
      </c>
      <c r="G2480" s="2">
        <f t="shared" si="152"/>
        <v>153.30142857142857</v>
      </c>
      <c r="H2480" t="str">
        <f t="shared" si="153"/>
        <v>March</v>
      </c>
      <c r="I2480" t="str">
        <f t="shared" si="154"/>
        <v>Q1</v>
      </c>
      <c r="J2480" t="str">
        <f t="shared" si="155"/>
        <v>Large</v>
      </c>
    </row>
    <row r="2481" spans="1:10" x14ac:dyDescent="0.25">
      <c r="A2481" t="s">
        <v>43</v>
      </c>
      <c r="B2481" t="s">
        <v>29</v>
      </c>
      <c r="C2481" t="s">
        <v>39</v>
      </c>
      <c r="D2481" s="1">
        <v>45514</v>
      </c>
      <c r="E2481" s="2">
        <v>2711.58</v>
      </c>
      <c r="F2481">
        <v>216</v>
      </c>
      <c r="G2481" s="2">
        <f t="shared" si="152"/>
        <v>12.553611111111111</v>
      </c>
      <c r="H2481" t="str">
        <f t="shared" si="153"/>
        <v>August</v>
      </c>
      <c r="I2481" t="str">
        <f t="shared" si="154"/>
        <v>Q3</v>
      </c>
      <c r="J2481" t="str">
        <f t="shared" si="155"/>
        <v>Large</v>
      </c>
    </row>
    <row r="2482" spans="1:10" x14ac:dyDescent="0.25">
      <c r="A2482" t="s">
        <v>43</v>
      </c>
      <c r="B2482" t="s">
        <v>26</v>
      </c>
      <c r="C2482" t="s">
        <v>42</v>
      </c>
      <c r="D2482" s="1">
        <v>45416</v>
      </c>
      <c r="E2482" s="2">
        <v>1673.44</v>
      </c>
      <c r="F2482">
        <v>314</v>
      </c>
      <c r="G2482" s="2">
        <f t="shared" si="152"/>
        <v>5.329426751592357</v>
      </c>
      <c r="H2482" t="str">
        <f t="shared" si="153"/>
        <v>May</v>
      </c>
      <c r="I2482" t="str">
        <f t="shared" si="154"/>
        <v>Q2</v>
      </c>
      <c r="J2482" t="str">
        <f t="shared" si="155"/>
        <v>Large</v>
      </c>
    </row>
    <row r="2483" spans="1:10" x14ac:dyDescent="0.25">
      <c r="A2483" t="s">
        <v>49</v>
      </c>
      <c r="B2483" t="s">
        <v>26</v>
      </c>
      <c r="C2483" t="s">
        <v>18</v>
      </c>
      <c r="D2483" s="1">
        <v>45522</v>
      </c>
      <c r="E2483" s="2">
        <v>8853.16</v>
      </c>
      <c r="F2483">
        <v>261</v>
      </c>
      <c r="G2483" s="2">
        <f t="shared" si="152"/>
        <v>33.920153256704978</v>
      </c>
      <c r="H2483" t="str">
        <f t="shared" si="153"/>
        <v>August</v>
      </c>
      <c r="I2483" t="str">
        <f t="shared" si="154"/>
        <v>Q3</v>
      </c>
      <c r="J2483" t="str">
        <f t="shared" si="155"/>
        <v>Large</v>
      </c>
    </row>
    <row r="2484" spans="1:10" x14ac:dyDescent="0.25">
      <c r="A2484" t="s">
        <v>54</v>
      </c>
      <c r="B2484" t="s">
        <v>29</v>
      </c>
      <c r="C2484" t="s">
        <v>51</v>
      </c>
      <c r="D2484" s="1">
        <v>45507</v>
      </c>
      <c r="E2484" s="2">
        <v>4722.3900000000003</v>
      </c>
      <c r="F2484">
        <v>258</v>
      </c>
      <c r="G2484" s="2">
        <f t="shared" si="152"/>
        <v>18.303837209302326</v>
      </c>
      <c r="H2484" t="str">
        <f t="shared" si="153"/>
        <v>August</v>
      </c>
      <c r="I2484" t="str">
        <f t="shared" si="154"/>
        <v>Q3</v>
      </c>
      <c r="J2484" t="str">
        <f t="shared" si="155"/>
        <v>Large</v>
      </c>
    </row>
    <row r="2485" spans="1:10" x14ac:dyDescent="0.25">
      <c r="A2485" t="s">
        <v>33</v>
      </c>
      <c r="B2485" t="s">
        <v>21</v>
      </c>
      <c r="C2485" t="s">
        <v>37</v>
      </c>
      <c r="D2485" s="1">
        <v>45305</v>
      </c>
      <c r="E2485" s="2">
        <v>8408.1200000000008</v>
      </c>
      <c r="F2485">
        <v>318</v>
      </c>
      <c r="G2485" s="2">
        <f t="shared" si="152"/>
        <v>26.440628930817613</v>
      </c>
      <c r="H2485" t="str">
        <f t="shared" si="153"/>
        <v>January</v>
      </c>
      <c r="I2485" t="str">
        <f t="shared" si="154"/>
        <v>Q1</v>
      </c>
      <c r="J2485" t="str">
        <f t="shared" si="155"/>
        <v>Large</v>
      </c>
    </row>
    <row r="2486" spans="1:10" x14ac:dyDescent="0.25">
      <c r="A2486" t="s">
        <v>53</v>
      </c>
      <c r="B2486" t="s">
        <v>15</v>
      </c>
      <c r="C2486" t="s">
        <v>52</v>
      </c>
      <c r="D2486" s="1">
        <v>45390</v>
      </c>
      <c r="E2486" s="2">
        <v>2442.36</v>
      </c>
      <c r="F2486">
        <v>78</v>
      </c>
      <c r="G2486" s="2">
        <f t="shared" si="152"/>
        <v>31.312307692307694</v>
      </c>
      <c r="H2486" t="str">
        <f t="shared" si="153"/>
        <v>April</v>
      </c>
      <c r="I2486" t="str">
        <f t="shared" si="154"/>
        <v>Q2</v>
      </c>
      <c r="J2486" t="str">
        <f t="shared" si="155"/>
        <v>Large</v>
      </c>
    </row>
    <row r="2487" spans="1:10" x14ac:dyDescent="0.25">
      <c r="A2487" t="s">
        <v>49</v>
      </c>
      <c r="B2487" t="s">
        <v>7</v>
      </c>
      <c r="C2487" t="s">
        <v>27</v>
      </c>
      <c r="D2487" s="1">
        <v>45505</v>
      </c>
      <c r="E2487" s="2">
        <v>4010.08</v>
      </c>
      <c r="F2487">
        <v>3</v>
      </c>
      <c r="G2487" s="2">
        <f t="shared" si="152"/>
        <v>1336.6933333333334</v>
      </c>
      <c r="H2487" t="str">
        <f t="shared" si="153"/>
        <v>August</v>
      </c>
      <c r="I2487" t="str">
        <f t="shared" si="154"/>
        <v>Q3</v>
      </c>
      <c r="J2487" t="str">
        <f t="shared" si="155"/>
        <v>Large</v>
      </c>
    </row>
    <row r="2488" spans="1:10" x14ac:dyDescent="0.25">
      <c r="A2488" t="s">
        <v>43</v>
      </c>
      <c r="B2488" t="s">
        <v>29</v>
      </c>
      <c r="C2488" t="s">
        <v>30</v>
      </c>
      <c r="D2488" s="1">
        <v>45366</v>
      </c>
      <c r="E2488" s="2">
        <v>492.21</v>
      </c>
      <c r="F2488">
        <v>45</v>
      </c>
      <c r="G2488" s="2">
        <f t="shared" si="152"/>
        <v>10.937999999999999</v>
      </c>
      <c r="H2488" t="str">
        <f t="shared" si="153"/>
        <v>March</v>
      </c>
      <c r="I2488" t="str">
        <f t="shared" si="154"/>
        <v>Q1</v>
      </c>
      <c r="J2488" t="str">
        <f t="shared" si="155"/>
        <v>Small</v>
      </c>
    </row>
    <row r="2489" spans="1:10" x14ac:dyDescent="0.25">
      <c r="A2489" t="s">
        <v>31</v>
      </c>
      <c r="B2489" t="s">
        <v>10</v>
      </c>
      <c r="C2489" t="s">
        <v>8</v>
      </c>
      <c r="D2489" s="1">
        <v>45488</v>
      </c>
      <c r="E2489" s="2">
        <v>11650.88</v>
      </c>
      <c r="F2489">
        <v>192</v>
      </c>
      <c r="G2489" s="2">
        <f t="shared" si="152"/>
        <v>60.681666666666665</v>
      </c>
      <c r="H2489" t="str">
        <f t="shared" si="153"/>
        <v>July</v>
      </c>
      <c r="I2489" t="str">
        <f t="shared" si="154"/>
        <v>Q3</v>
      </c>
      <c r="J2489" t="str">
        <f t="shared" si="155"/>
        <v>Large</v>
      </c>
    </row>
    <row r="2490" spans="1:10" x14ac:dyDescent="0.25">
      <c r="A2490" t="s">
        <v>25</v>
      </c>
      <c r="B2490" t="s">
        <v>21</v>
      </c>
      <c r="C2490" t="s">
        <v>47</v>
      </c>
      <c r="D2490" s="1">
        <v>45304</v>
      </c>
      <c r="E2490" s="2">
        <v>6426.04</v>
      </c>
      <c r="F2490">
        <v>132</v>
      </c>
      <c r="G2490" s="2">
        <f t="shared" si="152"/>
        <v>48.68212121212121</v>
      </c>
      <c r="H2490" t="str">
        <f t="shared" si="153"/>
        <v>January</v>
      </c>
      <c r="I2490" t="str">
        <f t="shared" si="154"/>
        <v>Q1</v>
      </c>
      <c r="J2490" t="str">
        <f t="shared" si="155"/>
        <v>Large</v>
      </c>
    </row>
    <row r="2491" spans="1:10" x14ac:dyDescent="0.25">
      <c r="A2491" t="s">
        <v>28</v>
      </c>
      <c r="B2491" t="s">
        <v>15</v>
      </c>
      <c r="C2491" t="s">
        <v>11</v>
      </c>
      <c r="D2491" s="1">
        <v>45530</v>
      </c>
      <c r="E2491" s="2">
        <v>2665.28</v>
      </c>
      <c r="F2491">
        <v>54</v>
      </c>
      <c r="G2491" s="2">
        <f t="shared" si="152"/>
        <v>49.357037037037038</v>
      </c>
      <c r="H2491" t="str">
        <f t="shared" si="153"/>
        <v>August</v>
      </c>
      <c r="I2491" t="str">
        <f t="shared" si="154"/>
        <v>Q3</v>
      </c>
      <c r="J2491" t="str">
        <f t="shared" si="155"/>
        <v>Large</v>
      </c>
    </row>
    <row r="2492" spans="1:10" x14ac:dyDescent="0.25">
      <c r="A2492" t="s">
        <v>55</v>
      </c>
      <c r="B2492" t="s">
        <v>29</v>
      </c>
      <c r="C2492" t="s">
        <v>30</v>
      </c>
      <c r="D2492" s="1">
        <v>45301</v>
      </c>
      <c r="E2492" s="2">
        <v>2048.58</v>
      </c>
      <c r="F2492">
        <v>170</v>
      </c>
      <c r="G2492" s="2">
        <f t="shared" si="152"/>
        <v>12.050470588235294</v>
      </c>
      <c r="H2492" t="str">
        <f t="shared" si="153"/>
        <v>January</v>
      </c>
      <c r="I2492" t="str">
        <f t="shared" si="154"/>
        <v>Q1</v>
      </c>
      <c r="J2492" t="str">
        <f t="shared" si="155"/>
        <v>Large</v>
      </c>
    </row>
    <row r="2493" spans="1:10" x14ac:dyDescent="0.25">
      <c r="A2493" t="s">
        <v>12</v>
      </c>
      <c r="B2493" t="s">
        <v>15</v>
      </c>
      <c r="C2493" t="s">
        <v>44</v>
      </c>
      <c r="D2493" s="1">
        <v>45423</v>
      </c>
      <c r="E2493" s="2">
        <v>6267.19</v>
      </c>
      <c r="F2493">
        <v>83</v>
      </c>
      <c r="G2493" s="2">
        <f t="shared" si="152"/>
        <v>75.508313253012048</v>
      </c>
      <c r="H2493" t="str">
        <f t="shared" si="153"/>
        <v>May</v>
      </c>
      <c r="I2493" t="str">
        <f t="shared" si="154"/>
        <v>Q2</v>
      </c>
      <c r="J2493" t="str">
        <f t="shared" si="155"/>
        <v>Large</v>
      </c>
    </row>
    <row r="2494" spans="1:10" x14ac:dyDescent="0.25">
      <c r="A2494" t="s">
        <v>34</v>
      </c>
      <c r="B2494" t="s">
        <v>21</v>
      </c>
      <c r="C2494" t="s">
        <v>11</v>
      </c>
      <c r="D2494" s="1">
        <v>45534</v>
      </c>
      <c r="E2494" s="2">
        <v>12886.26</v>
      </c>
      <c r="F2494">
        <v>21</v>
      </c>
      <c r="G2494" s="2">
        <f t="shared" si="152"/>
        <v>613.63142857142861</v>
      </c>
      <c r="H2494" t="str">
        <f t="shared" si="153"/>
        <v>August</v>
      </c>
      <c r="I2494" t="str">
        <f t="shared" si="154"/>
        <v>Q3</v>
      </c>
      <c r="J2494" t="str">
        <f t="shared" si="155"/>
        <v>Large</v>
      </c>
    </row>
    <row r="2495" spans="1:10" x14ac:dyDescent="0.25">
      <c r="A2495" t="s">
        <v>41</v>
      </c>
      <c r="B2495" t="s">
        <v>26</v>
      </c>
      <c r="C2495" t="s">
        <v>57</v>
      </c>
      <c r="D2495" s="1">
        <v>45494</v>
      </c>
      <c r="E2495" s="2">
        <v>6143.64</v>
      </c>
      <c r="F2495">
        <v>117</v>
      </c>
      <c r="G2495" s="2">
        <f t="shared" si="152"/>
        <v>52.509743589743593</v>
      </c>
      <c r="H2495" t="str">
        <f t="shared" si="153"/>
        <v>July</v>
      </c>
      <c r="I2495" t="str">
        <f t="shared" si="154"/>
        <v>Q3</v>
      </c>
      <c r="J2495" t="str">
        <f t="shared" si="155"/>
        <v>Large</v>
      </c>
    </row>
    <row r="2496" spans="1:10" x14ac:dyDescent="0.25">
      <c r="A2496" t="s">
        <v>28</v>
      </c>
      <c r="B2496" t="s">
        <v>15</v>
      </c>
      <c r="C2496" t="s">
        <v>47</v>
      </c>
      <c r="D2496" s="1">
        <v>45505</v>
      </c>
      <c r="E2496" s="2">
        <v>8273.83</v>
      </c>
      <c r="F2496">
        <v>130</v>
      </c>
      <c r="G2496" s="2">
        <f t="shared" si="152"/>
        <v>63.644846153846153</v>
      </c>
      <c r="H2496" t="str">
        <f t="shared" si="153"/>
        <v>August</v>
      </c>
      <c r="I2496" t="str">
        <f t="shared" si="154"/>
        <v>Q3</v>
      </c>
      <c r="J2496" t="str">
        <f t="shared" si="155"/>
        <v>Large</v>
      </c>
    </row>
    <row r="2497" spans="1:10" x14ac:dyDescent="0.25">
      <c r="A2497" t="s">
        <v>23</v>
      </c>
      <c r="B2497" t="s">
        <v>29</v>
      </c>
      <c r="C2497" t="s">
        <v>11</v>
      </c>
      <c r="D2497" s="1">
        <v>45339</v>
      </c>
      <c r="E2497" s="2">
        <v>12163.59</v>
      </c>
      <c r="F2497">
        <v>264</v>
      </c>
      <c r="G2497" s="2">
        <f t="shared" si="152"/>
        <v>46.074204545454549</v>
      </c>
      <c r="H2497" t="str">
        <f t="shared" si="153"/>
        <v>February</v>
      </c>
      <c r="I2497" t="str">
        <f t="shared" si="154"/>
        <v>Q1</v>
      </c>
      <c r="J2497" t="str">
        <f t="shared" si="155"/>
        <v>Large</v>
      </c>
    </row>
    <row r="2498" spans="1:10" x14ac:dyDescent="0.25">
      <c r="A2498" t="s">
        <v>23</v>
      </c>
      <c r="B2498" t="s">
        <v>15</v>
      </c>
      <c r="C2498" t="s">
        <v>32</v>
      </c>
      <c r="D2498" s="1">
        <v>45500</v>
      </c>
      <c r="E2498" s="2">
        <v>7192.41</v>
      </c>
      <c r="F2498">
        <v>159</v>
      </c>
      <c r="G2498" s="2">
        <f t="shared" si="152"/>
        <v>45.235283018867925</v>
      </c>
      <c r="H2498" t="str">
        <f t="shared" si="153"/>
        <v>July</v>
      </c>
      <c r="I2498" t="str">
        <f t="shared" si="154"/>
        <v>Q3</v>
      </c>
      <c r="J2498" t="str">
        <f t="shared" si="155"/>
        <v>Large</v>
      </c>
    </row>
    <row r="2499" spans="1:10" x14ac:dyDescent="0.25">
      <c r="A2499" t="s">
        <v>54</v>
      </c>
      <c r="B2499" t="s">
        <v>26</v>
      </c>
      <c r="C2499" t="s">
        <v>27</v>
      </c>
      <c r="D2499" s="1">
        <v>45345</v>
      </c>
      <c r="E2499" s="2">
        <v>1452.94</v>
      </c>
      <c r="F2499">
        <v>112</v>
      </c>
      <c r="G2499" s="2">
        <f t="shared" ref="G2499:G2562" si="156">E2499/F2499</f>
        <v>12.972678571428572</v>
      </c>
      <c r="H2499" t="str">
        <f t="shared" ref="H2499:H2562" si="157">TEXT(D2499, "mmmm")</f>
        <v>February</v>
      </c>
      <c r="I2499" t="str">
        <f t="shared" ref="I2499:I2562" si="158">"Q" &amp; ROUNDUP(MONTH(D2499)/3,0)</f>
        <v>Q1</v>
      </c>
      <c r="J2499" t="str">
        <f t="shared" ref="J2499:J2562" si="159">IF(E2499 &gt; 500, "Large", "Small")</f>
        <v>Large</v>
      </c>
    </row>
    <row r="2500" spans="1:10" x14ac:dyDescent="0.25">
      <c r="A2500" t="s">
        <v>24</v>
      </c>
      <c r="B2500" t="s">
        <v>15</v>
      </c>
      <c r="C2500" t="s">
        <v>22</v>
      </c>
      <c r="D2500" s="1">
        <v>45373</v>
      </c>
      <c r="E2500" s="2">
        <v>3375.83</v>
      </c>
      <c r="F2500">
        <v>41</v>
      </c>
      <c r="G2500" s="2">
        <f t="shared" si="156"/>
        <v>82.337317073170723</v>
      </c>
      <c r="H2500" t="str">
        <f t="shared" si="157"/>
        <v>March</v>
      </c>
      <c r="I2500" t="str">
        <f t="shared" si="158"/>
        <v>Q1</v>
      </c>
      <c r="J2500" t="str">
        <f t="shared" si="159"/>
        <v>Large</v>
      </c>
    </row>
    <row r="2501" spans="1:10" x14ac:dyDescent="0.25">
      <c r="A2501" t="s">
        <v>43</v>
      </c>
      <c r="B2501" t="s">
        <v>10</v>
      </c>
      <c r="C2501" t="s">
        <v>18</v>
      </c>
      <c r="D2501" s="1">
        <v>45466</v>
      </c>
      <c r="E2501" s="2">
        <v>8328.7999999999993</v>
      </c>
      <c r="F2501">
        <v>327</v>
      </c>
      <c r="G2501" s="2">
        <f t="shared" si="156"/>
        <v>25.470336391437307</v>
      </c>
      <c r="H2501" t="str">
        <f t="shared" si="157"/>
        <v>June</v>
      </c>
      <c r="I2501" t="str">
        <f t="shared" si="158"/>
        <v>Q2</v>
      </c>
      <c r="J2501" t="str">
        <f t="shared" si="159"/>
        <v>Large</v>
      </c>
    </row>
    <row r="2502" spans="1:10" x14ac:dyDescent="0.25">
      <c r="A2502" t="s">
        <v>38</v>
      </c>
      <c r="B2502" t="s">
        <v>7</v>
      </c>
      <c r="C2502" t="s">
        <v>44</v>
      </c>
      <c r="D2502" s="1">
        <v>45323</v>
      </c>
      <c r="E2502" s="2">
        <v>1634.54</v>
      </c>
      <c r="F2502">
        <v>70</v>
      </c>
      <c r="G2502" s="2">
        <f t="shared" si="156"/>
        <v>23.350571428571428</v>
      </c>
      <c r="H2502" t="str">
        <f t="shared" si="157"/>
        <v>February</v>
      </c>
      <c r="I2502" t="str">
        <f t="shared" si="158"/>
        <v>Q1</v>
      </c>
      <c r="J2502" t="str">
        <f t="shared" si="159"/>
        <v>Large</v>
      </c>
    </row>
    <row r="2503" spans="1:10" x14ac:dyDescent="0.25">
      <c r="A2503" t="s">
        <v>49</v>
      </c>
      <c r="B2503" t="s">
        <v>15</v>
      </c>
      <c r="C2503" t="s">
        <v>20</v>
      </c>
      <c r="D2503" s="1">
        <v>45353</v>
      </c>
      <c r="E2503" s="2">
        <v>8265.41</v>
      </c>
      <c r="F2503">
        <v>298</v>
      </c>
      <c r="G2503" s="2">
        <f t="shared" si="156"/>
        <v>27.736275167785234</v>
      </c>
      <c r="H2503" t="str">
        <f t="shared" si="157"/>
        <v>March</v>
      </c>
      <c r="I2503" t="str">
        <f t="shared" si="158"/>
        <v>Q1</v>
      </c>
      <c r="J2503" t="str">
        <f t="shared" si="159"/>
        <v>Large</v>
      </c>
    </row>
    <row r="2504" spans="1:10" x14ac:dyDescent="0.25">
      <c r="A2504" t="s">
        <v>12</v>
      </c>
      <c r="B2504" t="s">
        <v>7</v>
      </c>
      <c r="C2504" t="s">
        <v>42</v>
      </c>
      <c r="D2504" s="1">
        <v>45388</v>
      </c>
      <c r="E2504" s="2">
        <v>1448.1</v>
      </c>
      <c r="F2504">
        <v>92</v>
      </c>
      <c r="G2504" s="2">
        <f t="shared" si="156"/>
        <v>15.740217391304347</v>
      </c>
      <c r="H2504" t="str">
        <f t="shared" si="157"/>
        <v>April</v>
      </c>
      <c r="I2504" t="str">
        <f t="shared" si="158"/>
        <v>Q2</v>
      </c>
      <c r="J2504" t="str">
        <f t="shared" si="159"/>
        <v>Large</v>
      </c>
    </row>
    <row r="2505" spans="1:10" x14ac:dyDescent="0.25">
      <c r="A2505" t="s">
        <v>19</v>
      </c>
      <c r="B2505" t="s">
        <v>15</v>
      </c>
      <c r="C2505" t="s">
        <v>51</v>
      </c>
      <c r="D2505" s="1">
        <v>45368</v>
      </c>
      <c r="E2505" s="2">
        <v>709.53</v>
      </c>
      <c r="F2505">
        <v>77</v>
      </c>
      <c r="G2505" s="2">
        <f t="shared" si="156"/>
        <v>9.2146753246753246</v>
      </c>
      <c r="H2505" t="str">
        <f t="shared" si="157"/>
        <v>March</v>
      </c>
      <c r="I2505" t="str">
        <f t="shared" si="158"/>
        <v>Q1</v>
      </c>
      <c r="J2505" t="str">
        <f t="shared" si="159"/>
        <v>Large</v>
      </c>
    </row>
    <row r="2506" spans="1:10" x14ac:dyDescent="0.25">
      <c r="A2506" t="s">
        <v>38</v>
      </c>
      <c r="B2506" t="s">
        <v>7</v>
      </c>
      <c r="C2506" t="s">
        <v>42</v>
      </c>
      <c r="D2506" s="1">
        <v>45467</v>
      </c>
      <c r="E2506" s="2">
        <v>12197.19</v>
      </c>
      <c r="F2506">
        <v>135</v>
      </c>
      <c r="G2506" s="2">
        <f t="shared" si="156"/>
        <v>90.349555555555554</v>
      </c>
      <c r="H2506" t="str">
        <f t="shared" si="157"/>
        <v>June</v>
      </c>
      <c r="I2506" t="str">
        <f t="shared" si="158"/>
        <v>Q2</v>
      </c>
      <c r="J2506" t="str">
        <f t="shared" si="159"/>
        <v>Large</v>
      </c>
    </row>
    <row r="2507" spans="1:10" x14ac:dyDescent="0.25">
      <c r="A2507" t="s">
        <v>25</v>
      </c>
      <c r="B2507" t="s">
        <v>29</v>
      </c>
      <c r="C2507" t="s">
        <v>22</v>
      </c>
      <c r="D2507" s="1">
        <v>45492</v>
      </c>
      <c r="E2507" s="2">
        <v>10917.59</v>
      </c>
      <c r="F2507">
        <v>302</v>
      </c>
      <c r="G2507" s="2">
        <f t="shared" si="156"/>
        <v>36.150960264900661</v>
      </c>
      <c r="H2507" t="str">
        <f t="shared" si="157"/>
        <v>July</v>
      </c>
      <c r="I2507" t="str">
        <f t="shared" si="158"/>
        <v>Q3</v>
      </c>
      <c r="J2507" t="str">
        <f t="shared" si="159"/>
        <v>Large</v>
      </c>
    </row>
    <row r="2508" spans="1:10" x14ac:dyDescent="0.25">
      <c r="A2508" t="s">
        <v>38</v>
      </c>
      <c r="B2508" t="s">
        <v>26</v>
      </c>
      <c r="C2508" t="s">
        <v>39</v>
      </c>
      <c r="D2508" s="1">
        <v>45484</v>
      </c>
      <c r="E2508" s="2">
        <v>1679.89</v>
      </c>
      <c r="F2508">
        <v>287</v>
      </c>
      <c r="G2508" s="2">
        <f t="shared" si="156"/>
        <v>5.8532752613240424</v>
      </c>
      <c r="H2508" t="str">
        <f t="shared" si="157"/>
        <v>July</v>
      </c>
      <c r="I2508" t="str">
        <f t="shared" si="158"/>
        <v>Q3</v>
      </c>
      <c r="J2508" t="str">
        <f t="shared" si="159"/>
        <v>Large</v>
      </c>
    </row>
    <row r="2509" spans="1:10" x14ac:dyDescent="0.25">
      <c r="A2509" t="s">
        <v>23</v>
      </c>
      <c r="B2509" t="s">
        <v>10</v>
      </c>
      <c r="C2509" t="s">
        <v>47</v>
      </c>
      <c r="D2509" s="1">
        <v>45304</v>
      </c>
      <c r="E2509" s="2">
        <v>2303.17</v>
      </c>
      <c r="F2509">
        <v>225</v>
      </c>
      <c r="G2509" s="2">
        <f t="shared" si="156"/>
        <v>10.236311111111112</v>
      </c>
      <c r="H2509" t="str">
        <f t="shared" si="157"/>
        <v>January</v>
      </c>
      <c r="I2509" t="str">
        <f t="shared" si="158"/>
        <v>Q1</v>
      </c>
      <c r="J2509" t="str">
        <f t="shared" si="159"/>
        <v>Large</v>
      </c>
    </row>
    <row r="2510" spans="1:10" x14ac:dyDescent="0.25">
      <c r="A2510" t="s">
        <v>17</v>
      </c>
      <c r="B2510" t="s">
        <v>21</v>
      </c>
      <c r="C2510" t="s">
        <v>16</v>
      </c>
      <c r="D2510" s="1">
        <v>45480</v>
      </c>
      <c r="E2510" s="2">
        <v>9261.26</v>
      </c>
      <c r="F2510">
        <v>65</v>
      </c>
      <c r="G2510" s="2">
        <f t="shared" si="156"/>
        <v>142.48092307692309</v>
      </c>
      <c r="H2510" t="str">
        <f t="shared" si="157"/>
        <v>July</v>
      </c>
      <c r="I2510" t="str">
        <f t="shared" si="158"/>
        <v>Q3</v>
      </c>
      <c r="J2510" t="str">
        <f t="shared" si="159"/>
        <v>Large</v>
      </c>
    </row>
    <row r="2511" spans="1:10" x14ac:dyDescent="0.25">
      <c r="A2511" t="s">
        <v>14</v>
      </c>
      <c r="B2511" t="s">
        <v>10</v>
      </c>
      <c r="C2511" t="s">
        <v>11</v>
      </c>
      <c r="D2511" s="1">
        <v>45437</v>
      </c>
      <c r="E2511" s="2">
        <v>5252.8</v>
      </c>
      <c r="F2511">
        <v>415</v>
      </c>
      <c r="G2511" s="2">
        <f t="shared" si="156"/>
        <v>12.657349397590362</v>
      </c>
      <c r="H2511" t="str">
        <f t="shared" si="157"/>
        <v>May</v>
      </c>
      <c r="I2511" t="str">
        <f t="shared" si="158"/>
        <v>Q2</v>
      </c>
      <c r="J2511" t="str">
        <f t="shared" si="159"/>
        <v>Large</v>
      </c>
    </row>
    <row r="2512" spans="1:10" x14ac:dyDescent="0.25">
      <c r="A2512" t="s">
        <v>33</v>
      </c>
      <c r="B2512" t="s">
        <v>10</v>
      </c>
      <c r="C2512" t="s">
        <v>42</v>
      </c>
      <c r="D2512" s="1">
        <v>45395</v>
      </c>
      <c r="E2512" s="2">
        <v>5385.55</v>
      </c>
      <c r="F2512">
        <v>161</v>
      </c>
      <c r="G2512" s="2">
        <f t="shared" si="156"/>
        <v>33.450621118012421</v>
      </c>
      <c r="H2512" t="str">
        <f t="shared" si="157"/>
        <v>April</v>
      </c>
      <c r="I2512" t="str">
        <f t="shared" si="158"/>
        <v>Q2</v>
      </c>
      <c r="J2512" t="str">
        <f t="shared" si="159"/>
        <v>Large</v>
      </c>
    </row>
    <row r="2513" spans="1:10" x14ac:dyDescent="0.25">
      <c r="A2513" t="s">
        <v>48</v>
      </c>
      <c r="B2513" t="s">
        <v>21</v>
      </c>
      <c r="C2513" t="s">
        <v>22</v>
      </c>
      <c r="D2513" s="1">
        <v>45353</v>
      </c>
      <c r="E2513" s="2">
        <v>3741.19</v>
      </c>
      <c r="F2513">
        <v>222</v>
      </c>
      <c r="G2513" s="2">
        <f t="shared" si="156"/>
        <v>16.852207207207208</v>
      </c>
      <c r="H2513" t="str">
        <f t="shared" si="157"/>
        <v>March</v>
      </c>
      <c r="I2513" t="str">
        <f t="shared" si="158"/>
        <v>Q1</v>
      </c>
      <c r="J2513" t="str">
        <f t="shared" si="159"/>
        <v>Large</v>
      </c>
    </row>
    <row r="2514" spans="1:10" x14ac:dyDescent="0.25">
      <c r="A2514" t="s">
        <v>19</v>
      </c>
      <c r="B2514" t="s">
        <v>29</v>
      </c>
      <c r="C2514" t="s">
        <v>51</v>
      </c>
      <c r="D2514" s="1">
        <v>45466</v>
      </c>
      <c r="E2514" s="2">
        <v>2223.4899999999998</v>
      </c>
      <c r="F2514">
        <v>127</v>
      </c>
      <c r="G2514" s="2">
        <f t="shared" si="156"/>
        <v>17.507795275590549</v>
      </c>
      <c r="H2514" t="str">
        <f t="shared" si="157"/>
        <v>June</v>
      </c>
      <c r="I2514" t="str">
        <f t="shared" si="158"/>
        <v>Q2</v>
      </c>
      <c r="J2514" t="str">
        <f t="shared" si="159"/>
        <v>Large</v>
      </c>
    </row>
    <row r="2515" spans="1:10" x14ac:dyDescent="0.25">
      <c r="A2515" t="s">
        <v>49</v>
      </c>
      <c r="B2515" t="s">
        <v>26</v>
      </c>
      <c r="C2515" t="s">
        <v>32</v>
      </c>
      <c r="D2515" s="1">
        <v>45499</v>
      </c>
      <c r="E2515" s="2">
        <v>7720.37</v>
      </c>
      <c r="F2515">
        <v>156</v>
      </c>
      <c r="G2515" s="2">
        <f t="shared" si="156"/>
        <v>49.489551282051281</v>
      </c>
      <c r="H2515" t="str">
        <f t="shared" si="157"/>
        <v>July</v>
      </c>
      <c r="I2515" t="str">
        <f t="shared" si="158"/>
        <v>Q3</v>
      </c>
      <c r="J2515" t="str">
        <f t="shared" si="159"/>
        <v>Large</v>
      </c>
    </row>
    <row r="2516" spans="1:10" x14ac:dyDescent="0.25">
      <c r="A2516" t="s">
        <v>9</v>
      </c>
      <c r="B2516" t="s">
        <v>29</v>
      </c>
      <c r="C2516" t="s">
        <v>44</v>
      </c>
      <c r="D2516" s="1">
        <v>45373</v>
      </c>
      <c r="E2516" s="2">
        <v>468.09</v>
      </c>
      <c r="F2516">
        <v>3</v>
      </c>
      <c r="G2516" s="2">
        <f t="shared" si="156"/>
        <v>156.03</v>
      </c>
      <c r="H2516" t="str">
        <f t="shared" si="157"/>
        <v>March</v>
      </c>
      <c r="I2516" t="str">
        <f t="shared" si="158"/>
        <v>Q1</v>
      </c>
      <c r="J2516" t="str">
        <f t="shared" si="159"/>
        <v>Small</v>
      </c>
    </row>
    <row r="2517" spans="1:10" x14ac:dyDescent="0.25">
      <c r="A2517" t="s">
        <v>24</v>
      </c>
      <c r="B2517" t="s">
        <v>26</v>
      </c>
      <c r="C2517" t="s">
        <v>56</v>
      </c>
      <c r="D2517" s="1">
        <v>45452</v>
      </c>
      <c r="E2517" s="2">
        <v>3083.39</v>
      </c>
      <c r="F2517">
        <v>55</v>
      </c>
      <c r="G2517" s="2">
        <f t="shared" si="156"/>
        <v>56.06163636363636</v>
      </c>
      <c r="H2517" t="str">
        <f t="shared" si="157"/>
        <v>June</v>
      </c>
      <c r="I2517" t="str">
        <f t="shared" si="158"/>
        <v>Q2</v>
      </c>
      <c r="J2517" t="str">
        <f t="shared" si="159"/>
        <v>Large</v>
      </c>
    </row>
    <row r="2518" spans="1:10" x14ac:dyDescent="0.25">
      <c r="A2518" t="s">
        <v>9</v>
      </c>
      <c r="B2518" t="s">
        <v>15</v>
      </c>
      <c r="C2518" t="s">
        <v>57</v>
      </c>
      <c r="D2518" s="1">
        <v>45429</v>
      </c>
      <c r="E2518" s="2">
        <v>6898.94</v>
      </c>
      <c r="F2518">
        <v>58</v>
      </c>
      <c r="G2518" s="2">
        <f t="shared" si="156"/>
        <v>118.94724137931034</v>
      </c>
      <c r="H2518" t="str">
        <f t="shared" si="157"/>
        <v>May</v>
      </c>
      <c r="I2518" t="str">
        <f t="shared" si="158"/>
        <v>Q2</v>
      </c>
      <c r="J2518" t="str">
        <f t="shared" si="159"/>
        <v>Large</v>
      </c>
    </row>
    <row r="2519" spans="1:10" x14ac:dyDescent="0.25">
      <c r="A2519" t="s">
        <v>55</v>
      </c>
      <c r="B2519" t="s">
        <v>21</v>
      </c>
      <c r="C2519" t="s">
        <v>13</v>
      </c>
      <c r="D2519" s="1">
        <v>45355</v>
      </c>
      <c r="E2519" s="2">
        <v>1036.05</v>
      </c>
      <c r="F2519">
        <v>291</v>
      </c>
      <c r="G2519" s="2">
        <f t="shared" si="156"/>
        <v>3.5603092783505152</v>
      </c>
      <c r="H2519" t="str">
        <f t="shared" si="157"/>
        <v>March</v>
      </c>
      <c r="I2519" t="str">
        <f t="shared" si="158"/>
        <v>Q1</v>
      </c>
      <c r="J2519" t="str">
        <f t="shared" si="159"/>
        <v>Large</v>
      </c>
    </row>
    <row r="2520" spans="1:10" x14ac:dyDescent="0.25">
      <c r="A2520" t="s">
        <v>49</v>
      </c>
      <c r="B2520" t="s">
        <v>29</v>
      </c>
      <c r="C2520" t="s">
        <v>37</v>
      </c>
      <c r="D2520" s="1">
        <v>45480</v>
      </c>
      <c r="E2520" s="2">
        <v>17518.04</v>
      </c>
      <c r="F2520">
        <v>28</v>
      </c>
      <c r="G2520" s="2">
        <f t="shared" si="156"/>
        <v>625.64428571428573</v>
      </c>
      <c r="H2520" t="str">
        <f t="shared" si="157"/>
        <v>July</v>
      </c>
      <c r="I2520" t="str">
        <f t="shared" si="158"/>
        <v>Q3</v>
      </c>
      <c r="J2520" t="str">
        <f t="shared" si="159"/>
        <v>Large</v>
      </c>
    </row>
    <row r="2521" spans="1:10" x14ac:dyDescent="0.25">
      <c r="A2521" t="s">
        <v>43</v>
      </c>
      <c r="B2521" t="s">
        <v>29</v>
      </c>
      <c r="C2521" t="s">
        <v>52</v>
      </c>
      <c r="D2521" s="1">
        <v>45304</v>
      </c>
      <c r="E2521" s="2">
        <v>11691.86</v>
      </c>
      <c r="F2521">
        <v>128</v>
      </c>
      <c r="G2521" s="2">
        <f t="shared" si="156"/>
        <v>91.342656250000005</v>
      </c>
      <c r="H2521" t="str">
        <f t="shared" si="157"/>
        <v>January</v>
      </c>
      <c r="I2521" t="str">
        <f t="shared" si="158"/>
        <v>Q1</v>
      </c>
      <c r="J2521" t="str">
        <f t="shared" si="159"/>
        <v>Large</v>
      </c>
    </row>
    <row r="2522" spans="1:10" x14ac:dyDescent="0.25">
      <c r="A2522" t="s">
        <v>38</v>
      </c>
      <c r="B2522" t="s">
        <v>15</v>
      </c>
      <c r="C2522" t="s">
        <v>47</v>
      </c>
      <c r="D2522" s="1">
        <v>45486</v>
      </c>
      <c r="E2522" s="2">
        <v>3136.53</v>
      </c>
      <c r="F2522">
        <v>74</v>
      </c>
      <c r="G2522" s="2">
        <f t="shared" si="156"/>
        <v>42.385540540540546</v>
      </c>
      <c r="H2522" t="str">
        <f t="shared" si="157"/>
        <v>July</v>
      </c>
      <c r="I2522" t="str">
        <f t="shared" si="158"/>
        <v>Q3</v>
      </c>
      <c r="J2522" t="str">
        <f t="shared" si="159"/>
        <v>Large</v>
      </c>
    </row>
    <row r="2523" spans="1:10" x14ac:dyDescent="0.25">
      <c r="A2523" t="s">
        <v>53</v>
      </c>
      <c r="B2523" t="s">
        <v>15</v>
      </c>
      <c r="C2523" t="s">
        <v>11</v>
      </c>
      <c r="D2523" s="1">
        <v>45459</v>
      </c>
      <c r="E2523" s="2">
        <v>1677.71</v>
      </c>
      <c r="F2523">
        <v>325</v>
      </c>
      <c r="G2523" s="2">
        <f t="shared" si="156"/>
        <v>5.1621846153846151</v>
      </c>
      <c r="H2523" t="str">
        <f t="shared" si="157"/>
        <v>June</v>
      </c>
      <c r="I2523" t="str">
        <f t="shared" si="158"/>
        <v>Q2</v>
      </c>
      <c r="J2523" t="str">
        <f t="shared" si="159"/>
        <v>Large</v>
      </c>
    </row>
    <row r="2524" spans="1:10" x14ac:dyDescent="0.25">
      <c r="A2524" t="s">
        <v>12</v>
      </c>
      <c r="B2524" t="s">
        <v>7</v>
      </c>
      <c r="C2524" t="s">
        <v>22</v>
      </c>
      <c r="D2524" s="1">
        <v>45491</v>
      </c>
      <c r="E2524" s="2">
        <v>8937.3700000000008</v>
      </c>
      <c r="F2524">
        <v>66</v>
      </c>
      <c r="G2524" s="2">
        <f t="shared" si="156"/>
        <v>135.41469696969699</v>
      </c>
      <c r="H2524" t="str">
        <f t="shared" si="157"/>
        <v>July</v>
      </c>
      <c r="I2524" t="str">
        <f t="shared" si="158"/>
        <v>Q3</v>
      </c>
      <c r="J2524" t="str">
        <f t="shared" si="159"/>
        <v>Large</v>
      </c>
    </row>
    <row r="2525" spans="1:10" x14ac:dyDescent="0.25">
      <c r="A2525" t="s">
        <v>55</v>
      </c>
      <c r="B2525" t="s">
        <v>7</v>
      </c>
      <c r="C2525" t="s">
        <v>45</v>
      </c>
      <c r="D2525" s="1">
        <v>45442</v>
      </c>
      <c r="E2525" s="2">
        <v>4761.38</v>
      </c>
      <c r="F2525">
        <v>406</v>
      </c>
      <c r="G2525" s="2">
        <f t="shared" si="156"/>
        <v>11.727536945812808</v>
      </c>
      <c r="H2525" t="str">
        <f t="shared" si="157"/>
        <v>May</v>
      </c>
      <c r="I2525" t="str">
        <f t="shared" si="158"/>
        <v>Q2</v>
      </c>
      <c r="J2525" t="str">
        <f t="shared" si="159"/>
        <v>Large</v>
      </c>
    </row>
    <row r="2526" spans="1:10" x14ac:dyDescent="0.25">
      <c r="A2526" t="s">
        <v>12</v>
      </c>
      <c r="B2526" t="s">
        <v>7</v>
      </c>
      <c r="C2526" t="s">
        <v>58</v>
      </c>
      <c r="D2526" s="1">
        <v>45464</v>
      </c>
      <c r="E2526" s="2">
        <v>942.02</v>
      </c>
      <c r="F2526">
        <v>84</v>
      </c>
      <c r="G2526" s="2">
        <f t="shared" si="156"/>
        <v>11.21452380952381</v>
      </c>
      <c r="H2526" t="str">
        <f t="shared" si="157"/>
        <v>June</v>
      </c>
      <c r="I2526" t="str">
        <f t="shared" si="158"/>
        <v>Q2</v>
      </c>
      <c r="J2526" t="str">
        <f t="shared" si="159"/>
        <v>Large</v>
      </c>
    </row>
    <row r="2527" spans="1:10" x14ac:dyDescent="0.25">
      <c r="A2527" t="s">
        <v>6</v>
      </c>
      <c r="B2527" t="s">
        <v>15</v>
      </c>
      <c r="C2527" t="s">
        <v>13</v>
      </c>
      <c r="D2527" s="1">
        <v>45467</v>
      </c>
      <c r="E2527" s="2">
        <v>6623.03</v>
      </c>
      <c r="F2527">
        <v>39</v>
      </c>
      <c r="G2527" s="2">
        <f t="shared" si="156"/>
        <v>169.82128205128205</v>
      </c>
      <c r="H2527" t="str">
        <f t="shared" si="157"/>
        <v>June</v>
      </c>
      <c r="I2527" t="str">
        <f t="shared" si="158"/>
        <v>Q2</v>
      </c>
      <c r="J2527" t="str">
        <f t="shared" si="159"/>
        <v>Large</v>
      </c>
    </row>
    <row r="2528" spans="1:10" x14ac:dyDescent="0.25">
      <c r="A2528" t="s">
        <v>33</v>
      </c>
      <c r="B2528" t="s">
        <v>10</v>
      </c>
      <c r="C2528" t="s">
        <v>30</v>
      </c>
      <c r="D2528" s="1">
        <v>45304</v>
      </c>
      <c r="E2528" s="2">
        <v>4067.36</v>
      </c>
      <c r="F2528">
        <v>94</v>
      </c>
      <c r="G2528" s="2">
        <f t="shared" si="156"/>
        <v>43.269787234042553</v>
      </c>
      <c r="H2528" t="str">
        <f t="shared" si="157"/>
        <v>January</v>
      </c>
      <c r="I2528" t="str">
        <f t="shared" si="158"/>
        <v>Q1</v>
      </c>
      <c r="J2528" t="str">
        <f t="shared" si="159"/>
        <v>Large</v>
      </c>
    </row>
    <row r="2529" spans="1:10" x14ac:dyDescent="0.25">
      <c r="A2529" t="s">
        <v>38</v>
      </c>
      <c r="B2529" t="s">
        <v>29</v>
      </c>
      <c r="C2529" t="s">
        <v>42</v>
      </c>
      <c r="D2529" s="1">
        <v>45386</v>
      </c>
      <c r="E2529" s="2">
        <v>4712.55</v>
      </c>
      <c r="F2529">
        <v>211</v>
      </c>
      <c r="G2529" s="2">
        <f t="shared" si="156"/>
        <v>22.334360189573459</v>
      </c>
      <c r="H2529" t="str">
        <f t="shared" si="157"/>
        <v>April</v>
      </c>
      <c r="I2529" t="str">
        <f t="shared" si="158"/>
        <v>Q2</v>
      </c>
      <c r="J2529" t="str">
        <f t="shared" si="159"/>
        <v>Large</v>
      </c>
    </row>
    <row r="2530" spans="1:10" x14ac:dyDescent="0.25">
      <c r="A2530" t="s">
        <v>41</v>
      </c>
      <c r="B2530" t="s">
        <v>7</v>
      </c>
      <c r="C2530" t="s">
        <v>16</v>
      </c>
      <c r="D2530" s="1">
        <v>45451</v>
      </c>
      <c r="E2530" s="2">
        <v>9571.2999999999993</v>
      </c>
      <c r="F2530">
        <v>594</v>
      </c>
      <c r="G2530" s="2">
        <f t="shared" si="156"/>
        <v>16.113299663299664</v>
      </c>
      <c r="H2530" t="str">
        <f t="shared" si="157"/>
        <v>June</v>
      </c>
      <c r="I2530" t="str">
        <f t="shared" si="158"/>
        <v>Q2</v>
      </c>
      <c r="J2530" t="str">
        <f t="shared" si="159"/>
        <v>Large</v>
      </c>
    </row>
    <row r="2531" spans="1:10" x14ac:dyDescent="0.25">
      <c r="A2531" t="s">
        <v>31</v>
      </c>
      <c r="B2531" t="s">
        <v>29</v>
      </c>
      <c r="C2531" t="s">
        <v>39</v>
      </c>
      <c r="D2531" s="1">
        <v>45506</v>
      </c>
      <c r="E2531" s="2">
        <v>6779.99</v>
      </c>
      <c r="F2531">
        <v>46</v>
      </c>
      <c r="G2531" s="2">
        <f t="shared" si="156"/>
        <v>147.39108695652175</v>
      </c>
      <c r="H2531" t="str">
        <f t="shared" si="157"/>
        <v>August</v>
      </c>
      <c r="I2531" t="str">
        <f t="shared" si="158"/>
        <v>Q3</v>
      </c>
      <c r="J2531" t="str">
        <f t="shared" si="159"/>
        <v>Large</v>
      </c>
    </row>
    <row r="2532" spans="1:10" x14ac:dyDescent="0.25">
      <c r="A2532" t="s">
        <v>49</v>
      </c>
      <c r="B2532" t="s">
        <v>26</v>
      </c>
      <c r="C2532" t="s">
        <v>35</v>
      </c>
      <c r="D2532" s="1">
        <v>45494</v>
      </c>
      <c r="E2532" s="2">
        <v>10772.46</v>
      </c>
      <c r="F2532">
        <v>150</v>
      </c>
      <c r="G2532" s="2">
        <f t="shared" si="156"/>
        <v>71.816399999999987</v>
      </c>
      <c r="H2532" t="str">
        <f t="shared" si="157"/>
        <v>July</v>
      </c>
      <c r="I2532" t="str">
        <f t="shared" si="158"/>
        <v>Q3</v>
      </c>
      <c r="J2532" t="str">
        <f t="shared" si="159"/>
        <v>Large</v>
      </c>
    </row>
    <row r="2533" spans="1:10" x14ac:dyDescent="0.25">
      <c r="A2533" t="s">
        <v>38</v>
      </c>
      <c r="B2533" t="s">
        <v>10</v>
      </c>
      <c r="C2533" t="s">
        <v>39</v>
      </c>
      <c r="D2533" s="1">
        <v>45463</v>
      </c>
      <c r="E2533" s="2">
        <v>189.34</v>
      </c>
      <c r="F2533">
        <v>140</v>
      </c>
      <c r="G2533" s="2">
        <f t="shared" si="156"/>
        <v>1.3524285714285715</v>
      </c>
      <c r="H2533" t="str">
        <f t="shared" si="157"/>
        <v>June</v>
      </c>
      <c r="I2533" t="str">
        <f t="shared" si="158"/>
        <v>Q2</v>
      </c>
      <c r="J2533" t="str">
        <f t="shared" si="159"/>
        <v>Small</v>
      </c>
    </row>
    <row r="2534" spans="1:10" x14ac:dyDescent="0.25">
      <c r="A2534" t="s">
        <v>36</v>
      </c>
      <c r="B2534" t="s">
        <v>10</v>
      </c>
      <c r="C2534" t="s">
        <v>20</v>
      </c>
      <c r="D2534" s="1">
        <v>45465</v>
      </c>
      <c r="E2534" s="2">
        <v>3015.47</v>
      </c>
      <c r="F2534">
        <v>115</v>
      </c>
      <c r="G2534" s="2">
        <f t="shared" si="156"/>
        <v>26.221478260869564</v>
      </c>
      <c r="H2534" t="str">
        <f t="shared" si="157"/>
        <v>June</v>
      </c>
      <c r="I2534" t="str">
        <f t="shared" si="158"/>
        <v>Q2</v>
      </c>
      <c r="J2534" t="str">
        <f t="shared" si="159"/>
        <v>Large</v>
      </c>
    </row>
    <row r="2535" spans="1:10" x14ac:dyDescent="0.25">
      <c r="A2535" t="s">
        <v>50</v>
      </c>
      <c r="B2535" t="s">
        <v>15</v>
      </c>
      <c r="C2535" t="s">
        <v>57</v>
      </c>
      <c r="D2535" s="1">
        <v>45414</v>
      </c>
      <c r="E2535" s="2">
        <v>3538.27</v>
      </c>
      <c r="F2535">
        <v>16</v>
      </c>
      <c r="G2535" s="2">
        <f t="shared" si="156"/>
        <v>221.141875</v>
      </c>
      <c r="H2535" t="str">
        <f t="shared" si="157"/>
        <v>May</v>
      </c>
      <c r="I2535" t="str">
        <f t="shared" si="158"/>
        <v>Q2</v>
      </c>
      <c r="J2535" t="str">
        <f t="shared" si="159"/>
        <v>Large</v>
      </c>
    </row>
    <row r="2536" spans="1:10" x14ac:dyDescent="0.25">
      <c r="A2536" t="s">
        <v>38</v>
      </c>
      <c r="B2536" t="s">
        <v>15</v>
      </c>
      <c r="C2536" t="s">
        <v>18</v>
      </c>
      <c r="D2536" s="1">
        <v>45298</v>
      </c>
      <c r="E2536" s="2">
        <v>5196.97</v>
      </c>
      <c r="F2536">
        <v>87</v>
      </c>
      <c r="G2536" s="2">
        <f t="shared" si="156"/>
        <v>59.735287356321841</v>
      </c>
      <c r="H2536" t="str">
        <f t="shared" si="157"/>
        <v>January</v>
      </c>
      <c r="I2536" t="str">
        <f t="shared" si="158"/>
        <v>Q1</v>
      </c>
      <c r="J2536" t="str">
        <f t="shared" si="159"/>
        <v>Large</v>
      </c>
    </row>
    <row r="2537" spans="1:10" x14ac:dyDescent="0.25">
      <c r="A2537" t="s">
        <v>28</v>
      </c>
      <c r="B2537" t="s">
        <v>7</v>
      </c>
      <c r="C2537" t="s">
        <v>22</v>
      </c>
      <c r="D2537" s="1">
        <v>45343</v>
      </c>
      <c r="E2537" s="2">
        <v>6654.14</v>
      </c>
      <c r="F2537">
        <v>102</v>
      </c>
      <c r="G2537" s="2">
        <f t="shared" si="156"/>
        <v>65.236666666666665</v>
      </c>
      <c r="H2537" t="str">
        <f t="shared" si="157"/>
        <v>February</v>
      </c>
      <c r="I2537" t="str">
        <f t="shared" si="158"/>
        <v>Q1</v>
      </c>
      <c r="J2537" t="str">
        <f t="shared" si="159"/>
        <v>Large</v>
      </c>
    </row>
    <row r="2538" spans="1:10" x14ac:dyDescent="0.25">
      <c r="A2538" t="s">
        <v>55</v>
      </c>
      <c r="B2538" t="s">
        <v>29</v>
      </c>
      <c r="C2538" t="s">
        <v>56</v>
      </c>
      <c r="D2538" s="1">
        <v>45372</v>
      </c>
      <c r="E2538" s="2">
        <v>8639.19</v>
      </c>
      <c r="F2538">
        <v>402</v>
      </c>
      <c r="G2538" s="2">
        <f t="shared" si="156"/>
        <v>21.490522388059702</v>
      </c>
      <c r="H2538" t="str">
        <f t="shared" si="157"/>
        <v>March</v>
      </c>
      <c r="I2538" t="str">
        <f t="shared" si="158"/>
        <v>Q1</v>
      </c>
      <c r="J2538" t="str">
        <f t="shared" si="159"/>
        <v>Large</v>
      </c>
    </row>
    <row r="2539" spans="1:10" x14ac:dyDescent="0.25">
      <c r="A2539" t="s">
        <v>9</v>
      </c>
      <c r="B2539" t="s">
        <v>7</v>
      </c>
      <c r="C2539" t="s">
        <v>32</v>
      </c>
      <c r="D2539" s="1">
        <v>45386</v>
      </c>
      <c r="E2539" s="2">
        <v>6397.05</v>
      </c>
      <c r="F2539">
        <v>136</v>
      </c>
      <c r="G2539" s="2">
        <f t="shared" si="156"/>
        <v>47.037132352941178</v>
      </c>
      <c r="H2539" t="str">
        <f t="shared" si="157"/>
        <v>April</v>
      </c>
      <c r="I2539" t="str">
        <f t="shared" si="158"/>
        <v>Q2</v>
      </c>
      <c r="J2539" t="str">
        <f t="shared" si="159"/>
        <v>Large</v>
      </c>
    </row>
    <row r="2540" spans="1:10" x14ac:dyDescent="0.25">
      <c r="A2540" t="s">
        <v>19</v>
      </c>
      <c r="B2540" t="s">
        <v>29</v>
      </c>
      <c r="C2540" t="s">
        <v>42</v>
      </c>
      <c r="D2540" s="1">
        <v>45375</v>
      </c>
      <c r="E2540" s="2">
        <v>14596.37</v>
      </c>
      <c r="F2540">
        <v>196</v>
      </c>
      <c r="G2540" s="2">
        <f t="shared" si="156"/>
        <v>74.47127551020408</v>
      </c>
      <c r="H2540" t="str">
        <f t="shared" si="157"/>
        <v>March</v>
      </c>
      <c r="I2540" t="str">
        <f t="shared" si="158"/>
        <v>Q1</v>
      </c>
      <c r="J2540" t="str">
        <f t="shared" si="159"/>
        <v>Large</v>
      </c>
    </row>
    <row r="2541" spans="1:10" x14ac:dyDescent="0.25">
      <c r="A2541" t="s">
        <v>19</v>
      </c>
      <c r="B2541" t="s">
        <v>21</v>
      </c>
      <c r="C2541" t="s">
        <v>39</v>
      </c>
      <c r="D2541" s="1">
        <v>45471</v>
      </c>
      <c r="E2541" s="2">
        <v>7712.91</v>
      </c>
      <c r="F2541">
        <v>192</v>
      </c>
      <c r="G2541" s="2">
        <f t="shared" si="156"/>
        <v>40.171406249999997</v>
      </c>
      <c r="H2541" t="str">
        <f t="shared" si="157"/>
        <v>June</v>
      </c>
      <c r="I2541" t="str">
        <f t="shared" si="158"/>
        <v>Q2</v>
      </c>
      <c r="J2541" t="str">
        <f t="shared" si="159"/>
        <v>Large</v>
      </c>
    </row>
    <row r="2542" spans="1:10" x14ac:dyDescent="0.25">
      <c r="A2542" t="s">
        <v>19</v>
      </c>
      <c r="B2542" t="s">
        <v>15</v>
      </c>
      <c r="C2542" t="s">
        <v>32</v>
      </c>
      <c r="D2542" s="1">
        <v>45305</v>
      </c>
      <c r="E2542" s="2">
        <v>2456.77</v>
      </c>
      <c r="F2542">
        <v>188</v>
      </c>
      <c r="G2542" s="2">
        <f t="shared" si="156"/>
        <v>13.067925531914893</v>
      </c>
      <c r="H2542" t="str">
        <f t="shared" si="157"/>
        <v>January</v>
      </c>
      <c r="I2542" t="str">
        <f t="shared" si="158"/>
        <v>Q1</v>
      </c>
      <c r="J2542" t="str">
        <f t="shared" si="159"/>
        <v>Large</v>
      </c>
    </row>
    <row r="2543" spans="1:10" x14ac:dyDescent="0.25">
      <c r="A2543" t="s">
        <v>31</v>
      </c>
      <c r="B2543" t="s">
        <v>21</v>
      </c>
      <c r="C2543" t="s">
        <v>42</v>
      </c>
      <c r="D2543" s="1">
        <v>45329</v>
      </c>
      <c r="E2543" s="2">
        <v>1435.27</v>
      </c>
      <c r="F2543">
        <v>138</v>
      </c>
      <c r="G2543" s="2">
        <f t="shared" si="156"/>
        <v>10.400507246376812</v>
      </c>
      <c r="H2543" t="str">
        <f t="shared" si="157"/>
        <v>February</v>
      </c>
      <c r="I2543" t="str">
        <f t="shared" si="158"/>
        <v>Q1</v>
      </c>
      <c r="J2543" t="str">
        <f t="shared" si="159"/>
        <v>Large</v>
      </c>
    </row>
    <row r="2544" spans="1:10" x14ac:dyDescent="0.25">
      <c r="A2544" t="s">
        <v>43</v>
      </c>
      <c r="B2544" t="s">
        <v>21</v>
      </c>
      <c r="C2544" t="s">
        <v>32</v>
      </c>
      <c r="D2544" s="1">
        <v>45302</v>
      </c>
      <c r="E2544" s="2">
        <v>4324.4799999999996</v>
      </c>
      <c r="F2544">
        <v>202</v>
      </c>
      <c r="G2544" s="2">
        <f t="shared" si="156"/>
        <v>21.408316831683166</v>
      </c>
      <c r="H2544" t="str">
        <f t="shared" si="157"/>
        <v>January</v>
      </c>
      <c r="I2544" t="str">
        <f t="shared" si="158"/>
        <v>Q1</v>
      </c>
      <c r="J2544" t="str">
        <f t="shared" si="159"/>
        <v>Large</v>
      </c>
    </row>
    <row r="2545" spans="1:10" x14ac:dyDescent="0.25">
      <c r="A2545" t="s">
        <v>6</v>
      </c>
      <c r="B2545" t="s">
        <v>10</v>
      </c>
      <c r="C2545" t="s">
        <v>18</v>
      </c>
      <c r="D2545" s="1">
        <v>45347</v>
      </c>
      <c r="E2545" s="2">
        <v>2207.7600000000002</v>
      </c>
      <c r="F2545">
        <v>247</v>
      </c>
      <c r="G2545" s="2">
        <f t="shared" si="156"/>
        <v>8.9382995951417019</v>
      </c>
      <c r="H2545" t="str">
        <f t="shared" si="157"/>
        <v>February</v>
      </c>
      <c r="I2545" t="str">
        <f t="shared" si="158"/>
        <v>Q1</v>
      </c>
      <c r="J2545" t="str">
        <f t="shared" si="159"/>
        <v>Large</v>
      </c>
    </row>
    <row r="2546" spans="1:10" x14ac:dyDescent="0.25">
      <c r="A2546" t="s">
        <v>54</v>
      </c>
      <c r="B2546" t="s">
        <v>15</v>
      </c>
      <c r="C2546" t="s">
        <v>8</v>
      </c>
      <c r="D2546" s="1">
        <v>45505</v>
      </c>
      <c r="E2546" s="2">
        <v>7571.51</v>
      </c>
      <c r="F2546">
        <v>26</v>
      </c>
      <c r="G2546" s="2">
        <f t="shared" si="156"/>
        <v>291.21192307692309</v>
      </c>
      <c r="H2546" t="str">
        <f t="shared" si="157"/>
        <v>August</v>
      </c>
      <c r="I2546" t="str">
        <f t="shared" si="158"/>
        <v>Q3</v>
      </c>
      <c r="J2546" t="str">
        <f t="shared" si="159"/>
        <v>Large</v>
      </c>
    </row>
    <row r="2547" spans="1:10" x14ac:dyDescent="0.25">
      <c r="A2547" t="s">
        <v>36</v>
      </c>
      <c r="B2547" t="s">
        <v>15</v>
      </c>
      <c r="C2547" t="s">
        <v>8</v>
      </c>
      <c r="D2547" s="1">
        <v>45417</v>
      </c>
      <c r="E2547" s="2">
        <v>7189.76</v>
      </c>
      <c r="F2547">
        <v>262</v>
      </c>
      <c r="G2547" s="2">
        <f t="shared" si="156"/>
        <v>27.441832061068702</v>
      </c>
      <c r="H2547" t="str">
        <f t="shared" si="157"/>
        <v>May</v>
      </c>
      <c r="I2547" t="str">
        <f t="shared" si="158"/>
        <v>Q2</v>
      </c>
      <c r="J2547" t="str">
        <f t="shared" si="159"/>
        <v>Large</v>
      </c>
    </row>
    <row r="2548" spans="1:10" x14ac:dyDescent="0.25">
      <c r="A2548" t="s">
        <v>53</v>
      </c>
      <c r="B2548" t="s">
        <v>21</v>
      </c>
      <c r="C2548" t="s">
        <v>51</v>
      </c>
      <c r="D2548" s="1">
        <v>45430</v>
      </c>
      <c r="E2548" s="2">
        <v>10858.21</v>
      </c>
      <c r="F2548">
        <v>451</v>
      </c>
      <c r="G2548" s="2">
        <f t="shared" si="156"/>
        <v>24.075853658536584</v>
      </c>
      <c r="H2548" t="str">
        <f t="shared" si="157"/>
        <v>May</v>
      </c>
      <c r="I2548" t="str">
        <f t="shared" si="158"/>
        <v>Q2</v>
      </c>
      <c r="J2548" t="str">
        <f t="shared" si="159"/>
        <v>Large</v>
      </c>
    </row>
    <row r="2549" spans="1:10" x14ac:dyDescent="0.25">
      <c r="A2549" t="s">
        <v>54</v>
      </c>
      <c r="B2549" t="s">
        <v>21</v>
      </c>
      <c r="C2549" t="s">
        <v>52</v>
      </c>
      <c r="D2549" s="1">
        <v>45295</v>
      </c>
      <c r="E2549" s="2">
        <v>6524.65</v>
      </c>
      <c r="F2549">
        <v>369</v>
      </c>
      <c r="G2549" s="2">
        <f t="shared" si="156"/>
        <v>17.681978319783198</v>
      </c>
      <c r="H2549" t="str">
        <f t="shared" si="157"/>
        <v>January</v>
      </c>
      <c r="I2549" t="str">
        <f t="shared" si="158"/>
        <v>Q1</v>
      </c>
      <c r="J2549" t="str">
        <f t="shared" si="159"/>
        <v>Large</v>
      </c>
    </row>
    <row r="2550" spans="1:10" x14ac:dyDescent="0.25">
      <c r="A2550" t="s">
        <v>36</v>
      </c>
      <c r="B2550" t="s">
        <v>21</v>
      </c>
      <c r="C2550" t="s">
        <v>22</v>
      </c>
      <c r="D2550" s="1">
        <v>45421</v>
      </c>
      <c r="E2550" s="2">
        <v>4624.45</v>
      </c>
      <c r="F2550">
        <v>212</v>
      </c>
      <c r="G2550" s="2">
        <f t="shared" si="156"/>
        <v>21.813443396226415</v>
      </c>
      <c r="H2550" t="str">
        <f t="shared" si="157"/>
        <v>May</v>
      </c>
      <c r="I2550" t="str">
        <f t="shared" si="158"/>
        <v>Q2</v>
      </c>
      <c r="J2550" t="str">
        <f t="shared" si="159"/>
        <v>Large</v>
      </c>
    </row>
    <row r="2551" spans="1:10" x14ac:dyDescent="0.25">
      <c r="A2551" t="s">
        <v>24</v>
      </c>
      <c r="B2551" t="s">
        <v>10</v>
      </c>
      <c r="C2551" t="s">
        <v>16</v>
      </c>
      <c r="D2551" s="1">
        <v>45418</v>
      </c>
      <c r="E2551" s="2">
        <v>1961.82</v>
      </c>
      <c r="F2551">
        <v>80</v>
      </c>
      <c r="G2551" s="2">
        <f t="shared" si="156"/>
        <v>24.522749999999998</v>
      </c>
      <c r="H2551" t="str">
        <f t="shared" si="157"/>
        <v>May</v>
      </c>
      <c r="I2551" t="str">
        <f t="shared" si="158"/>
        <v>Q2</v>
      </c>
      <c r="J2551" t="str">
        <f t="shared" si="159"/>
        <v>Large</v>
      </c>
    </row>
    <row r="2552" spans="1:10" x14ac:dyDescent="0.25">
      <c r="A2552" t="s">
        <v>40</v>
      </c>
      <c r="B2552" t="s">
        <v>7</v>
      </c>
      <c r="C2552" t="s">
        <v>44</v>
      </c>
      <c r="D2552" s="1">
        <v>45304</v>
      </c>
      <c r="E2552" s="2">
        <v>12782.63</v>
      </c>
      <c r="F2552">
        <v>158</v>
      </c>
      <c r="G2552" s="2">
        <f t="shared" si="156"/>
        <v>80.902721518987335</v>
      </c>
      <c r="H2552" t="str">
        <f t="shared" si="157"/>
        <v>January</v>
      </c>
      <c r="I2552" t="str">
        <f t="shared" si="158"/>
        <v>Q1</v>
      </c>
      <c r="J2552" t="str">
        <f t="shared" si="159"/>
        <v>Large</v>
      </c>
    </row>
    <row r="2553" spans="1:10" x14ac:dyDescent="0.25">
      <c r="A2553" t="s">
        <v>36</v>
      </c>
      <c r="B2553" t="s">
        <v>15</v>
      </c>
      <c r="C2553" t="s">
        <v>47</v>
      </c>
      <c r="D2553" s="1">
        <v>45467</v>
      </c>
      <c r="E2553" s="2">
        <v>4928.3</v>
      </c>
      <c r="F2553">
        <v>71</v>
      </c>
      <c r="G2553" s="2">
        <f t="shared" si="156"/>
        <v>69.412676056338029</v>
      </c>
      <c r="H2553" t="str">
        <f t="shared" si="157"/>
        <v>June</v>
      </c>
      <c r="I2553" t="str">
        <f t="shared" si="158"/>
        <v>Q2</v>
      </c>
      <c r="J2553" t="str">
        <f t="shared" si="159"/>
        <v>Large</v>
      </c>
    </row>
    <row r="2554" spans="1:10" x14ac:dyDescent="0.25">
      <c r="A2554" t="s">
        <v>9</v>
      </c>
      <c r="B2554" t="s">
        <v>26</v>
      </c>
      <c r="C2554" t="s">
        <v>57</v>
      </c>
      <c r="D2554" s="1">
        <v>45336</v>
      </c>
      <c r="E2554" s="2">
        <v>1115.8399999999999</v>
      </c>
      <c r="F2554">
        <v>22</v>
      </c>
      <c r="G2554" s="2">
        <f t="shared" si="156"/>
        <v>50.72</v>
      </c>
      <c r="H2554" t="str">
        <f t="shared" si="157"/>
        <v>February</v>
      </c>
      <c r="I2554" t="str">
        <f t="shared" si="158"/>
        <v>Q1</v>
      </c>
      <c r="J2554" t="str">
        <f t="shared" si="159"/>
        <v>Large</v>
      </c>
    </row>
    <row r="2555" spans="1:10" x14ac:dyDescent="0.25">
      <c r="A2555" t="s">
        <v>50</v>
      </c>
      <c r="B2555" t="s">
        <v>15</v>
      </c>
      <c r="C2555" t="s">
        <v>18</v>
      </c>
      <c r="D2555" s="1">
        <v>45309</v>
      </c>
      <c r="E2555" s="2">
        <v>5346.62</v>
      </c>
      <c r="F2555">
        <v>109</v>
      </c>
      <c r="G2555" s="2">
        <f t="shared" si="156"/>
        <v>49.051559633027523</v>
      </c>
      <c r="H2555" t="str">
        <f t="shared" si="157"/>
        <v>January</v>
      </c>
      <c r="I2555" t="str">
        <f t="shared" si="158"/>
        <v>Q1</v>
      </c>
      <c r="J2555" t="str">
        <f t="shared" si="159"/>
        <v>Large</v>
      </c>
    </row>
    <row r="2556" spans="1:10" x14ac:dyDescent="0.25">
      <c r="A2556" t="s">
        <v>41</v>
      </c>
      <c r="B2556" t="s">
        <v>10</v>
      </c>
      <c r="C2556" t="s">
        <v>37</v>
      </c>
      <c r="D2556" s="1">
        <v>45414</v>
      </c>
      <c r="E2556" s="2">
        <v>3168.11</v>
      </c>
      <c r="F2556">
        <v>93</v>
      </c>
      <c r="G2556" s="2">
        <f t="shared" si="156"/>
        <v>34.065698924731187</v>
      </c>
      <c r="H2556" t="str">
        <f t="shared" si="157"/>
        <v>May</v>
      </c>
      <c r="I2556" t="str">
        <f t="shared" si="158"/>
        <v>Q2</v>
      </c>
      <c r="J2556" t="str">
        <f t="shared" si="159"/>
        <v>Large</v>
      </c>
    </row>
    <row r="2557" spans="1:10" x14ac:dyDescent="0.25">
      <c r="A2557" t="s">
        <v>55</v>
      </c>
      <c r="B2557" t="s">
        <v>15</v>
      </c>
      <c r="C2557" t="s">
        <v>16</v>
      </c>
      <c r="D2557" s="1">
        <v>45428</v>
      </c>
      <c r="E2557" s="2">
        <v>9007.92</v>
      </c>
      <c r="F2557">
        <v>52</v>
      </c>
      <c r="G2557" s="2">
        <f t="shared" si="156"/>
        <v>173.22923076923078</v>
      </c>
      <c r="H2557" t="str">
        <f t="shared" si="157"/>
        <v>May</v>
      </c>
      <c r="I2557" t="str">
        <f t="shared" si="158"/>
        <v>Q2</v>
      </c>
      <c r="J2557" t="str">
        <f t="shared" si="159"/>
        <v>Large</v>
      </c>
    </row>
    <row r="2558" spans="1:10" x14ac:dyDescent="0.25">
      <c r="A2558" t="s">
        <v>28</v>
      </c>
      <c r="B2558" t="s">
        <v>26</v>
      </c>
      <c r="C2558" t="s">
        <v>47</v>
      </c>
      <c r="D2558" s="1">
        <v>45319</v>
      </c>
      <c r="E2558" s="2">
        <v>7400.07</v>
      </c>
      <c r="F2558">
        <v>383</v>
      </c>
      <c r="G2558" s="2">
        <f t="shared" si="156"/>
        <v>19.321331592689294</v>
      </c>
      <c r="H2558" t="str">
        <f t="shared" si="157"/>
        <v>January</v>
      </c>
      <c r="I2558" t="str">
        <f t="shared" si="158"/>
        <v>Q1</v>
      </c>
      <c r="J2558" t="str">
        <f t="shared" si="159"/>
        <v>Large</v>
      </c>
    </row>
    <row r="2559" spans="1:10" x14ac:dyDescent="0.25">
      <c r="A2559" t="s">
        <v>41</v>
      </c>
      <c r="B2559" t="s">
        <v>29</v>
      </c>
      <c r="C2559" t="s">
        <v>18</v>
      </c>
      <c r="D2559" s="1">
        <v>45467</v>
      </c>
      <c r="E2559" s="2">
        <v>1420.22</v>
      </c>
      <c r="F2559">
        <v>422</v>
      </c>
      <c r="G2559" s="2">
        <f t="shared" si="156"/>
        <v>3.3654502369668249</v>
      </c>
      <c r="H2559" t="str">
        <f t="shared" si="157"/>
        <v>June</v>
      </c>
      <c r="I2559" t="str">
        <f t="shared" si="158"/>
        <v>Q2</v>
      </c>
      <c r="J2559" t="str">
        <f t="shared" si="159"/>
        <v>Large</v>
      </c>
    </row>
    <row r="2560" spans="1:10" x14ac:dyDescent="0.25">
      <c r="A2560" t="s">
        <v>17</v>
      </c>
      <c r="B2560" t="s">
        <v>7</v>
      </c>
      <c r="C2560" t="s">
        <v>20</v>
      </c>
      <c r="D2560" s="1">
        <v>45491</v>
      </c>
      <c r="E2560" s="2">
        <v>2555.9499999999998</v>
      </c>
      <c r="F2560">
        <v>109</v>
      </c>
      <c r="G2560" s="2">
        <f t="shared" si="156"/>
        <v>23.449082568807338</v>
      </c>
      <c r="H2560" t="str">
        <f t="shared" si="157"/>
        <v>July</v>
      </c>
      <c r="I2560" t="str">
        <f t="shared" si="158"/>
        <v>Q3</v>
      </c>
      <c r="J2560" t="str">
        <f t="shared" si="159"/>
        <v>Large</v>
      </c>
    </row>
    <row r="2561" spans="1:10" x14ac:dyDescent="0.25">
      <c r="A2561" t="s">
        <v>19</v>
      </c>
      <c r="B2561" t="s">
        <v>7</v>
      </c>
      <c r="C2561" t="s">
        <v>30</v>
      </c>
      <c r="D2561" s="1">
        <v>45395</v>
      </c>
      <c r="E2561" s="2">
        <v>4059.65</v>
      </c>
      <c r="F2561">
        <v>175</v>
      </c>
      <c r="G2561" s="2">
        <f t="shared" si="156"/>
        <v>23.198</v>
      </c>
      <c r="H2561" t="str">
        <f t="shared" si="157"/>
        <v>April</v>
      </c>
      <c r="I2561" t="str">
        <f t="shared" si="158"/>
        <v>Q2</v>
      </c>
      <c r="J2561" t="str">
        <f t="shared" si="159"/>
        <v>Large</v>
      </c>
    </row>
    <row r="2562" spans="1:10" x14ac:dyDescent="0.25">
      <c r="A2562" t="s">
        <v>54</v>
      </c>
      <c r="B2562" t="s">
        <v>26</v>
      </c>
      <c r="C2562" t="s">
        <v>57</v>
      </c>
      <c r="D2562" s="1">
        <v>45397</v>
      </c>
      <c r="E2562" s="2">
        <v>18581.37</v>
      </c>
      <c r="F2562">
        <v>83</v>
      </c>
      <c r="G2562" s="2">
        <f t="shared" si="156"/>
        <v>223.87192771084335</v>
      </c>
      <c r="H2562" t="str">
        <f t="shared" si="157"/>
        <v>April</v>
      </c>
      <c r="I2562" t="str">
        <f t="shared" si="158"/>
        <v>Q2</v>
      </c>
      <c r="J2562" t="str">
        <f t="shared" si="159"/>
        <v>Large</v>
      </c>
    </row>
    <row r="2563" spans="1:10" x14ac:dyDescent="0.25">
      <c r="A2563" t="s">
        <v>14</v>
      </c>
      <c r="B2563" t="s">
        <v>10</v>
      </c>
      <c r="C2563" t="s">
        <v>13</v>
      </c>
      <c r="D2563" s="1">
        <v>45295</v>
      </c>
      <c r="E2563" s="2">
        <v>8813.58</v>
      </c>
      <c r="F2563">
        <v>182</v>
      </c>
      <c r="G2563" s="2">
        <f t="shared" ref="G2563:G2626" si="160">E2563/F2563</f>
        <v>48.426263736263735</v>
      </c>
      <c r="H2563" t="str">
        <f t="shared" ref="H2563:H2626" si="161">TEXT(D2563, "mmmm")</f>
        <v>January</v>
      </c>
      <c r="I2563" t="str">
        <f t="shared" ref="I2563:I2626" si="162">"Q" &amp; ROUNDUP(MONTH(D2563)/3,0)</f>
        <v>Q1</v>
      </c>
      <c r="J2563" t="str">
        <f t="shared" ref="J2563:J2626" si="163">IF(E2563 &gt; 500, "Large", "Small")</f>
        <v>Large</v>
      </c>
    </row>
    <row r="2564" spans="1:10" x14ac:dyDescent="0.25">
      <c r="A2564" t="s">
        <v>40</v>
      </c>
      <c r="B2564" t="s">
        <v>15</v>
      </c>
      <c r="C2564" t="s">
        <v>30</v>
      </c>
      <c r="D2564" s="1">
        <v>45477</v>
      </c>
      <c r="E2564" s="2">
        <v>7914.74</v>
      </c>
      <c r="F2564">
        <v>31</v>
      </c>
      <c r="G2564" s="2">
        <f t="shared" si="160"/>
        <v>255.3141935483871</v>
      </c>
      <c r="H2564" t="str">
        <f t="shared" si="161"/>
        <v>July</v>
      </c>
      <c r="I2564" t="str">
        <f t="shared" si="162"/>
        <v>Q3</v>
      </c>
      <c r="J2564" t="str">
        <f t="shared" si="163"/>
        <v>Large</v>
      </c>
    </row>
    <row r="2565" spans="1:10" x14ac:dyDescent="0.25">
      <c r="A2565" t="s">
        <v>34</v>
      </c>
      <c r="B2565" t="s">
        <v>26</v>
      </c>
      <c r="C2565" t="s">
        <v>16</v>
      </c>
      <c r="D2565" s="1">
        <v>45375</v>
      </c>
      <c r="E2565" s="2">
        <v>2787.72</v>
      </c>
      <c r="F2565">
        <v>342</v>
      </c>
      <c r="G2565" s="2">
        <f t="shared" si="160"/>
        <v>8.1512280701754385</v>
      </c>
      <c r="H2565" t="str">
        <f t="shared" si="161"/>
        <v>March</v>
      </c>
      <c r="I2565" t="str">
        <f t="shared" si="162"/>
        <v>Q1</v>
      </c>
      <c r="J2565" t="str">
        <f t="shared" si="163"/>
        <v>Large</v>
      </c>
    </row>
    <row r="2566" spans="1:10" x14ac:dyDescent="0.25">
      <c r="A2566" t="s">
        <v>50</v>
      </c>
      <c r="B2566" t="s">
        <v>15</v>
      </c>
      <c r="C2566" t="s">
        <v>45</v>
      </c>
      <c r="D2566" s="1">
        <v>45368</v>
      </c>
      <c r="E2566" s="2">
        <v>681.71</v>
      </c>
      <c r="F2566">
        <v>170</v>
      </c>
      <c r="G2566" s="2">
        <f t="shared" si="160"/>
        <v>4.0100588235294117</v>
      </c>
      <c r="H2566" t="str">
        <f t="shared" si="161"/>
        <v>March</v>
      </c>
      <c r="I2566" t="str">
        <f t="shared" si="162"/>
        <v>Q1</v>
      </c>
      <c r="J2566" t="str">
        <f t="shared" si="163"/>
        <v>Large</v>
      </c>
    </row>
    <row r="2567" spans="1:10" x14ac:dyDescent="0.25">
      <c r="A2567" t="s">
        <v>17</v>
      </c>
      <c r="B2567" t="s">
        <v>15</v>
      </c>
      <c r="C2567" t="s">
        <v>47</v>
      </c>
      <c r="D2567" s="1">
        <v>45337</v>
      </c>
      <c r="E2567" s="2">
        <v>6827.53</v>
      </c>
      <c r="F2567">
        <v>241</v>
      </c>
      <c r="G2567" s="2">
        <f t="shared" si="160"/>
        <v>28.33</v>
      </c>
      <c r="H2567" t="str">
        <f t="shared" si="161"/>
        <v>February</v>
      </c>
      <c r="I2567" t="str">
        <f t="shared" si="162"/>
        <v>Q1</v>
      </c>
      <c r="J2567" t="str">
        <f t="shared" si="163"/>
        <v>Large</v>
      </c>
    </row>
    <row r="2568" spans="1:10" x14ac:dyDescent="0.25">
      <c r="A2568" t="s">
        <v>14</v>
      </c>
      <c r="B2568" t="s">
        <v>26</v>
      </c>
      <c r="C2568" t="s">
        <v>27</v>
      </c>
      <c r="D2568" s="1">
        <v>45472</v>
      </c>
      <c r="E2568" s="2">
        <v>1082</v>
      </c>
      <c r="F2568">
        <v>158</v>
      </c>
      <c r="G2568" s="2">
        <f t="shared" si="160"/>
        <v>6.8481012658227849</v>
      </c>
      <c r="H2568" t="str">
        <f t="shared" si="161"/>
        <v>June</v>
      </c>
      <c r="I2568" t="str">
        <f t="shared" si="162"/>
        <v>Q2</v>
      </c>
      <c r="J2568" t="str">
        <f t="shared" si="163"/>
        <v>Large</v>
      </c>
    </row>
    <row r="2569" spans="1:10" x14ac:dyDescent="0.25">
      <c r="A2569" t="s">
        <v>12</v>
      </c>
      <c r="B2569" t="s">
        <v>26</v>
      </c>
      <c r="C2569" t="s">
        <v>42</v>
      </c>
      <c r="D2569" s="1">
        <v>45436</v>
      </c>
      <c r="E2569" s="2">
        <v>2966.98</v>
      </c>
      <c r="F2569">
        <v>121</v>
      </c>
      <c r="G2569" s="2">
        <f t="shared" si="160"/>
        <v>24.520495867768595</v>
      </c>
      <c r="H2569" t="str">
        <f t="shared" si="161"/>
        <v>May</v>
      </c>
      <c r="I2569" t="str">
        <f t="shared" si="162"/>
        <v>Q2</v>
      </c>
      <c r="J2569" t="str">
        <f t="shared" si="163"/>
        <v>Large</v>
      </c>
    </row>
    <row r="2570" spans="1:10" x14ac:dyDescent="0.25">
      <c r="A2570" t="s">
        <v>28</v>
      </c>
      <c r="B2570" t="s">
        <v>7</v>
      </c>
      <c r="C2570" t="s">
        <v>37</v>
      </c>
      <c r="D2570" s="1">
        <v>45301</v>
      </c>
      <c r="E2570" s="2">
        <v>3951.74</v>
      </c>
      <c r="F2570">
        <v>287</v>
      </c>
      <c r="G2570" s="2">
        <f t="shared" si="160"/>
        <v>13.769128919860627</v>
      </c>
      <c r="H2570" t="str">
        <f t="shared" si="161"/>
        <v>January</v>
      </c>
      <c r="I2570" t="str">
        <f t="shared" si="162"/>
        <v>Q1</v>
      </c>
      <c r="J2570" t="str">
        <f t="shared" si="163"/>
        <v>Large</v>
      </c>
    </row>
    <row r="2571" spans="1:10" x14ac:dyDescent="0.25">
      <c r="A2571" t="s">
        <v>38</v>
      </c>
      <c r="B2571" t="s">
        <v>26</v>
      </c>
      <c r="C2571" t="s">
        <v>51</v>
      </c>
      <c r="D2571" s="1">
        <v>45366</v>
      </c>
      <c r="E2571" s="2">
        <v>3151.23</v>
      </c>
      <c r="F2571">
        <v>144</v>
      </c>
      <c r="G2571" s="2">
        <f t="shared" si="160"/>
        <v>21.883541666666666</v>
      </c>
      <c r="H2571" t="str">
        <f t="shared" si="161"/>
        <v>March</v>
      </c>
      <c r="I2571" t="str">
        <f t="shared" si="162"/>
        <v>Q1</v>
      </c>
      <c r="J2571" t="str">
        <f t="shared" si="163"/>
        <v>Large</v>
      </c>
    </row>
    <row r="2572" spans="1:10" x14ac:dyDescent="0.25">
      <c r="A2572" t="s">
        <v>33</v>
      </c>
      <c r="B2572" t="s">
        <v>29</v>
      </c>
      <c r="C2572" t="s">
        <v>37</v>
      </c>
      <c r="D2572" s="1">
        <v>45330</v>
      </c>
      <c r="E2572" s="2">
        <v>2672.67</v>
      </c>
      <c r="F2572">
        <v>317</v>
      </c>
      <c r="G2572" s="2">
        <f t="shared" si="160"/>
        <v>8.4311356466876965</v>
      </c>
      <c r="H2572" t="str">
        <f t="shared" si="161"/>
        <v>February</v>
      </c>
      <c r="I2572" t="str">
        <f t="shared" si="162"/>
        <v>Q1</v>
      </c>
      <c r="J2572" t="str">
        <f t="shared" si="163"/>
        <v>Large</v>
      </c>
    </row>
    <row r="2573" spans="1:10" x14ac:dyDescent="0.25">
      <c r="A2573" t="s">
        <v>23</v>
      </c>
      <c r="B2573" t="s">
        <v>10</v>
      </c>
      <c r="C2573" t="s">
        <v>57</v>
      </c>
      <c r="D2573" s="1">
        <v>45347</v>
      </c>
      <c r="E2573" s="2">
        <v>1742.37</v>
      </c>
      <c r="F2573">
        <v>106</v>
      </c>
      <c r="G2573" s="2">
        <f t="shared" si="160"/>
        <v>16.437452830188679</v>
      </c>
      <c r="H2573" t="str">
        <f t="shared" si="161"/>
        <v>February</v>
      </c>
      <c r="I2573" t="str">
        <f t="shared" si="162"/>
        <v>Q1</v>
      </c>
      <c r="J2573" t="str">
        <f t="shared" si="163"/>
        <v>Large</v>
      </c>
    </row>
    <row r="2574" spans="1:10" x14ac:dyDescent="0.25">
      <c r="A2574" t="s">
        <v>19</v>
      </c>
      <c r="B2574" t="s">
        <v>26</v>
      </c>
      <c r="C2574" t="s">
        <v>30</v>
      </c>
      <c r="D2574" s="1">
        <v>45415</v>
      </c>
      <c r="E2574" s="2">
        <v>7301.31</v>
      </c>
      <c r="F2574">
        <v>42</v>
      </c>
      <c r="G2574" s="2">
        <f t="shared" si="160"/>
        <v>173.84071428571428</v>
      </c>
      <c r="H2574" t="str">
        <f t="shared" si="161"/>
        <v>May</v>
      </c>
      <c r="I2574" t="str">
        <f t="shared" si="162"/>
        <v>Q2</v>
      </c>
      <c r="J2574" t="str">
        <f t="shared" si="163"/>
        <v>Large</v>
      </c>
    </row>
    <row r="2575" spans="1:10" x14ac:dyDescent="0.25">
      <c r="A2575" t="s">
        <v>36</v>
      </c>
      <c r="B2575" t="s">
        <v>26</v>
      </c>
      <c r="C2575" t="s">
        <v>42</v>
      </c>
      <c r="D2575" s="1">
        <v>45457</v>
      </c>
      <c r="E2575" s="2">
        <v>6322.14</v>
      </c>
      <c r="F2575">
        <v>26</v>
      </c>
      <c r="G2575" s="2">
        <f t="shared" si="160"/>
        <v>243.15923076923079</v>
      </c>
      <c r="H2575" t="str">
        <f t="shared" si="161"/>
        <v>June</v>
      </c>
      <c r="I2575" t="str">
        <f t="shared" si="162"/>
        <v>Q2</v>
      </c>
      <c r="J2575" t="str">
        <f t="shared" si="163"/>
        <v>Large</v>
      </c>
    </row>
    <row r="2576" spans="1:10" x14ac:dyDescent="0.25">
      <c r="A2576" t="s">
        <v>19</v>
      </c>
      <c r="B2576" t="s">
        <v>10</v>
      </c>
      <c r="C2576" t="s">
        <v>22</v>
      </c>
      <c r="D2576" s="1">
        <v>45513</v>
      </c>
      <c r="E2576" s="2">
        <v>13731.44</v>
      </c>
      <c r="F2576">
        <v>82</v>
      </c>
      <c r="G2576" s="2">
        <f t="shared" si="160"/>
        <v>167.45658536585367</v>
      </c>
      <c r="H2576" t="str">
        <f t="shared" si="161"/>
        <v>August</v>
      </c>
      <c r="I2576" t="str">
        <f t="shared" si="162"/>
        <v>Q3</v>
      </c>
      <c r="J2576" t="str">
        <f t="shared" si="163"/>
        <v>Large</v>
      </c>
    </row>
    <row r="2577" spans="1:10" x14ac:dyDescent="0.25">
      <c r="A2577" t="s">
        <v>46</v>
      </c>
      <c r="B2577" t="s">
        <v>21</v>
      </c>
      <c r="C2577" t="s">
        <v>45</v>
      </c>
      <c r="D2577" s="1">
        <v>45484</v>
      </c>
      <c r="E2577" s="2">
        <v>4051.88</v>
      </c>
      <c r="F2577">
        <v>253</v>
      </c>
      <c r="G2577" s="2">
        <f t="shared" si="160"/>
        <v>16.015335968379446</v>
      </c>
      <c r="H2577" t="str">
        <f t="shared" si="161"/>
        <v>July</v>
      </c>
      <c r="I2577" t="str">
        <f t="shared" si="162"/>
        <v>Q3</v>
      </c>
      <c r="J2577" t="str">
        <f t="shared" si="163"/>
        <v>Large</v>
      </c>
    </row>
    <row r="2578" spans="1:10" x14ac:dyDescent="0.25">
      <c r="A2578" t="s">
        <v>41</v>
      </c>
      <c r="B2578" t="s">
        <v>7</v>
      </c>
      <c r="C2578" t="s">
        <v>45</v>
      </c>
      <c r="D2578" s="1">
        <v>45305</v>
      </c>
      <c r="E2578" s="2">
        <v>8474.69</v>
      </c>
      <c r="F2578">
        <v>115</v>
      </c>
      <c r="G2578" s="2">
        <f t="shared" si="160"/>
        <v>73.692956521739134</v>
      </c>
      <c r="H2578" t="str">
        <f t="shared" si="161"/>
        <v>January</v>
      </c>
      <c r="I2578" t="str">
        <f t="shared" si="162"/>
        <v>Q1</v>
      </c>
      <c r="J2578" t="str">
        <f t="shared" si="163"/>
        <v>Large</v>
      </c>
    </row>
    <row r="2579" spans="1:10" x14ac:dyDescent="0.25">
      <c r="A2579" t="s">
        <v>9</v>
      </c>
      <c r="B2579" t="s">
        <v>29</v>
      </c>
      <c r="C2579" t="s">
        <v>45</v>
      </c>
      <c r="D2579" s="1">
        <v>45346</v>
      </c>
      <c r="E2579" s="2">
        <v>9426.56</v>
      </c>
      <c r="F2579">
        <v>49</v>
      </c>
      <c r="G2579" s="2">
        <f t="shared" si="160"/>
        <v>192.37877551020406</v>
      </c>
      <c r="H2579" t="str">
        <f t="shared" si="161"/>
        <v>February</v>
      </c>
      <c r="I2579" t="str">
        <f t="shared" si="162"/>
        <v>Q1</v>
      </c>
      <c r="J2579" t="str">
        <f t="shared" si="163"/>
        <v>Large</v>
      </c>
    </row>
    <row r="2580" spans="1:10" x14ac:dyDescent="0.25">
      <c r="A2580" t="s">
        <v>46</v>
      </c>
      <c r="B2580" t="s">
        <v>21</v>
      </c>
      <c r="C2580" t="s">
        <v>47</v>
      </c>
      <c r="D2580" s="1">
        <v>45366</v>
      </c>
      <c r="E2580" s="2">
        <v>9770.2800000000007</v>
      </c>
      <c r="F2580">
        <v>154</v>
      </c>
      <c r="G2580" s="2">
        <f t="shared" si="160"/>
        <v>63.443376623376629</v>
      </c>
      <c r="H2580" t="str">
        <f t="shared" si="161"/>
        <v>March</v>
      </c>
      <c r="I2580" t="str">
        <f t="shared" si="162"/>
        <v>Q1</v>
      </c>
      <c r="J2580" t="str">
        <f t="shared" si="163"/>
        <v>Large</v>
      </c>
    </row>
    <row r="2581" spans="1:10" x14ac:dyDescent="0.25">
      <c r="A2581" t="s">
        <v>17</v>
      </c>
      <c r="B2581" t="s">
        <v>21</v>
      </c>
      <c r="C2581" t="s">
        <v>56</v>
      </c>
      <c r="D2581" s="1">
        <v>45407</v>
      </c>
      <c r="E2581" s="2">
        <v>14234.61</v>
      </c>
      <c r="F2581">
        <v>45</v>
      </c>
      <c r="G2581" s="2">
        <f t="shared" si="160"/>
        <v>316.3246666666667</v>
      </c>
      <c r="H2581" t="str">
        <f t="shared" si="161"/>
        <v>April</v>
      </c>
      <c r="I2581" t="str">
        <f t="shared" si="162"/>
        <v>Q2</v>
      </c>
      <c r="J2581" t="str">
        <f t="shared" si="163"/>
        <v>Large</v>
      </c>
    </row>
    <row r="2582" spans="1:10" x14ac:dyDescent="0.25">
      <c r="A2582" t="s">
        <v>43</v>
      </c>
      <c r="B2582" t="s">
        <v>15</v>
      </c>
      <c r="C2582" t="s">
        <v>35</v>
      </c>
      <c r="D2582" s="1">
        <v>45422</v>
      </c>
      <c r="E2582" s="2">
        <v>6885.01</v>
      </c>
      <c r="F2582">
        <v>40</v>
      </c>
      <c r="G2582" s="2">
        <f t="shared" si="160"/>
        <v>172.12524999999999</v>
      </c>
      <c r="H2582" t="str">
        <f t="shared" si="161"/>
        <v>May</v>
      </c>
      <c r="I2582" t="str">
        <f t="shared" si="162"/>
        <v>Q2</v>
      </c>
      <c r="J2582" t="str">
        <f t="shared" si="163"/>
        <v>Large</v>
      </c>
    </row>
    <row r="2583" spans="1:10" x14ac:dyDescent="0.25">
      <c r="A2583" t="s">
        <v>33</v>
      </c>
      <c r="B2583" t="s">
        <v>15</v>
      </c>
      <c r="C2583" t="s">
        <v>39</v>
      </c>
      <c r="D2583" s="1">
        <v>45466</v>
      </c>
      <c r="E2583" s="2">
        <v>14687.62</v>
      </c>
      <c r="F2583">
        <v>293</v>
      </c>
      <c r="G2583" s="2">
        <f t="shared" si="160"/>
        <v>50.128395904436864</v>
      </c>
      <c r="H2583" t="str">
        <f t="shared" si="161"/>
        <v>June</v>
      </c>
      <c r="I2583" t="str">
        <f t="shared" si="162"/>
        <v>Q2</v>
      </c>
      <c r="J2583" t="str">
        <f t="shared" si="163"/>
        <v>Large</v>
      </c>
    </row>
    <row r="2584" spans="1:10" x14ac:dyDescent="0.25">
      <c r="A2584" t="s">
        <v>34</v>
      </c>
      <c r="B2584" t="s">
        <v>29</v>
      </c>
      <c r="C2584" t="s">
        <v>16</v>
      </c>
      <c r="D2584" s="1">
        <v>45350</v>
      </c>
      <c r="E2584" s="2">
        <v>16585.43</v>
      </c>
      <c r="F2584">
        <v>388</v>
      </c>
      <c r="G2584" s="2">
        <f t="shared" si="160"/>
        <v>42.745953608247426</v>
      </c>
      <c r="H2584" t="str">
        <f t="shared" si="161"/>
        <v>February</v>
      </c>
      <c r="I2584" t="str">
        <f t="shared" si="162"/>
        <v>Q1</v>
      </c>
      <c r="J2584" t="str">
        <f t="shared" si="163"/>
        <v>Large</v>
      </c>
    </row>
    <row r="2585" spans="1:10" x14ac:dyDescent="0.25">
      <c r="A2585" t="s">
        <v>23</v>
      </c>
      <c r="B2585" t="s">
        <v>26</v>
      </c>
      <c r="C2585" t="s">
        <v>35</v>
      </c>
      <c r="D2585" s="1">
        <v>45437</v>
      </c>
      <c r="E2585" s="2">
        <v>17415.669999999998</v>
      </c>
      <c r="F2585">
        <v>148</v>
      </c>
      <c r="G2585" s="2">
        <f t="shared" si="160"/>
        <v>117.67344594594593</v>
      </c>
      <c r="H2585" t="str">
        <f t="shared" si="161"/>
        <v>May</v>
      </c>
      <c r="I2585" t="str">
        <f t="shared" si="162"/>
        <v>Q2</v>
      </c>
      <c r="J2585" t="str">
        <f t="shared" si="163"/>
        <v>Large</v>
      </c>
    </row>
    <row r="2586" spans="1:10" x14ac:dyDescent="0.25">
      <c r="A2586" t="s">
        <v>36</v>
      </c>
      <c r="B2586" t="s">
        <v>21</v>
      </c>
      <c r="C2586" t="s">
        <v>56</v>
      </c>
      <c r="D2586" s="1">
        <v>45344</v>
      </c>
      <c r="E2586" s="2">
        <v>5954.47</v>
      </c>
      <c r="F2586">
        <v>236</v>
      </c>
      <c r="G2586" s="2">
        <f t="shared" si="160"/>
        <v>25.230805084745764</v>
      </c>
      <c r="H2586" t="str">
        <f t="shared" si="161"/>
        <v>February</v>
      </c>
      <c r="I2586" t="str">
        <f t="shared" si="162"/>
        <v>Q1</v>
      </c>
      <c r="J2586" t="str">
        <f t="shared" si="163"/>
        <v>Large</v>
      </c>
    </row>
    <row r="2587" spans="1:10" x14ac:dyDescent="0.25">
      <c r="A2587" t="s">
        <v>9</v>
      </c>
      <c r="B2587" t="s">
        <v>7</v>
      </c>
      <c r="C2587" t="s">
        <v>11</v>
      </c>
      <c r="D2587" s="1">
        <v>45484</v>
      </c>
      <c r="E2587" s="2">
        <v>4179.91</v>
      </c>
      <c r="F2587">
        <v>140</v>
      </c>
      <c r="G2587" s="2">
        <f t="shared" si="160"/>
        <v>29.8565</v>
      </c>
      <c r="H2587" t="str">
        <f t="shared" si="161"/>
        <v>July</v>
      </c>
      <c r="I2587" t="str">
        <f t="shared" si="162"/>
        <v>Q3</v>
      </c>
      <c r="J2587" t="str">
        <f t="shared" si="163"/>
        <v>Large</v>
      </c>
    </row>
    <row r="2588" spans="1:10" x14ac:dyDescent="0.25">
      <c r="A2588" t="s">
        <v>33</v>
      </c>
      <c r="B2588" t="s">
        <v>29</v>
      </c>
      <c r="C2588" t="s">
        <v>39</v>
      </c>
      <c r="D2588" s="1">
        <v>45294</v>
      </c>
      <c r="E2588" s="2">
        <v>3939.95</v>
      </c>
      <c r="F2588">
        <v>365</v>
      </c>
      <c r="G2588" s="2">
        <f t="shared" si="160"/>
        <v>10.794383561643835</v>
      </c>
      <c r="H2588" t="str">
        <f t="shared" si="161"/>
        <v>January</v>
      </c>
      <c r="I2588" t="str">
        <f t="shared" si="162"/>
        <v>Q1</v>
      </c>
      <c r="J2588" t="str">
        <f t="shared" si="163"/>
        <v>Large</v>
      </c>
    </row>
    <row r="2589" spans="1:10" x14ac:dyDescent="0.25">
      <c r="A2589" t="s">
        <v>24</v>
      </c>
      <c r="B2589" t="s">
        <v>21</v>
      </c>
      <c r="C2589" t="s">
        <v>58</v>
      </c>
      <c r="D2589" s="1">
        <v>45528</v>
      </c>
      <c r="E2589" s="2">
        <v>791.19</v>
      </c>
      <c r="F2589">
        <v>280</v>
      </c>
      <c r="G2589" s="2">
        <f t="shared" si="160"/>
        <v>2.8256785714285715</v>
      </c>
      <c r="H2589" t="str">
        <f t="shared" si="161"/>
        <v>August</v>
      </c>
      <c r="I2589" t="str">
        <f t="shared" si="162"/>
        <v>Q3</v>
      </c>
      <c r="J2589" t="str">
        <f t="shared" si="163"/>
        <v>Large</v>
      </c>
    </row>
    <row r="2590" spans="1:10" x14ac:dyDescent="0.25">
      <c r="A2590" t="s">
        <v>34</v>
      </c>
      <c r="B2590" t="s">
        <v>26</v>
      </c>
      <c r="C2590" t="s">
        <v>22</v>
      </c>
      <c r="D2590" s="1">
        <v>45501</v>
      </c>
      <c r="E2590" s="2">
        <v>2941.65</v>
      </c>
      <c r="F2590">
        <v>360</v>
      </c>
      <c r="G2590" s="2">
        <f t="shared" si="160"/>
        <v>8.1712500000000006</v>
      </c>
      <c r="H2590" t="str">
        <f t="shared" si="161"/>
        <v>July</v>
      </c>
      <c r="I2590" t="str">
        <f t="shared" si="162"/>
        <v>Q3</v>
      </c>
      <c r="J2590" t="str">
        <f t="shared" si="163"/>
        <v>Large</v>
      </c>
    </row>
    <row r="2591" spans="1:10" x14ac:dyDescent="0.25">
      <c r="A2591" t="s">
        <v>23</v>
      </c>
      <c r="B2591" t="s">
        <v>26</v>
      </c>
      <c r="C2591" t="s">
        <v>8</v>
      </c>
      <c r="D2591" s="1">
        <v>45437</v>
      </c>
      <c r="E2591" s="2">
        <v>12476.68</v>
      </c>
      <c r="F2591">
        <v>162</v>
      </c>
      <c r="G2591" s="2">
        <f t="shared" si="160"/>
        <v>77.016543209876545</v>
      </c>
      <c r="H2591" t="str">
        <f t="shared" si="161"/>
        <v>May</v>
      </c>
      <c r="I2591" t="str">
        <f t="shared" si="162"/>
        <v>Q2</v>
      </c>
      <c r="J2591" t="str">
        <f t="shared" si="163"/>
        <v>Large</v>
      </c>
    </row>
    <row r="2592" spans="1:10" x14ac:dyDescent="0.25">
      <c r="A2592" t="s">
        <v>31</v>
      </c>
      <c r="B2592" t="s">
        <v>21</v>
      </c>
      <c r="C2592" t="s">
        <v>30</v>
      </c>
      <c r="D2592" s="1">
        <v>45418</v>
      </c>
      <c r="E2592" s="2">
        <v>2817.14</v>
      </c>
      <c r="F2592">
        <v>191</v>
      </c>
      <c r="G2592" s="2">
        <f t="shared" si="160"/>
        <v>14.749424083769632</v>
      </c>
      <c r="H2592" t="str">
        <f t="shared" si="161"/>
        <v>May</v>
      </c>
      <c r="I2592" t="str">
        <f t="shared" si="162"/>
        <v>Q2</v>
      </c>
      <c r="J2592" t="str">
        <f t="shared" si="163"/>
        <v>Large</v>
      </c>
    </row>
    <row r="2593" spans="1:10" x14ac:dyDescent="0.25">
      <c r="A2593" t="s">
        <v>25</v>
      </c>
      <c r="B2593" t="s">
        <v>10</v>
      </c>
      <c r="C2593" t="s">
        <v>32</v>
      </c>
      <c r="D2593" s="1">
        <v>45319</v>
      </c>
      <c r="E2593" s="2">
        <v>2411.52</v>
      </c>
      <c r="F2593">
        <v>144</v>
      </c>
      <c r="G2593" s="2">
        <f t="shared" si="160"/>
        <v>16.746666666666666</v>
      </c>
      <c r="H2593" t="str">
        <f t="shared" si="161"/>
        <v>January</v>
      </c>
      <c r="I2593" t="str">
        <f t="shared" si="162"/>
        <v>Q1</v>
      </c>
      <c r="J2593" t="str">
        <f t="shared" si="163"/>
        <v>Large</v>
      </c>
    </row>
    <row r="2594" spans="1:10" x14ac:dyDescent="0.25">
      <c r="A2594" t="s">
        <v>33</v>
      </c>
      <c r="B2594" t="s">
        <v>7</v>
      </c>
      <c r="C2594" t="s">
        <v>27</v>
      </c>
      <c r="D2594" s="1">
        <v>45449</v>
      </c>
      <c r="E2594" s="2">
        <v>13072.74</v>
      </c>
      <c r="F2594">
        <v>11</v>
      </c>
      <c r="G2594" s="2">
        <f t="shared" si="160"/>
        <v>1188.4309090909092</v>
      </c>
      <c r="H2594" t="str">
        <f t="shared" si="161"/>
        <v>June</v>
      </c>
      <c r="I2594" t="str">
        <f t="shared" si="162"/>
        <v>Q2</v>
      </c>
      <c r="J2594" t="str">
        <f t="shared" si="163"/>
        <v>Large</v>
      </c>
    </row>
    <row r="2595" spans="1:10" x14ac:dyDescent="0.25">
      <c r="A2595" t="s">
        <v>23</v>
      </c>
      <c r="B2595" t="s">
        <v>21</v>
      </c>
      <c r="C2595" t="s">
        <v>56</v>
      </c>
      <c r="D2595" s="1">
        <v>45485</v>
      </c>
      <c r="E2595" s="2">
        <v>6790.41</v>
      </c>
      <c r="F2595">
        <v>26</v>
      </c>
      <c r="G2595" s="2">
        <f t="shared" si="160"/>
        <v>261.16961538461538</v>
      </c>
      <c r="H2595" t="str">
        <f t="shared" si="161"/>
        <v>July</v>
      </c>
      <c r="I2595" t="str">
        <f t="shared" si="162"/>
        <v>Q3</v>
      </c>
      <c r="J2595" t="str">
        <f t="shared" si="163"/>
        <v>Large</v>
      </c>
    </row>
    <row r="2596" spans="1:10" x14ac:dyDescent="0.25">
      <c r="A2596" t="s">
        <v>55</v>
      </c>
      <c r="B2596" t="s">
        <v>29</v>
      </c>
      <c r="C2596" t="s">
        <v>39</v>
      </c>
      <c r="D2596" s="1">
        <v>45509</v>
      </c>
      <c r="E2596" s="2">
        <v>6092.47</v>
      </c>
      <c r="F2596">
        <v>201</v>
      </c>
      <c r="G2596" s="2">
        <f t="shared" si="160"/>
        <v>30.310796019900497</v>
      </c>
      <c r="H2596" t="str">
        <f t="shared" si="161"/>
        <v>August</v>
      </c>
      <c r="I2596" t="str">
        <f t="shared" si="162"/>
        <v>Q3</v>
      </c>
      <c r="J2596" t="str">
        <f t="shared" si="163"/>
        <v>Large</v>
      </c>
    </row>
    <row r="2597" spans="1:10" x14ac:dyDescent="0.25">
      <c r="A2597" t="s">
        <v>23</v>
      </c>
      <c r="B2597" t="s">
        <v>26</v>
      </c>
      <c r="C2597" t="s">
        <v>27</v>
      </c>
      <c r="D2597" s="1">
        <v>45319</v>
      </c>
      <c r="E2597" s="2">
        <v>7185.5</v>
      </c>
      <c r="F2597">
        <v>152</v>
      </c>
      <c r="G2597" s="2">
        <f t="shared" si="160"/>
        <v>47.273026315789473</v>
      </c>
      <c r="H2597" t="str">
        <f t="shared" si="161"/>
        <v>January</v>
      </c>
      <c r="I2597" t="str">
        <f t="shared" si="162"/>
        <v>Q1</v>
      </c>
      <c r="J2597" t="str">
        <f t="shared" si="163"/>
        <v>Large</v>
      </c>
    </row>
    <row r="2598" spans="1:10" x14ac:dyDescent="0.25">
      <c r="A2598" t="s">
        <v>41</v>
      </c>
      <c r="B2598" t="s">
        <v>10</v>
      </c>
      <c r="C2598" t="s">
        <v>39</v>
      </c>
      <c r="D2598" s="1">
        <v>45535</v>
      </c>
      <c r="E2598" s="2">
        <v>6170.8</v>
      </c>
      <c r="F2598">
        <v>138</v>
      </c>
      <c r="G2598" s="2">
        <f t="shared" si="160"/>
        <v>44.715942028985509</v>
      </c>
      <c r="H2598" t="str">
        <f t="shared" si="161"/>
        <v>August</v>
      </c>
      <c r="I2598" t="str">
        <f t="shared" si="162"/>
        <v>Q3</v>
      </c>
      <c r="J2598" t="str">
        <f t="shared" si="163"/>
        <v>Large</v>
      </c>
    </row>
    <row r="2599" spans="1:10" x14ac:dyDescent="0.25">
      <c r="A2599" t="s">
        <v>28</v>
      </c>
      <c r="B2599" t="s">
        <v>26</v>
      </c>
      <c r="C2599" t="s">
        <v>22</v>
      </c>
      <c r="D2599" s="1">
        <v>45401</v>
      </c>
      <c r="E2599" s="2">
        <v>1945.05</v>
      </c>
      <c r="F2599">
        <v>14</v>
      </c>
      <c r="G2599" s="2">
        <f t="shared" si="160"/>
        <v>138.93214285714285</v>
      </c>
      <c r="H2599" t="str">
        <f t="shared" si="161"/>
        <v>April</v>
      </c>
      <c r="I2599" t="str">
        <f t="shared" si="162"/>
        <v>Q2</v>
      </c>
      <c r="J2599" t="str">
        <f t="shared" si="163"/>
        <v>Large</v>
      </c>
    </row>
    <row r="2600" spans="1:10" x14ac:dyDescent="0.25">
      <c r="A2600" t="s">
        <v>28</v>
      </c>
      <c r="B2600" t="s">
        <v>7</v>
      </c>
      <c r="C2600" t="s">
        <v>8</v>
      </c>
      <c r="D2600" s="1">
        <v>45472</v>
      </c>
      <c r="E2600" s="2">
        <v>6767.42</v>
      </c>
      <c r="F2600">
        <v>2</v>
      </c>
      <c r="G2600" s="2">
        <f t="shared" si="160"/>
        <v>3383.71</v>
      </c>
      <c r="H2600" t="str">
        <f t="shared" si="161"/>
        <v>June</v>
      </c>
      <c r="I2600" t="str">
        <f t="shared" si="162"/>
        <v>Q2</v>
      </c>
      <c r="J2600" t="str">
        <f t="shared" si="163"/>
        <v>Large</v>
      </c>
    </row>
    <row r="2601" spans="1:10" x14ac:dyDescent="0.25">
      <c r="A2601" t="s">
        <v>34</v>
      </c>
      <c r="B2601" t="s">
        <v>10</v>
      </c>
      <c r="C2601" t="s">
        <v>52</v>
      </c>
      <c r="D2601" s="1">
        <v>45346</v>
      </c>
      <c r="E2601" s="2">
        <v>3911.69</v>
      </c>
      <c r="F2601">
        <v>254</v>
      </c>
      <c r="G2601" s="2">
        <f t="shared" si="160"/>
        <v>15.400354330708662</v>
      </c>
      <c r="H2601" t="str">
        <f t="shared" si="161"/>
        <v>February</v>
      </c>
      <c r="I2601" t="str">
        <f t="shared" si="162"/>
        <v>Q1</v>
      </c>
      <c r="J2601" t="str">
        <f t="shared" si="163"/>
        <v>Large</v>
      </c>
    </row>
    <row r="2602" spans="1:10" x14ac:dyDescent="0.25">
      <c r="A2602" t="s">
        <v>53</v>
      </c>
      <c r="B2602" t="s">
        <v>7</v>
      </c>
      <c r="C2602" t="s">
        <v>16</v>
      </c>
      <c r="D2602" s="1">
        <v>45355</v>
      </c>
      <c r="E2602" s="2">
        <v>16733.759999999998</v>
      </c>
      <c r="F2602">
        <v>88</v>
      </c>
      <c r="G2602" s="2">
        <f t="shared" si="160"/>
        <v>190.15636363636361</v>
      </c>
      <c r="H2602" t="str">
        <f t="shared" si="161"/>
        <v>March</v>
      </c>
      <c r="I2602" t="str">
        <f t="shared" si="162"/>
        <v>Q1</v>
      </c>
      <c r="J2602" t="str">
        <f t="shared" si="163"/>
        <v>Large</v>
      </c>
    </row>
    <row r="2603" spans="1:10" x14ac:dyDescent="0.25">
      <c r="A2603" t="s">
        <v>12</v>
      </c>
      <c r="B2603" t="s">
        <v>10</v>
      </c>
      <c r="C2603" t="s">
        <v>30</v>
      </c>
      <c r="D2603" s="1">
        <v>45464</v>
      </c>
      <c r="E2603" s="2">
        <v>3916.92</v>
      </c>
      <c r="F2603">
        <v>74</v>
      </c>
      <c r="G2603" s="2">
        <f t="shared" si="160"/>
        <v>52.931351351351353</v>
      </c>
      <c r="H2603" t="str">
        <f t="shared" si="161"/>
        <v>June</v>
      </c>
      <c r="I2603" t="str">
        <f t="shared" si="162"/>
        <v>Q2</v>
      </c>
      <c r="J2603" t="str">
        <f t="shared" si="163"/>
        <v>Large</v>
      </c>
    </row>
    <row r="2604" spans="1:10" x14ac:dyDescent="0.25">
      <c r="A2604" t="s">
        <v>24</v>
      </c>
      <c r="B2604" t="s">
        <v>15</v>
      </c>
      <c r="C2604" t="s">
        <v>35</v>
      </c>
      <c r="D2604" s="1">
        <v>45317</v>
      </c>
      <c r="E2604" s="2">
        <v>1082.69</v>
      </c>
      <c r="F2604">
        <v>106</v>
      </c>
      <c r="G2604" s="2">
        <f t="shared" si="160"/>
        <v>10.214056603773585</v>
      </c>
      <c r="H2604" t="str">
        <f t="shared" si="161"/>
        <v>January</v>
      </c>
      <c r="I2604" t="str">
        <f t="shared" si="162"/>
        <v>Q1</v>
      </c>
      <c r="J2604" t="str">
        <f t="shared" si="163"/>
        <v>Large</v>
      </c>
    </row>
    <row r="2605" spans="1:10" x14ac:dyDescent="0.25">
      <c r="A2605" t="s">
        <v>17</v>
      </c>
      <c r="B2605" t="s">
        <v>21</v>
      </c>
      <c r="C2605" t="s">
        <v>44</v>
      </c>
      <c r="D2605" s="1">
        <v>45453</v>
      </c>
      <c r="E2605" s="2">
        <v>4822.33</v>
      </c>
      <c r="F2605">
        <v>42</v>
      </c>
      <c r="G2605" s="2">
        <f t="shared" si="160"/>
        <v>114.81738095238094</v>
      </c>
      <c r="H2605" t="str">
        <f t="shared" si="161"/>
        <v>June</v>
      </c>
      <c r="I2605" t="str">
        <f t="shared" si="162"/>
        <v>Q2</v>
      </c>
      <c r="J2605" t="str">
        <f t="shared" si="163"/>
        <v>Large</v>
      </c>
    </row>
    <row r="2606" spans="1:10" x14ac:dyDescent="0.25">
      <c r="A2606" t="s">
        <v>48</v>
      </c>
      <c r="B2606" t="s">
        <v>7</v>
      </c>
      <c r="C2606" t="s">
        <v>32</v>
      </c>
      <c r="D2606" s="1">
        <v>45435</v>
      </c>
      <c r="E2606" s="2">
        <v>1827.45</v>
      </c>
      <c r="F2606">
        <v>66</v>
      </c>
      <c r="G2606" s="2">
        <f t="shared" si="160"/>
        <v>27.688636363636363</v>
      </c>
      <c r="H2606" t="str">
        <f t="shared" si="161"/>
        <v>May</v>
      </c>
      <c r="I2606" t="str">
        <f t="shared" si="162"/>
        <v>Q2</v>
      </c>
      <c r="J2606" t="str">
        <f t="shared" si="163"/>
        <v>Large</v>
      </c>
    </row>
    <row r="2607" spans="1:10" x14ac:dyDescent="0.25">
      <c r="A2607" t="s">
        <v>49</v>
      </c>
      <c r="B2607" t="s">
        <v>10</v>
      </c>
      <c r="C2607" t="s">
        <v>37</v>
      </c>
      <c r="D2607" s="1">
        <v>45397</v>
      </c>
      <c r="E2607" s="2">
        <v>1142.4100000000001</v>
      </c>
      <c r="F2607">
        <v>111</v>
      </c>
      <c r="G2607" s="2">
        <f t="shared" si="160"/>
        <v>10.291981981981984</v>
      </c>
      <c r="H2607" t="str">
        <f t="shared" si="161"/>
        <v>April</v>
      </c>
      <c r="I2607" t="str">
        <f t="shared" si="162"/>
        <v>Q2</v>
      </c>
      <c r="J2607" t="str">
        <f t="shared" si="163"/>
        <v>Large</v>
      </c>
    </row>
    <row r="2608" spans="1:10" x14ac:dyDescent="0.25">
      <c r="A2608" t="s">
        <v>31</v>
      </c>
      <c r="B2608" t="s">
        <v>21</v>
      </c>
      <c r="C2608" t="s">
        <v>57</v>
      </c>
      <c r="D2608" s="1">
        <v>45322</v>
      </c>
      <c r="E2608" s="2">
        <v>6290.89</v>
      </c>
      <c r="F2608">
        <v>232</v>
      </c>
      <c r="G2608" s="2">
        <f t="shared" si="160"/>
        <v>27.115905172413793</v>
      </c>
      <c r="H2608" t="str">
        <f t="shared" si="161"/>
        <v>January</v>
      </c>
      <c r="I2608" t="str">
        <f t="shared" si="162"/>
        <v>Q1</v>
      </c>
      <c r="J2608" t="str">
        <f t="shared" si="163"/>
        <v>Large</v>
      </c>
    </row>
    <row r="2609" spans="1:10" x14ac:dyDescent="0.25">
      <c r="A2609" t="s">
        <v>48</v>
      </c>
      <c r="B2609" t="s">
        <v>21</v>
      </c>
      <c r="C2609" t="s">
        <v>35</v>
      </c>
      <c r="D2609" s="1">
        <v>45355</v>
      </c>
      <c r="E2609" s="2">
        <v>5616.01</v>
      </c>
      <c r="F2609">
        <v>43</v>
      </c>
      <c r="G2609" s="2">
        <f t="shared" si="160"/>
        <v>130.60488372093025</v>
      </c>
      <c r="H2609" t="str">
        <f t="shared" si="161"/>
        <v>March</v>
      </c>
      <c r="I2609" t="str">
        <f t="shared" si="162"/>
        <v>Q1</v>
      </c>
      <c r="J2609" t="str">
        <f t="shared" si="163"/>
        <v>Large</v>
      </c>
    </row>
    <row r="2610" spans="1:10" x14ac:dyDescent="0.25">
      <c r="A2610" t="s">
        <v>25</v>
      </c>
      <c r="B2610" t="s">
        <v>21</v>
      </c>
      <c r="C2610" t="s">
        <v>20</v>
      </c>
      <c r="D2610" s="1">
        <v>45401</v>
      </c>
      <c r="E2610" s="2">
        <v>11250.69</v>
      </c>
      <c r="F2610">
        <v>91</v>
      </c>
      <c r="G2610" s="2">
        <f t="shared" si="160"/>
        <v>123.63395604395605</v>
      </c>
      <c r="H2610" t="str">
        <f t="shared" si="161"/>
        <v>April</v>
      </c>
      <c r="I2610" t="str">
        <f t="shared" si="162"/>
        <v>Q2</v>
      </c>
      <c r="J2610" t="str">
        <f t="shared" si="163"/>
        <v>Large</v>
      </c>
    </row>
    <row r="2611" spans="1:10" x14ac:dyDescent="0.25">
      <c r="A2611" t="s">
        <v>34</v>
      </c>
      <c r="B2611" t="s">
        <v>7</v>
      </c>
      <c r="C2611" t="s">
        <v>47</v>
      </c>
      <c r="D2611" s="1">
        <v>45428</v>
      </c>
      <c r="E2611" s="2">
        <v>2799.42</v>
      </c>
      <c r="F2611">
        <v>104</v>
      </c>
      <c r="G2611" s="2">
        <f t="shared" si="160"/>
        <v>26.9175</v>
      </c>
      <c r="H2611" t="str">
        <f t="shared" si="161"/>
        <v>May</v>
      </c>
      <c r="I2611" t="str">
        <f t="shared" si="162"/>
        <v>Q2</v>
      </c>
      <c r="J2611" t="str">
        <f t="shared" si="163"/>
        <v>Large</v>
      </c>
    </row>
    <row r="2612" spans="1:10" x14ac:dyDescent="0.25">
      <c r="A2612" t="s">
        <v>17</v>
      </c>
      <c r="B2612" t="s">
        <v>15</v>
      </c>
      <c r="C2612" t="s">
        <v>51</v>
      </c>
      <c r="D2612" s="1">
        <v>45339</v>
      </c>
      <c r="E2612" s="2">
        <v>1157.8800000000001</v>
      </c>
      <c r="F2612">
        <v>114</v>
      </c>
      <c r="G2612" s="2">
        <f t="shared" si="160"/>
        <v>10.156842105263159</v>
      </c>
      <c r="H2612" t="str">
        <f t="shared" si="161"/>
        <v>February</v>
      </c>
      <c r="I2612" t="str">
        <f t="shared" si="162"/>
        <v>Q1</v>
      </c>
      <c r="J2612" t="str">
        <f t="shared" si="163"/>
        <v>Large</v>
      </c>
    </row>
    <row r="2613" spans="1:10" x14ac:dyDescent="0.25">
      <c r="A2613" t="s">
        <v>43</v>
      </c>
      <c r="B2613" t="s">
        <v>26</v>
      </c>
      <c r="C2613" t="s">
        <v>51</v>
      </c>
      <c r="D2613" s="1">
        <v>45309</v>
      </c>
      <c r="E2613" s="2">
        <v>7049.32</v>
      </c>
      <c r="F2613">
        <v>273</v>
      </c>
      <c r="G2613" s="2">
        <f t="shared" si="160"/>
        <v>25.821684981684982</v>
      </c>
      <c r="H2613" t="str">
        <f t="shared" si="161"/>
        <v>January</v>
      </c>
      <c r="I2613" t="str">
        <f t="shared" si="162"/>
        <v>Q1</v>
      </c>
      <c r="J2613" t="str">
        <f t="shared" si="163"/>
        <v>Large</v>
      </c>
    </row>
    <row r="2614" spans="1:10" x14ac:dyDescent="0.25">
      <c r="A2614" t="s">
        <v>36</v>
      </c>
      <c r="B2614" t="s">
        <v>29</v>
      </c>
      <c r="C2614" t="s">
        <v>27</v>
      </c>
      <c r="D2614" s="1">
        <v>45331</v>
      </c>
      <c r="E2614" s="2">
        <v>9460.5</v>
      </c>
      <c r="F2614">
        <v>84</v>
      </c>
      <c r="G2614" s="2">
        <f t="shared" si="160"/>
        <v>112.625</v>
      </c>
      <c r="H2614" t="str">
        <f t="shared" si="161"/>
        <v>February</v>
      </c>
      <c r="I2614" t="str">
        <f t="shared" si="162"/>
        <v>Q1</v>
      </c>
      <c r="J2614" t="str">
        <f t="shared" si="163"/>
        <v>Large</v>
      </c>
    </row>
    <row r="2615" spans="1:10" x14ac:dyDescent="0.25">
      <c r="A2615" t="s">
        <v>28</v>
      </c>
      <c r="B2615" t="s">
        <v>29</v>
      </c>
      <c r="C2615" t="s">
        <v>27</v>
      </c>
      <c r="D2615" s="1">
        <v>45374</v>
      </c>
      <c r="E2615" s="2">
        <v>4173.7299999999996</v>
      </c>
      <c r="F2615">
        <v>175</v>
      </c>
      <c r="G2615" s="2">
        <f t="shared" si="160"/>
        <v>23.849885714285712</v>
      </c>
      <c r="H2615" t="str">
        <f t="shared" si="161"/>
        <v>March</v>
      </c>
      <c r="I2615" t="str">
        <f t="shared" si="162"/>
        <v>Q1</v>
      </c>
      <c r="J2615" t="str">
        <f t="shared" si="163"/>
        <v>Large</v>
      </c>
    </row>
    <row r="2616" spans="1:10" x14ac:dyDescent="0.25">
      <c r="A2616" t="s">
        <v>53</v>
      </c>
      <c r="B2616" t="s">
        <v>21</v>
      </c>
      <c r="C2616" t="s">
        <v>57</v>
      </c>
      <c r="D2616" s="1">
        <v>45323</v>
      </c>
      <c r="E2616" s="2">
        <v>4005.08</v>
      </c>
      <c r="F2616">
        <v>150</v>
      </c>
      <c r="G2616" s="2">
        <f t="shared" si="160"/>
        <v>26.700533333333333</v>
      </c>
      <c r="H2616" t="str">
        <f t="shared" si="161"/>
        <v>February</v>
      </c>
      <c r="I2616" t="str">
        <f t="shared" si="162"/>
        <v>Q1</v>
      </c>
      <c r="J2616" t="str">
        <f t="shared" si="163"/>
        <v>Large</v>
      </c>
    </row>
    <row r="2617" spans="1:10" x14ac:dyDescent="0.25">
      <c r="A2617" t="s">
        <v>28</v>
      </c>
      <c r="B2617" t="s">
        <v>10</v>
      </c>
      <c r="C2617" t="s">
        <v>32</v>
      </c>
      <c r="D2617" s="1">
        <v>45358</v>
      </c>
      <c r="E2617" s="2">
        <v>4650.58</v>
      </c>
      <c r="F2617">
        <v>143</v>
      </c>
      <c r="G2617" s="2">
        <f t="shared" si="160"/>
        <v>32.521538461538462</v>
      </c>
      <c r="H2617" t="str">
        <f t="shared" si="161"/>
        <v>March</v>
      </c>
      <c r="I2617" t="str">
        <f t="shared" si="162"/>
        <v>Q1</v>
      </c>
      <c r="J2617" t="str">
        <f t="shared" si="163"/>
        <v>Large</v>
      </c>
    </row>
    <row r="2618" spans="1:10" x14ac:dyDescent="0.25">
      <c r="A2618" t="s">
        <v>55</v>
      </c>
      <c r="B2618" t="s">
        <v>7</v>
      </c>
      <c r="C2618" t="s">
        <v>44</v>
      </c>
      <c r="D2618" s="1">
        <v>45294</v>
      </c>
      <c r="E2618" s="2">
        <v>3814.56</v>
      </c>
      <c r="F2618">
        <v>220</v>
      </c>
      <c r="G2618" s="2">
        <f t="shared" si="160"/>
        <v>17.338909090909091</v>
      </c>
      <c r="H2618" t="str">
        <f t="shared" si="161"/>
        <v>January</v>
      </c>
      <c r="I2618" t="str">
        <f t="shared" si="162"/>
        <v>Q1</v>
      </c>
      <c r="J2618" t="str">
        <f t="shared" si="163"/>
        <v>Large</v>
      </c>
    </row>
    <row r="2619" spans="1:10" x14ac:dyDescent="0.25">
      <c r="A2619" t="s">
        <v>55</v>
      </c>
      <c r="B2619" t="s">
        <v>26</v>
      </c>
      <c r="C2619" t="s">
        <v>44</v>
      </c>
      <c r="D2619" s="1">
        <v>45333</v>
      </c>
      <c r="E2619" s="2">
        <v>6321.35</v>
      </c>
      <c r="F2619">
        <v>325</v>
      </c>
      <c r="G2619" s="2">
        <f t="shared" si="160"/>
        <v>19.450307692307693</v>
      </c>
      <c r="H2619" t="str">
        <f t="shared" si="161"/>
        <v>February</v>
      </c>
      <c r="I2619" t="str">
        <f t="shared" si="162"/>
        <v>Q1</v>
      </c>
      <c r="J2619" t="str">
        <f t="shared" si="163"/>
        <v>Large</v>
      </c>
    </row>
    <row r="2620" spans="1:10" x14ac:dyDescent="0.25">
      <c r="A2620" t="s">
        <v>43</v>
      </c>
      <c r="B2620" t="s">
        <v>21</v>
      </c>
      <c r="C2620" t="s">
        <v>27</v>
      </c>
      <c r="D2620" s="1">
        <v>45367</v>
      </c>
      <c r="E2620" s="2">
        <v>5245.53</v>
      </c>
      <c r="F2620">
        <v>144</v>
      </c>
      <c r="G2620" s="2">
        <f t="shared" si="160"/>
        <v>36.427291666666662</v>
      </c>
      <c r="H2620" t="str">
        <f t="shared" si="161"/>
        <v>March</v>
      </c>
      <c r="I2620" t="str">
        <f t="shared" si="162"/>
        <v>Q1</v>
      </c>
      <c r="J2620" t="str">
        <f t="shared" si="163"/>
        <v>Large</v>
      </c>
    </row>
    <row r="2621" spans="1:10" x14ac:dyDescent="0.25">
      <c r="A2621" t="s">
        <v>54</v>
      </c>
      <c r="B2621" t="s">
        <v>10</v>
      </c>
      <c r="C2621" t="s">
        <v>44</v>
      </c>
      <c r="D2621" s="1">
        <v>45519</v>
      </c>
      <c r="E2621" s="2">
        <v>12998.67</v>
      </c>
      <c r="F2621">
        <v>317</v>
      </c>
      <c r="G2621" s="2">
        <f t="shared" si="160"/>
        <v>41.005268138801263</v>
      </c>
      <c r="H2621" t="str">
        <f t="shared" si="161"/>
        <v>August</v>
      </c>
      <c r="I2621" t="str">
        <f t="shared" si="162"/>
        <v>Q3</v>
      </c>
      <c r="J2621" t="str">
        <f t="shared" si="163"/>
        <v>Large</v>
      </c>
    </row>
    <row r="2622" spans="1:10" x14ac:dyDescent="0.25">
      <c r="A2622" t="s">
        <v>12</v>
      </c>
      <c r="B2622" t="s">
        <v>10</v>
      </c>
      <c r="C2622" t="s">
        <v>45</v>
      </c>
      <c r="D2622" s="1">
        <v>45424</v>
      </c>
      <c r="E2622" s="2">
        <v>5932.12</v>
      </c>
      <c r="F2622">
        <v>79</v>
      </c>
      <c r="G2622" s="2">
        <f t="shared" si="160"/>
        <v>75.090126582278486</v>
      </c>
      <c r="H2622" t="str">
        <f t="shared" si="161"/>
        <v>May</v>
      </c>
      <c r="I2622" t="str">
        <f t="shared" si="162"/>
        <v>Q2</v>
      </c>
      <c r="J2622" t="str">
        <f t="shared" si="163"/>
        <v>Large</v>
      </c>
    </row>
    <row r="2623" spans="1:10" x14ac:dyDescent="0.25">
      <c r="A2623" t="s">
        <v>9</v>
      </c>
      <c r="B2623" t="s">
        <v>10</v>
      </c>
      <c r="C2623" t="s">
        <v>39</v>
      </c>
      <c r="D2623" s="1">
        <v>45393</v>
      </c>
      <c r="E2623" s="2">
        <v>6811.55</v>
      </c>
      <c r="F2623">
        <v>4</v>
      </c>
      <c r="G2623" s="2">
        <f t="shared" si="160"/>
        <v>1702.8875</v>
      </c>
      <c r="H2623" t="str">
        <f t="shared" si="161"/>
        <v>April</v>
      </c>
      <c r="I2623" t="str">
        <f t="shared" si="162"/>
        <v>Q2</v>
      </c>
      <c r="J2623" t="str">
        <f t="shared" si="163"/>
        <v>Large</v>
      </c>
    </row>
    <row r="2624" spans="1:10" x14ac:dyDescent="0.25">
      <c r="A2624" t="s">
        <v>14</v>
      </c>
      <c r="B2624" t="s">
        <v>21</v>
      </c>
      <c r="C2624" t="s">
        <v>8</v>
      </c>
      <c r="D2624" s="1">
        <v>45473</v>
      </c>
      <c r="E2624" s="2">
        <v>21381.14</v>
      </c>
      <c r="F2624">
        <v>311</v>
      </c>
      <c r="G2624" s="2">
        <f t="shared" si="160"/>
        <v>68.749646302250795</v>
      </c>
      <c r="H2624" t="str">
        <f t="shared" si="161"/>
        <v>June</v>
      </c>
      <c r="I2624" t="str">
        <f t="shared" si="162"/>
        <v>Q2</v>
      </c>
      <c r="J2624" t="str">
        <f t="shared" si="163"/>
        <v>Large</v>
      </c>
    </row>
    <row r="2625" spans="1:10" x14ac:dyDescent="0.25">
      <c r="A2625" t="s">
        <v>54</v>
      </c>
      <c r="B2625" t="s">
        <v>21</v>
      </c>
      <c r="C2625" t="s">
        <v>44</v>
      </c>
      <c r="D2625" s="1">
        <v>45458</v>
      </c>
      <c r="E2625" s="2">
        <v>8423.36</v>
      </c>
      <c r="F2625">
        <v>63</v>
      </c>
      <c r="G2625" s="2">
        <f t="shared" si="160"/>
        <v>133.70412698412699</v>
      </c>
      <c r="H2625" t="str">
        <f t="shared" si="161"/>
        <v>June</v>
      </c>
      <c r="I2625" t="str">
        <f t="shared" si="162"/>
        <v>Q2</v>
      </c>
      <c r="J2625" t="str">
        <f t="shared" si="163"/>
        <v>Large</v>
      </c>
    </row>
    <row r="2626" spans="1:10" x14ac:dyDescent="0.25">
      <c r="A2626" t="s">
        <v>24</v>
      </c>
      <c r="B2626" t="s">
        <v>29</v>
      </c>
      <c r="C2626" t="s">
        <v>57</v>
      </c>
      <c r="D2626" s="1">
        <v>45505</v>
      </c>
      <c r="E2626" s="2">
        <v>7951.43</v>
      </c>
      <c r="F2626">
        <v>109</v>
      </c>
      <c r="G2626" s="2">
        <f t="shared" si="160"/>
        <v>72.948899082568815</v>
      </c>
      <c r="H2626" t="str">
        <f t="shared" si="161"/>
        <v>August</v>
      </c>
      <c r="I2626" t="str">
        <f t="shared" si="162"/>
        <v>Q3</v>
      </c>
      <c r="J2626" t="str">
        <f t="shared" si="163"/>
        <v>Large</v>
      </c>
    </row>
    <row r="2627" spans="1:10" x14ac:dyDescent="0.25">
      <c r="A2627" t="s">
        <v>41</v>
      </c>
      <c r="B2627" t="s">
        <v>26</v>
      </c>
      <c r="C2627" t="s">
        <v>37</v>
      </c>
      <c r="D2627" s="1">
        <v>45458</v>
      </c>
      <c r="E2627" s="2">
        <v>18389.099999999999</v>
      </c>
      <c r="F2627">
        <v>62</v>
      </c>
      <c r="G2627" s="2">
        <f t="shared" ref="G2627:G2690" si="164">E2627/F2627</f>
        <v>296.59838709677416</v>
      </c>
      <c r="H2627" t="str">
        <f t="shared" ref="H2627:H2690" si="165">TEXT(D2627, "mmmm")</f>
        <v>June</v>
      </c>
      <c r="I2627" t="str">
        <f t="shared" ref="I2627:I2690" si="166">"Q" &amp; ROUNDUP(MONTH(D2627)/3,0)</f>
        <v>Q2</v>
      </c>
      <c r="J2627" t="str">
        <f t="shared" ref="J2627:J2690" si="167">IF(E2627 &gt; 500, "Large", "Small")</f>
        <v>Large</v>
      </c>
    </row>
    <row r="2628" spans="1:10" x14ac:dyDescent="0.25">
      <c r="A2628" t="s">
        <v>23</v>
      </c>
      <c r="B2628" t="s">
        <v>10</v>
      </c>
      <c r="C2628" t="s">
        <v>20</v>
      </c>
      <c r="D2628" s="1">
        <v>45459</v>
      </c>
      <c r="E2628" s="2">
        <v>6555.46</v>
      </c>
      <c r="F2628">
        <v>45</v>
      </c>
      <c r="G2628" s="2">
        <f t="shared" si="164"/>
        <v>145.6768888888889</v>
      </c>
      <c r="H2628" t="str">
        <f t="shared" si="165"/>
        <v>June</v>
      </c>
      <c r="I2628" t="str">
        <f t="shared" si="166"/>
        <v>Q2</v>
      </c>
      <c r="J2628" t="str">
        <f t="shared" si="167"/>
        <v>Large</v>
      </c>
    </row>
    <row r="2629" spans="1:10" x14ac:dyDescent="0.25">
      <c r="A2629" t="s">
        <v>17</v>
      </c>
      <c r="B2629" t="s">
        <v>21</v>
      </c>
      <c r="C2629" t="s">
        <v>51</v>
      </c>
      <c r="D2629" s="1">
        <v>45425</v>
      </c>
      <c r="E2629" s="2">
        <v>5129.71</v>
      </c>
      <c r="F2629">
        <v>270</v>
      </c>
      <c r="G2629" s="2">
        <f t="shared" si="164"/>
        <v>18.998925925925928</v>
      </c>
      <c r="H2629" t="str">
        <f t="shared" si="165"/>
        <v>May</v>
      </c>
      <c r="I2629" t="str">
        <f t="shared" si="166"/>
        <v>Q2</v>
      </c>
      <c r="J2629" t="str">
        <f t="shared" si="167"/>
        <v>Large</v>
      </c>
    </row>
    <row r="2630" spans="1:10" x14ac:dyDescent="0.25">
      <c r="A2630" t="s">
        <v>43</v>
      </c>
      <c r="B2630" t="s">
        <v>26</v>
      </c>
      <c r="C2630" t="s">
        <v>32</v>
      </c>
      <c r="D2630" s="1">
        <v>45422</v>
      </c>
      <c r="E2630" s="2">
        <v>2399.02</v>
      </c>
      <c r="F2630">
        <v>149</v>
      </c>
      <c r="G2630" s="2">
        <f t="shared" si="164"/>
        <v>16.100805369127517</v>
      </c>
      <c r="H2630" t="str">
        <f t="shared" si="165"/>
        <v>May</v>
      </c>
      <c r="I2630" t="str">
        <f t="shared" si="166"/>
        <v>Q2</v>
      </c>
      <c r="J2630" t="str">
        <f t="shared" si="167"/>
        <v>Large</v>
      </c>
    </row>
    <row r="2631" spans="1:10" x14ac:dyDescent="0.25">
      <c r="A2631" t="s">
        <v>17</v>
      </c>
      <c r="B2631" t="s">
        <v>10</v>
      </c>
      <c r="C2631" t="s">
        <v>30</v>
      </c>
      <c r="D2631" s="1">
        <v>45529</v>
      </c>
      <c r="E2631" s="2">
        <v>6096.53</v>
      </c>
      <c r="F2631">
        <v>344</v>
      </c>
      <c r="G2631" s="2">
        <f t="shared" si="164"/>
        <v>17.722470930232557</v>
      </c>
      <c r="H2631" t="str">
        <f t="shared" si="165"/>
        <v>August</v>
      </c>
      <c r="I2631" t="str">
        <f t="shared" si="166"/>
        <v>Q3</v>
      </c>
      <c r="J2631" t="str">
        <f t="shared" si="167"/>
        <v>Large</v>
      </c>
    </row>
    <row r="2632" spans="1:10" x14ac:dyDescent="0.25">
      <c r="A2632" t="s">
        <v>55</v>
      </c>
      <c r="B2632" t="s">
        <v>21</v>
      </c>
      <c r="C2632" t="s">
        <v>35</v>
      </c>
      <c r="D2632" s="1">
        <v>45488</v>
      </c>
      <c r="E2632" s="2">
        <v>8134.67</v>
      </c>
      <c r="F2632">
        <v>83</v>
      </c>
      <c r="G2632" s="2">
        <f t="shared" si="164"/>
        <v>98.00807228915663</v>
      </c>
      <c r="H2632" t="str">
        <f t="shared" si="165"/>
        <v>July</v>
      </c>
      <c r="I2632" t="str">
        <f t="shared" si="166"/>
        <v>Q3</v>
      </c>
      <c r="J2632" t="str">
        <f t="shared" si="167"/>
        <v>Large</v>
      </c>
    </row>
    <row r="2633" spans="1:10" x14ac:dyDescent="0.25">
      <c r="A2633" t="s">
        <v>12</v>
      </c>
      <c r="B2633" t="s">
        <v>7</v>
      </c>
      <c r="C2633" t="s">
        <v>56</v>
      </c>
      <c r="D2633" s="1">
        <v>45428</v>
      </c>
      <c r="E2633" s="2">
        <v>9969.65</v>
      </c>
      <c r="F2633">
        <v>449</v>
      </c>
      <c r="G2633" s="2">
        <f t="shared" si="164"/>
        <v>22.204120267260578</v>
      </c>
      <c r="H2633" t="str">
        <f t="shared" si="165"/>
        <v>May</v>
      </c>
      <c r="I2633" t="str">
        <f t="shared" si="166"/>
        <v>Q2</v>
      </c>
      <c r="J2633" t="str">
        <f t="shared" si="167"/>
        <v>Large</v>
      </c>
    </row>
    <row r="2634" spans="1:10" x14ac:dyDescent="0.25">
      <c r="A2634" t="s">
        <v>14</v>
      </c>
      <c r="B2634" t="s">
        <v>15</v>
      </c>
      <c r="C2634" t="s">
        <v>22</v>
      </c>
      <c r="D2634" s="1">
        <v>45457</v>
      </c>
      <c r="E2634" s="2">
        <v>3894.16</v>
      </c>
      <c r="F2634">
        <v>173</v>
      </c>
      <c r="G2634" s="2">
        <f t="shared" si="164"/>
        <v>22.509595375722544</v>
      </c>
      <c r="H2634" t="str">
        <f t="shared" si="165"/>
        <v>June</v>
      </c>
      <c r="I2634" t="str">
        <f t="shared" si="166"/>
        <v>Q2</v>
      </c>
      <c r="J2634" t="str">
        <f t="shared" si="167"/>
        <v>Large</v>
      </c>
    </row>
    <row r="2635" spans="1:10" x14ac:dyDescent="0.25">
      <c r="A2635" t="s">
        <v>34</v>
      </c>
      <c r="B2635" t="s">
        <v>15</v>
      </c>
      <c r="C2635" t="s">
        <v>16</v>
      </c>
      <c r="D2635" s="1">
        <v>45316</v>
      </c>
      <c r="E2635" s="2">
        <v>11533.35</v>
      </c>
      <c r="F2635">
        <v>491</v>
      </c>
      <c r="G2635" s="2">
        <f t="shared" si="164"/>
        <v>23.48951120162933</v>
      </c>
      <c r="H2635" t="str">
        <f t="shared" si="165"/>
        <v>January</v>
      </c>
      <c r="I2635" t="str">
        <f t="shared" si="166"/>
        <v>Q1</v>
      </c>
      <c r="J2635" t="str">
        <f t="shared" si="167"/>
        <v>Large</v>
      </c>
    </row>
    <row r="2636" spans="1:10" x14ac:dyDescent="0.25">
      <c r="A2636" t="s">
        <v>55</v>
      </c>
      <c r="B2636" t="s">
        <v>26</v>
      </c>
      <c r="C2636" t="s">
        <v>35</v>
      </c>
      <c r="D2636" s="1">
        <v>45501</v>
      </c>
      <c r="E2636" s="2">
        <v>8754.31</v>
      </c>
      <c r="F2636">
        <v>14</v>
      </c>
      <c r="G2636" s="2">
        <f t="shared" si="164"/>
        <v>625.30785714285707</v>
      </c>
      <c r="H2636" t="str">
        <f t="shared" si="165"/>
        <v>July</v>
      </c>
      <c r="I2636" t="str">
        <f t="shared" si="166"/>
        <v>Q3</v>
      </c>
      <c r="J2636" t="str">
        <f t="shared" si="167"/>
        <v>Large</v>
      </c>
    </row>
    <row r="2637" spans="1:10" x14ac:dyDescent="0.25">
      <c r="A2637" t="s">
        <v>23</v>
      </c>
      <c r="B2637" t="s">
        <v>29</v>
      </c>
      <c r="C2637" t="s">
        <v>8</v>
      </c>
      <c r="D2637" s="1">
        <v>45319</v>
      </c>
      <c r="E2637" s="2">
        <v>5475.65</v>
      </c>
      <c r="F2637">
        <v>194</v>
      </c>
      <c r="G2637" s="2">
        <f t="shared" si="164"/>
        <v>28.224999999999998</v>
      </c>
      <c r="H2637" t="str">
        <f t="shared" si="165"/>
        <v>January</v>
      </c>
      <c r="I2637" t="str">
        <f t="shared" si="166"/>
        <v>Q1</v>
      </c>
      <c r="J2637" t="str">
        <f t="shared" si="167"/>
        <v>Large</v>
      </c>
    </row>
    <row r="2638" spans="1:10" x14ac:dyDescent="0.25">
      <c r="A2638" t="s">
        <v>41</v>
      </c>
      <c r="B2638" t="s">
        <v>7</v>
      </c>
      <c r="C2638" t="s">
        <v>27</v>
      </c>
      <c r="D2638" s="1">
        <v>45472</v>
      </c>
      <c r="E2638" s="2">
        <v>2252.94</v>
      </c>
      <c r="F2638">
        <v>196</v>
      </c>
      <c r="G2638" s="2">
        <f t="shared" si="164"/>
        <v>11.494591836734694</v>
      </c>
      <c r="H2638" t="str">
        <f t="shared" si="165"/>
        <v>June</v>
      </c>
      <c r="I2638" t="str">
        <f t="shared" si="166"/>
        <v>Q2</v>
      </c>
      <c r="J2638" t="str">
        <f t="shared" si="167"/>
        <v>Large</v>
      </c>
    </row>
    <row r="2639" spans="1:10" x14ac:dyDescent="0.25">
      <c r="A2639" t="s">
        <v>31</v>
      </c>
      <c r="B2639" t="s">
        <v>15</v>
      </c>
      <c r="C2639" t="s">
        <v>58</v>
      </c>
      <c r="D2639" s="1">
        <v>45467</v>
      </c>
      <c r="E2639" s="2">
        <v>278.77999999999997</v>
      </c>
      <c r="F2639">
        <v>332</v>
      </c>
      <c r="G2639" s="2">
        <f t="shared" si="164"/>
        <v>0.83969879518072277</v>
      </c>
      <c r="H2639" t="str">
        <f t="shared" si="165"/>
        <v>June</v>
      </c>
      <c r="I2639" t="str">
        <f t="shared" si="166"/>
        <v>Q2</v>
      </c>
      <c r="J2639" t="str">
        <f t="shared" si="167"/>
        <v>Small</v>
      </c>
    </row>
    <row r="2640" spans="1:10" x14ac:dyDescent="0.25">
      <c r="A2640" t="s">
        <v>19</v>
      </c>
      <c r="B2640" t="s">
        <v>29</v>
      </c>
      <c r="C2640" t="s">
        <v>8</v>
      </c>
      <c r="D2640" s="1">
        <v>45474</v>
      </c>
      <c r="E2640" s="2">
        <v>8936.91</v>
      </c>
      <c r="F2640">
        <v>442</v>
      </c>
      <c r="G2640" s="2">
        <f t="shared" si="164"/>
        <v>20.219253393665159</v>
      </c>
      <c r="H2640" t="str">
        <f t="shared" si="165"/>
        <v>July</v>
      </c>
      <c r="I2640" t="str">
        <f t="shared" si="166"/>
        <v>Q3</v>
      </c>
      <c r="J2640" t="str">
        <f t="shared" si="167"/>
        <v>Large</v>
      </c>
    </row>
    <row r="2641" spans="1:10" x14ac:dyDescent="0.25">
      <c r="A2641" t="s">
        <v>36</v>
      </c>
      <c r="B2641" t="s">
        <v>26</v>
      </c>
      <c r="C2641" t="s">
        <v>13</v>
      </c>
      <c r="D2641" s="1">
        <v>45347</v>
      </c>
      <c r="E2641" s="2">
        <v>2010.22</v>
      </c>
      <c r="F2641">
        <v>144</v>
      </c>
      <c r="G2641" s="2">
        <f t="shared" si="164"/>
        <v>13.959861111111111</v>
      </c>
      <c r="H2641" t="str">
        <f t="shared" si="165"/>
        <v>February</v>
      </c>
      <c r="I2641" t="str">
        <f t="shared" si="166"/>
        <v>Q1</v>
      </c>
      <c r="J2641" t="str">
        <f t="shared" si="167"/>
        <v>Large</v>
      </c>
    </row>
    <row r="2642" spans="1:10" x14ac:dyDescent="0.25">
      <c r="A2642" t="s">
        <v>38</v>
      </c>
      <c r="B2642" t="s">
        <v>29</v>
      </c>
      <c r="C2642" t="s">
        <v>16</v>
      </c>
      <c r="D2642" s="1">
        <v>45505</v>
      </c>
      <c r="E2642" s="2">
        <v>2901.91</v>
      </c>
      <c r="F2642">
        <v>12</v>
      </c>
      <c r="G2642" s="2">
        <f t="shared" si="164"/>
        <v>241.82583333333332</v>
      </c>
      <c r="H2642" t="str">
        <f t="shared" si="165"/>
        <v>August</v>
      </c>
      <c r="I2642" t="str">
        <f t="shared" si="166"/>
        <v>Q3</v>
      </c>
      <c r="J2642" t="str">
        <f t="shared" si="167"/>
        <v>Large</v>
      </c>
    </row>
    <row r="2643" spans="1:10" x14ac:dyDescent="0.25">
      <c r="A2643" t="s">
        <v>17</v>
      </c>
      <c r="B2643" t="s">
        <v>15</v>
      </c>
      <c r="C2643" t="s">
        <v>37</v>
      </c>
      <c r="D2643" s="1">
        <v>45464</v>
      </c>
      <c r="E2643" s="2">
        <v>9231.31</v>
      </c>
      <c r="F2643">
        <v>278</v>
      </c>
      <c r="G2643" s="2">
        <f t="shared" si="164"/>
        <v>33.206151079136689</v>
      </c>
      <c r="H2643" t="str">
        <f t="shared" si="165"/>
        <v>June</v>
      </c>
      <c r="I2643" t="str">
        <f t="shared" si="166"/>
        <v>Q2</v>
      </c>
      <c r="J2643" t="str">
        <f t="shared" si="167"/>
        <v>Large</v>
      </c>
    </row>
    <row r="2644" spans="1:10" x14ac:dyDescent="0.25">
      <c r="A2644" t="s">
        <v>50</v>
      </c>
      <c r="B2644" t="s">
        <v>21</v>
      </c>
      <c r="C2644" t="s">
        <v>39</v>
      </c>
      <c r="D2644" s="1">
        <v>45316</v>
      </c>
      <c r="E2644" s="2">
        <v>12744.67</v>
      </c>
      <c r="F2644">
        <v>26</v>
      </c>
      <c r="G2644" s="2">
        <f t="shared" si="164"/>
        <v>490.17961538461537</v>
      </c>
      <c r="H2644" t="str">
        <f t="shared" si="165"/>
        <v>January</v>
      </c>
      <c r="I2644" t="str">
        <f t="shared" si="166"/>
        <v>Q1</v>
      </c>
      <c r="J2644" t="str">
        <f t="shared" si="167"/>
        <v>Large</v>
      </c>
    </row>
    <row r="2645" spans="1:10" x14ac:dyDescent="0.25">
      <c r="A2645" t="s">
        <v>12</v>
      </c>
      <c r="B2645" t="s">
        <v>7</v>
      </c>
      <c r="C2645" t="s">
        <v>37</v>
      </c>
      <c r="D2645" s="1">
        <v>45429</v>
      </c>
      <c r="E2645" s="2">
        <v>1436.97</v>
      </c>
      <c r="F2645">
        <v>248</v>
      </c>
      <c r="G2645" s="2">
        <f t="shared" si="164"/>
        <v>5.7942338709677417</v>
      </c>
      <c r="H2645" t="str">
        <f t="shared" si="165"/>
        <v>May</v>
      </c>
      <c r="I2645" t="str">
        <f t="shared" si="166"/>
        <v>Q2</v>
      </c>
      <c r="J2645" t="str">
        <f t="shared" si="167"/>
        <v>Large</v>
      </c>
    </row>
    <row r="2646" spans="1:10" x14ac:dyDescent="0.25">
      <c r="A2646" t="s">
        <v>48</v>
      </c>
      <c r="B2646" t="s">
        <v>15</v>
      </c>
      <c r="C2646" t="s">
        <v>11</v>
      </c>
      <c r="D2646" s="1">
        <v>45527</v>
      </c>
      <c r="E2646" s="2">
        <v>4900.32</v>
      </c>
      <c r="F2646">
        <v>254</v>
      </c>
      <c r="G2646" s="2">
        <f t="shared" si="164"/>
        <v>19.29259842519685</v>
      </c>
      <c r="H2646" t="str">
        <f t="shared" si="165"/>
        <v>August</v>
      </c>
      <c r="I2646" t="str">
        <f t="shared" si="166"/>
        <v>Q3</v>
      </c>
      <c r="J2646" t="str">
        <f t="shared" si="167"/>
        <v>Large</v>
      </c>
    </row>
    <row r="2647" spans="1:10" x14ac:dyDescent="0.25">
      <c r="A2647" t="s">
        <v>50</v>
      </c>
      <c r="B2647" t="s">
        <v>15</v>
      </c>
      <c r="C2647" t="s">
        <v>16</v>
      </c>
      <c r="D2647" s="1">
        <v>45354</v>
      </c>
      <c r="E2647" s="2">
        <v>8263.11</v>
      </c>
      <c r="F2647">
        <v>129</v>
      </c>
      <c r="G2647" s="2">
        <f t="shared" si="164"/>
        <v>64.055116279069779</v>
      </c>
      <c r="H2647" t="str">
        <f t="shared" si="165"/>
        <v>March</v>
      </c>
      <c r="I2647" t="str">
        <f t="shared" si="166"/>
        <v>Q1</v>
      </c>
      <c r="J2647" t="str">
        <f t="shared" si="167"/>
        <v>Large</v>
      </c>
    </row>
    <row r="2648" spans="1:10" x14ac:dyDescent="0.25">
      <c r="A2648" t="s">
        <v>36</v>
      </c>
      <c r="B2648" t="s">
        <v>10</v>
      </c>
      <c r="C2648" t="s">
        <v>57</v>
      </c>
      <c r="D2648" s="1">
        <v>45442</v>
      </c>
      <c r="E2648" s="2">
        <v>10139.68</v>
      </c>
      <c r="F2648">
        <v>552</v>
      </c>
      <c r="G2648" s="2">
        <f t="shared" si="164"/>
        <v>18.368985507246379</v>
      </c>
      <c r="H2648" t="str">
        <f t="shared" si="165"/>
        <v>May</v>
      </c>
      <c r="I2648" t="str">
        <f t="shared" si="166"/>
        <v>Q2</v>
      </c>
      <c r="J2648" t="str">
        <f t="shared" si="167"/>
        <v>Large</v>
      </c>
    </row>
    <row r="2649" spans="1:10" x14ac:dyDescent="0.25">
      <c r="A2649" t="s">
        <v>31</v>
      </c>
      <c r="B2649" t="s">
        <v>26</v>
      </c>
      <c r="C2649" t="s">
        <v>32</v>
      </c>
      <c r="D2649" s="1">
        <v>45472</v>
      </c>
      <c r="E2649" s="2">
        <v>132.68</v>
      </c>
      <c r="F2649">
        <v>243</v>
      </c>
      <c r="G2649" s="2">
        <f t="shared" si="164"/>
        <v>0.54600823045267488</v>
      </c>
      <c r="H2649" t="str">
        <f t="shared" si="165"/>
        <v>June</v>
      </c>
      <c r="I2649" t="str">
        <f t="shared" si="166"/>
        <v>Q2</v>
      </c>
      <c r="J2649" t="str">
        <f t="shared" si="167"/>
        <v>Small</v>
      </c>
    </row>
    <row r="2650" spans="1:10" x14ac:dyDescent="0.25">
      <c r="A2650" t="s">
        <v>48</v>
      </c>
      <c r="B2650" t="s">
        <v>29</v>
      </c>
      <c r="C2650" t="s">
        <v>35</v>
      </c>
      <c r="D2650" s="1">
        <v>45295</v>
      </c>
      <c r="E2650" s="2">
        <v>9479.6299999999992</v>
      </c>
      <c r="F2650">
        <v>217</v>
      </c>
      <c r="G2650" s="2">
        <f t="shared" si="164"/>
        <v>43.684930875576036</v>
      </c>
      <c r="H2650" t="str">
        <f t="shared" si="165"/>
        <v>January</v>
      </c>
      <c r="I2650" t="str">
        <f t="shared" si="166"/>
        <v>Q1</v>
      </c>
      <c r="J2650" t="str">
        <f t="shared" si="167"/>
        <v>Large</v>
      </c>
    </row>
    <row r="2651" spans="1:10" x14ac:dyDescent="0.25">
      <c r="A2651" t="s">
        <v>6</v>
      </c>
      <c r="B2651" t="s">
        <v>15</v>
      </c>
      <c r="C2651" t="s">
        <v>32</v>
      </c>
      <c r="D2651" s="1">
        <v>45305</v>
      </c>
      <c r="E2651" s="2">
        <v>3114.84</v>
      </c>
      <c r="F2651">
        <v>65</v>
      </c>
      <c r="G2651" s="2">
        <f t="shared" si="164"/>
        <v>47.920615384615388</v>
      </c>
      <c r="H2651" t="str">
        <f t="shared" si="165"/>
        <v>January</v>
      </c>
      <c r="I2651" t="str">
        <f t="shared" si="166"/>
        <v>Q1</v>
      </c>
      <c r="J2651" t="str">
        <f t="shared" si="167"/>
        <v>Large</v>
      </c>
    </row>
    <row r="2652" spans="1:10" x14ac:dyDescent="0.25">
      <c r="A2652" t="s">
        <v>31</v>
      </c>
      <c r="B2652" t="s">
        <v>26</v>
      </c>
      <c r="C2652" t="s">
        <v>8</v>
      </c>
      <c r="D2652" s="1">
        <v>45337</v>
      </c>
      <c r="E2652" s="2">
        <v>17866.48</v>
      </c>
      <c r="F2652">
        <v>58</v>
      </c>
      <c r="G2652" s="2">
        <f t="shared" si="164"/>
        <v>308.04275862068965</v>
      </c>
      <c r="H2652" t="str">
        <f t="shared" si="165"/>
        <v>February</v>
      </c>
      <c r="I2652" t="str">
        <f t="shared" si="166"/>
        <v>Q1</v>
      </c>
      <c r="J2652" t="str">
        <f t="shared" si="167"/>
        <v>Large</v>
      </c>
    </row>
    <row r="2653" spans="1:10" x14ac:dyDescent="0.25">
      <c r="A2653" t="s">
        <v>38</v>
      </c>
      <c r="B2653" t="s">
        <v>21</v>
      </c>
      <c r="C2653" t="s">
        <v>39</v>
      </c>
      <c r="D2653" s="1">
        <v>45301</v>
      </c>
      <c r="E2653" s="2">
        <v>4651.03</v>
      </c>
      <c r="F2653">
        <v>494</v>
      </c>
      <c r="G2653" s="2">
        <f t="shared" si="164"/>
        <v>9.4150404858299588</v>
      </c>
      <c r="H2653" t="str">
        <f t="shared" si="165"/>
        <v>January</v>
      </c>
      <c r="I2653" t="str">
        <f t="shared" si="166"/>
        <v>Q1</v>
      </c>
      <c r="J2653" t="str">
        <f t="shared" si="167"/>
        <v>Large</v>
      </c>
    </row>
    <row r="2654" spans="1:10" x14ac:dyDescent="0.25">
      <c r="A2654" t="s">
        <v>53</v>
      </c>
      <c r="B2654" t="s">
        <v>26</v>
      </c>
      <c r="C2654" t="s">
        <v>44</v>
      </c>
      <c r="D2654" s="1">
        <v>45416</v>
      </c>
      <c r="E2654" s="2">
        <v>14360.42</v>
      </c>
      <c r="F2654">
        <v>218</v>
      </c>
      <c r="G2654" s="2">
        <f t="shared" si="164"/>
        <v>65.873486238532109</v>
      </c>
      <c r="H2654" t="str">
        <f t="shared" si="165"/>
        <v>May</v>
      </c>
      <c r="I2654" t="str">
        <f t="shared" si="166"/>
        <v>Q2</v>
      </c>
      <c r="J2654" t="str">
        <f t="shared" si="167"/>
        <v>Large</v>
      </c>
    </row>
    <row r="2655" spans="1:10" x14ac:dyDescent="0.25">
      <c r="A2655" t="s">
        <v>48</v>
      </c>
      <c r="B2655" t="s">
        <v>26</v>
      </c>
      <c r="C2655" t="s">
        <v>39</v>
      </c>
      <c r="D2655" s="1">
        <v>45435</v>
      </c>
      <c r="E2655" s="2">
        <v>2595.52</v>
      </c>
      <c r="F2655">
        <v>5</v>
      </c>
      <c r="G2655" s="2">
        <f t="shared" si="164"/>
        <v>519.10400000000004</v>
      </c>
      <c r="H2655" t="str">
        <f t="shared" si="165"/>
        <v>May</v>
      </c>
      <c r="I2655" t="str">
        <f t="shared" si="166"/>
        <v>Q2</v>
      </c>
      <c r="J2655" t="str">
        <f t="shared" si="167"/>
        <v>Large</v>
      </c>
    </row>
    <row r="2656" spans="1:10" x14ac:dyDescent="0.25">
      <c r="A2656" t="s">
        <v>25</v>
      </c>
      <c r="B2656" t="s">
        <v>21</v>
      </c>
      <c r="C2656" t="s">
        <v>42</v>
      </c>
      <c r="D2656" s="1">
        <v>45408</v>
      </c>
      <c r="E2656" s="2">
        <v>1853.03</v>
      </c>
      <c r="F2656">
        <v>153</v>
      </c>
      <c r="G2656" s="2">
        <f t="shared" si="164"/>
        <v>12.111307189542483</v>
      </c>
      <c r="H2656" t="str">
        <f t="shared" si="165"/>
        <v>April</v>
      </c>
      <c r="I2656" t="str">
        <f t="shared" si="166"/>
        <v>Q2</v>
      </c>
      <c r="J2656" t="str">
        <f t="shared" si="167"/>
        <v>Large</v>
      </c>
    </row>
    <row r="2657" spans="1:10" x14ac:dyDescent="0.25">
      <c r="A2657" t="s">
        <v>17</v>
      </c>
      <c r="B2657" t="s">
        <v>29</v>
      </c>
      <c r="C2657" t="s">
        <v>35</v>
      </c>
      <c r="D2657" s="1">
        <v>45478</v>
      </c>
      <c r="E2657" s="2">
        <v>1392.99</v>
      </c>
      <c r="F2657">
        <v>70</v>
      </c>
      <c r="G2657" s="2">
        <f t="shared" si="164"/>
        <v>19.899857142857144</v>
      </c>
      <c r="H2657" t="str">
        <f t="shared" si="165"/>
        <v>July</v>
      </c>
      <c r="I2657" t="str">
        <f t="shared" si="166"/>
        <v>Q3</v>
      </c>
      <c r="J2657" t="str">
        <f t="shared" si="167"/>
        <v>Large</v>
      </c>
    </row>
    <row r="2658" spans="1:10" x14ac:dyDescent="0.25">
      <c r="A2658" t="s">
        <v>53</v>
      </c>
      <c r="B2658" t="s">
        <v>7</v>
      </c>
      <c r="C2658" t="s">
        <v>35</v>
      </c>
      <c r="D2658" s="1">
        <v>45494</v>
      </c>
      <c r="E2658" s="2">
        <v>7943.17</v>
      </c>
      <c r="F2658">
        <v>174</v>
      </c>
      <c r="G2658" s="2">
        <f t="shared" si="164"/>
        <v>45.650402298850572</v>
      </c>
      <c r="H2658" t="str">
        <f t="shared" si="165"/>
        <v>July</v>
      </c>
      <c r="I2658" t="str">
        <f t="shared" si="166"/>
        <v>Q3</v>
      </c>
      <c r="J2658" t="str">
        <f t="shared" si="167"/>
        <v>Large</v>
      </c>
    </row>
    <row r="2659" spans="1:10" x14ac:dyDescent="0.25">
      <c r="A2659" t="s">
        <v>54</v>
      </c>
      <c r="B2659" t="s">
        <v>26</v>
      </c>
      <c r="C2659" t="s">
        <v>8</v>
      </c>
      <c r="D2659" s="1">
        <v>45343</v>
      </c>
      <c r="E2659" s="2">
        <v>5552.79</v>
      </c>
      <c r="F2659">
        <v>272</v>
      </c>
      <c r="G2659" s="2">
        <f t="shared" si="164"/>
        <v>20.414669117647058</v>
      </c>
      <c r="H2659" t="str">
        <f t="shared" si="165"/>
        <v>February</v>
      </c>
      <c r="I2659" t="str">
        <f t="shared" si="166"/>
        <v>Q1</v>
      </c>
      <c r="J2659" t="str">
        <f t="shared" si="167"/>
        <v>Large</v>
      </c>
    </row>
    <row r="2660" spans="1:10" x14ac:dyDescent="0.25">
      <c r="A2660" t="s">
        <v>49</v>
      </c>
      <c r="B2660" t="s">
        <v>26</v>
      </c>
      <c r="C2660" t="s">
        <v>27</v>
      </c>
      <c r="D2660" s="1">
        <v>45325</v>
      </c>
      <c r="E2660" s="2">
        <v>1539.14</v>
      </c>
      <c r="F2660">
        <v>143</v>
      </c>
      <c r="G2660" s="2">
        <f t="shared" si="164"/>
        <v>10.763216783216784</v>
      </c>
      <c r="H2660" t="str">
        <f t="shared" si="165"/>
        <v>February</v>
      </c>
      <c r="I2660" t="str">
        <f t="shared" si="166"/>
        <v>Q1</v>
      </c>
      <c r="J2660" t="str">
        <f t="shared" si="167"/>
        <v>Large</v>
      </c>
    </row>
    <row r="2661" spans="1:10" x14ac:dyDescent="0.25">
      <c r="A2661" t="s">
        <v>12</v>
      </c>
      <c r="B2661" t="s">
        <v>15</v>
      </c>
      <c r="C2661" t="s">
        <v>57</v>
      </c>
      <c r="D2661" s="1">
        <v>45481</v>
      </c>
      <c r="E2661" s="2">
        <v>9117.77</v>
      </c>
      <c r="F2661">
        <v>154</v>
      </c>
      <c r="G2661" s="2">
        <f t="shared" si="164"/>
        <v>59.206298701298707</v>
      </c>
      <c r="H2661" t="str">
        <f t="shared" si="165"/>
        <v>July</v>
      </c>
      <c r="I2661" t="str">
        <f t="shared" si="166"/>
        <v>Q3</v>
      </c>
      <c r="J2661" t="str">
        <f t="shared" si="167"/>
        <v>Large</v>
      </c>
    </row>
    <row r="2662" spans="1:10" x14ac:dyDescent="0.25">
      <c r="A2662" t="s">
        <v>28</v>
      </c>
      <c r="B2662" t="s">
        <v>10</v>
      </c>
      <c r="C2662" t="s">
        <v>22</v>
      </c>
      <c r="D2662" s="1">
        <v>45443</v>
      </c>
      <c r="E2662" s="2">
        <v>631.02</v>
      </c>
      <c r="F2662">
        <v>140</v>
      </c>
      <c r="G2662" s="2">
        <f t="shared" si="164"/>
        <v>4.5072857142857146</v>
      </c>
      <c r="H2662" t="str">
        <f t="shared" si="165"/>
        <v>May</v>
      </c>
      <c r="I2662" t="str">
        <f t="shared" si="166"/>
        <v>Q2</v>
      </c>
      <c r="J2662" t="str">
        <f t="shared" si="167"/>
        <v>Large</v>
      </c>
    </row>
    <row r="2663" spans="1:10" x14ac:dyDescent="0.25">
      <c r="A2663" t="s">
        <v>9</v>
      </c>
      <c r="B2663" t="s">
        <v>21</v>
      </c>
      <c r="C2663" t="s">
        <v>8</v>
      </c>
      <c r="D2663" s="1">
        <v>45470</v>
      </c>
      <c r="E2663" s="2">
        <v>4486.37</v>
      </c>
      <c r="F2663">
        <v>104</v>
      </c>
      <c r="G2663" s="2">
        <f t="shared" si="164"/>
        <v>43.138173076923074</v>
      </c>
      <c r="H2663" t="str">
        <f t="shared" si="165"/>
        <v>June</v>
      </c>
      <c r="I2663" t="str">
        <f t="shared" si="166"/>
        <v>Q2</v>
      </c>
      <c r="J2663" t="str">
        <f t="shared" si="167"/>
        <v>Large</v>
      </c>
    </row>
    <row r="2664" spans="1:10" x14ac:dyDescent="0.25">
      <c r="A2664" t="s">
        <v>9</v>
      </c>
      <c r="B2664" t="s">
        <v>10</v>
      </c>
      <c r="C2664" t="s">
        <v>22</v>
      </c>
      <c r="D2664" s="1">
        <v>45425</v>
      </c>
      <c r="E2664" s="2">
        <v>5591.29</v>
      </c>
      <c r="F2664">
        <v>132</v>
      </c>
      <c r="G2664" s="2">
        <f t="shared" si="164"/>
        <v>42.358257575757577</v>
      </c>
      <c r="H2664" t="str">
        <f t="shared" si="165"/>
        <v>May</v>
      </c>
      <c r="I2664" t="str">
        <f t="shared" si="166"/>
        <v>Q2</v>
      </c>
      <c r="J2664" t="str">
        <f t="shared" si="167"/>
        <v>Large</v>
      </c>
    </row>
    <row r="2665" spans="1:10" x14ac:dyDescent="0.25">
      <c r="A2665" t="s">
        <v>9</v>
      </c>
      <c r="B2665" t="s">
        <v>26</v>
      </c>
      <c r="C2665" t="s">
        <v>45</v>
      </c>
      <c r="D2665" s="1">
        <v>45443</v>
      </c>
      <c r="E2665" s="2">
        <v>2662.54</v>
      </c>
      <c r="F2665">
        <v>102</v>
      </c>
      <c r="G2665" s="2">
        <f t="shared" si="164"/>
        <v>26.103333333333332</v>
      </c>
      <c r="H2665" t="str">
        <f t="shared" si="165"/>
        <v>May</v>
      </c>
      <c r="I2665" t="str">
        <f t="shared" si="166"/>
        <v>Q2</v>
      </c>
      <c r="J2665" t="str">
        <f t="shared" si="167"/>
        <v>Large</v>
      </c>
    </row>
    <row r="2666" spans="1:10" x14ac:dyDescent="0.25">
      <c r="A2666" t="s">
        <v>46</v>
      </c>
      <c r="B2666" t="s">
        <v>26</v>
      </c>
      <c r="C2666" t="s">
        <v>27</v>
      </c>
      <c r="D2666" s="1">
        <v>45350</v>
      </c>
      <c r="E2666" s="2">
        <v>7481.93</v>
      </c>
      <c r="F2666">
        <v>38</v>
      </c>
      <c r="G2666" s="2">
        <f t="shared" si="164"/>
        <v>196.89289473684212</v>
      </c>
      <c r="H2666" t="str">
        <f t="shared" si="165"/>
        <v>February</v>
      </c>
      <c r="I2666" t="str">
        <f t="shared" si="166"/>
        <v>Q1</v>
      </c>
      <c r="J2666" t="str">
        <f t="shared" si="167"/>
        <v>Large</v>
      </c>
    </row>
    <row r="2667" spans="1:10" x14ac:dyDescent="0.25">
      <c r="A2667" t="s">
        <v>25</v>
      </c>
      <c r="B2667" t="s">
        <v>21</v>
      </c>
      <c r="C2667" t="s">
        <v>30</v>
      </c>
      <c r="D2667" s="1">
        <v>45379</v>
      </c>
      <c r="E2667" s="2">
        <v>7418.41</v>
      </c>
      <c r="F2667">
        <v>31</v>
      </c>
      <c r="G2667" s="2">
        <f t="shared" si="164"/>
        <v>239.30354838709678</v>
      </c>
      <c r="H2667" t="str">
        <f t="shared" si="165"/>
        <v>March</v>
      </c>
      <c r="I2667" t="str">
        <f t="shared" si="166"/>
        <v>Q1</v>
      </c>
      <c r="J2667" t="str">
        <f t="shared" si="167"/>
        <v>Large</v>
      </c>
    </row>
    <row r="2668" spans="1:10" x14ac:dyDescent="0.25">
      <c r="A2668" t="s">
        <v>12</v>
      </c>
      <c r="B2668" t="s">
        <v>26</v>
      </c>
      <c r="C2668" t="s">
        <v>20</v>
      </c>
      <c r="D2668" s="1">
        <v>45305</v>
      </c>
      <c r="E2668" s="2">
        <v>1969.06</v>
      </c>
      <c r="F2668">
        <v>235</v>
      </c>
      <c r="G2668" s="2">
        <f t="shared" si="164"/>
        <v>8.3789787234042556</v>
      </c>
      <c r="H2668" t="str">
        <f t="shared" si="165"/>
        <v>January</v>
      </c>
      <c r="I2668" t="str">
        <f t="shared" si="166"/>
        <v>Q1</v>
      </c>
      <c r="J2668" t="str">
        <f t="shared" si="167"/>
        <v>Large</v>
      </c>
    </row>
    <row r="2669" spans="1:10" x14ac:dyDescent="0.25">
      <c r="A2669" t="s">
        <v>25</v>
      </c>
      <c r="B2669" t="s">
        <v>21</v>
      </c>
      <c r="C2669" t="s">
        <v>8</v>
      </c>
      <c r="D2669" s="1">
        <v>45343</v>
      </c>
      <c r="E2669" s="2">
        <v>7197.75</v>
      </c>
      <c r="F2669">
        <v>159</v>
      </c>
      <c r="G2669" s="2">
        <f t="shared" si="164"/>
        <v>45.268867924528301</v>
      </c>
      <c r="H2669" t="str">
        <f t="shared" si="165"/>
        <v>February</v>
      </c>
      <c r="I2669" t="str">
        <f t="shared" si="166"/>
        <v>Q1</v>
      </c>
      <c r="J2669" t="str">
        <f t="shared" si="167"/>
        <v>Large</v>
      </c>
    </row>
    <row r="2670" spans="1:10" x14ac:dyDescent="0.25">
      <c r="A2670" t="s">
        <v>43</v>
      </c>
      <c r="B2670" t="s">
        <v>29</v>
      </c>
      <c r="C2670" t="s">
        <v>11</v>
      </c>
      <c r="D2670" s="1">
        <v>45505</v>
      </c>
      <c r="E2670" s="2">
        <v>11719.06</v>
      </c>
      <c r="F2670">
        <v>87</v>
      </c>
      <c r="G2670" s="2">
        <f t="shared" si="164"/>
        <v>134.70183908045976</v>
      </c>
      <c r="H2670" t="str">
        <f t="shared" si="165"/>
        <v>August</v>
      </c>
      <c r="I2670" t="str">
        <f t="shared" si="166"/>
        <v>Q3</v>
      </c>
      <c r="J2670" t="str">
        <f t="shared" si="167"/>
        <v>Large</v>
      </c>
    </row>
    <row r="2671" spans="1:10" x14ac:dyDescent="0.25">
      <c r="A2671" t="s">
        <v>34</v>
      </c>
      <c r="B2671" t="s">
        <v>21</v>
      </c>
      <c r="C2671" t="s">
        <v>16</v>
      </c>
      <c r="D2671" s="1">
        <v>45431</v>
      </c>
      <c r="E2671" s="2">
        <v>2755.14</v>
      </c>
      <c r="F2671">
        <v>63</v>
      </c>
      <c r="G2671" s="2">
        <f t="shared" si="164"/>
        <v>43.73238095238095</v>
      </c>
      <c r="H2671" t="str">
        <f t="shared" si="165"/>
        <v>May</v>
      </c>
      <c r="I2671" t="str">
        <f t="shared" si="166"/>
        <v>Q2</v>
      </c>
      <c r="J2671" t="str">
        <f t="shared" si="167"/>
        <v>Large</v>
      </c>
    </row>
    <row r="2672" spans="1:10" x14ac:dyDescent="0.25">
      <c r="A2672" t="s">
        <v>40</v>
      </c>
      <c r="B2672" t="s">
        <v>26</v>
      </c>
      <c r="C2672" t="s">
        <v>44</v>
      </c>
      <c r="D2672" s="1">
        <v>45486</v>
      </c>
      <c r="E2672" s="2">
        <v>2438.56</v>
      </c>
      <c r="F2672">
        <v>61</v>
      </c>
      <c r="G2672" s="2">
        <f t="shared" si="164"/>
        <v>39.97639344262295</v>
      </c>
      <c r="H2672" t="str">
        <f t="shared" si="165"/>
        <v>July</v>
      </c>
      <c r="I2672" t="str">
        <f t="shared" si="166"/>
        <v>Q3</v>
      </c>
      <c r="J2672" t="str">
        <f t="shared" si="167"/>
        <v>Large</v>
      </c>
    </row>
    <row r="2673" spans="1:10" x14ac:dyDescent="0.25">
      <c r="A2673" t="s">
        <v>48</v>
      </c>
      <c r="B2673" t="s">
        <v>15</v>
      </c>
      <c r="C2673" t="s">
        <v>13</v>
      </c>
      <c r="D2673" s="1">
        <v>45402</v>
      </c>
      <c r="E2673" s="2">
        <v>7661.86</v>
      </c>
      <c r="F2673">
        <v>144</v>
      </c>
      <c r="G2673" s="2">
        <f t="shared" si="164"/>
        <v>53.207361111111112</v>
      </c>
      <c r="H2673" t="str">
        <f t="shared" si="165"/>
        <v>April</v>
      </c>
      <c r="I2673" t="str">
        <f t="shared" si="166"/>
        <v>Q2</v>
      </c>
      <c r="J2673" t="str">
        <f t="shared" si="167"/>
        <v>Large</v>
      </c>
    </row>
    <row r="2674" spans="1:10" x14ac:dyDescent="0.25">
      <c r="A2674" t="s">
        <v>43</v>
      </c>
      <c r="B2674" t="s">
        <v>10</v>
      </c>
      <c r="C2674" t="s">
        <v>11</v>
      </c>
      <c r="D2674" s="1">
        <v>45473</v>
      </c>
      <c r="E2674" s="2">
        <v>4886.1499999999996</v>
      </c>
      <c r="F2674">
        <v>23</v>
      </c>
      <c r="G2674" s="2">
        <f t="shared" si="164"/>
        <v>212.44130434782608</v>
      </c>
      <c r="H2674" t="str">
        <f t="shared" si="165"/>
        <v>June</v>
      </c>
      <c r="I2674" t="str">
        <f t="shared" si="166"/>
        <v>Q2</v>
      </c>
      <c r="J2674" t="str">
        <f t="shared" si="167"/>
        <v>Large</v>
      </c>
    </row>
    <row r="2675" spans="1:10" x14ac:dyDescent="0.25">
      <c r="A2675" t="s">
        <v>38</v>
      </c>
      <c r="B2675" t="s">
        <v>7</v>
      </c>
      <c r="C2675" t="s">
        <v>22</v>
      </c>
      <c r="D2675" s="1">
        <v>45359</v>
      </c>
      <c r="E2675" s="2">
        <v>3572.26</v>
      </c>
      <c r="F2675">
        <v>156</v>
      </c>
      <c r="G2675" s="2">
        <f t="shared" si="164"/>
        <v>22.899102564102567</v>
      </c>
      <c r="H2675" t="str">
        <f t="shared" si="165"/>
        <v>March</v>
      </c>
      <c r="I2675" t="str">
        <f t="shared" si="166"/>
        <v>Q1</v>
      </c>
      <c r="J2675" t="str">
        <f t="shared" si="167"/>
        <v>Large</v>
      </c>
    </row>
    <row r="2676" spans="1:10" x14ac:dyDescent="0.25">
      <c r="A2676" t="s">
        <v>19</v>
      </c>
      <c r="B2676" t="s">
        <v>26</v>
      </c>
      <c r="C2676" t="s">
        <v>42</v>
      </c>
      <c r="D2676" s="1">
        <v>45360</v>
      </c>
      <c r="E2676" s="2">
        <v>6937.75</v>
      </c>
      <c r="F2676">
        <v>94</v>
      </c>
      <c r="G2676" s="2">
        <f t="shared" si="164"/>
        <v>73.805851063829792</v>
      </c>
      <c r="H2676" t="str">
        <f t="shared" si="165"/>
        <v>March</v>
      </c>
      <c r="I2676" t="str">
        <f t="shared" si="166"/>
        <v>Q1</v>
      </c>
      <c r="J2676" t="str">
        <f t="shared" si="167"/>
        <v>Large</v>
      </c>
    </row>
    <row r="2677" spans="1:10" x14ac:dyDescent="0.25">
      <c r="A2677" t="s">
        <v>17</v>
      </c>
      <c r="B2677" t="s">
        <v>29</v>
      </c>
      <c r="C2677" t="s">
        <v>51</v>
      </c>
      <c r="D2677" s="1">
        <v>45459</v>
      </c>
      <c r="E2677" s="2">
        <v>1941.25</v>
      </c>
      <c r="F2677">
        <v>221</v>
      </c>
      <c r="G2677" s="2">
        <f t="shared" si="164"/>
        <v>8.7839366515837103</v>
      </c>
      <c r="H2677" t="str">
        <f t="shared" si="165"/>
        <v>June</v>
      </c>
      <c r="I2677" t="str">
        <f t="shared" si="166"/>
        <v>Q2</v>
      </c>
      <c r="J2677" t="str">
        <f t="shared" si="167"/>
        <v>Large</v>
      </c>
    </row>
    <row r="2678" spans="1:10" x14ac:dyDescent="0.25">
      <c r="A2678" t="s">
        <v>12</v>
      </c>
      <c r="B2678" t="s">
        <v>7</v>
      </c>
      <c r="C2678" t="s">
        <v>32</v>
      </c>
      <c r="D2678" s="1">
        <v>45473</v>
      </c>
      <c r="E2678" s="2">
        <v>6173.15</v>
      </c>
      <c r="F2678">
        <v>46</v>
      </c>
      <c r="G2678" s="2">
        <f t="shared" si="164"/>
        <v>134.19891304347826</v>
      </c>
      <c r="H2678" t="str">
        <f t="shared" si="165"/>
        <v>June</v>
      </c>
      <c r="I2678" t="str">
        <f t="shared" si="166"/>
        <v>Q2</v>
      </c>
      <c r="J2678" t="str">
        <f t="shared" si="167"/>
        <v>Large</v>
      </c>
    </row>
    <row r="2679" spans="1:10" x14ac:dyDescent="0.25">
      <c r="A2679" t="s">
        <v>49</v>
      </c>
      <c r="B2679" t="s">
        <v>10</v>
      </c>
      <c r="C2679" t="s">
        <v>8</v>
      </c>
      <c r="D2679" s="1">
        <v>45501</v>
      </c>
      <c r="E2679" s="2">
        <v>3105.45</v>
      </c>
      <c r="F2679">
        <v>116</v>
      </c>
      <c r="G2679" s="2">
        <f t="shared" si="164"/>
        <v>26.77112068965517</v>
      </c>
      <c r="H2679" t="str">
        <f t="shared" si="165"/>
        <v>July</v>
      </c>
      <c r="I2679" t="str">
        <f t="shared" si="166"/>
        <v>Q3</v>
      </c>
      <c r="J2679" t="str">
        <f t="shared" si="167"/>
        <v>Large</v>
      </c>
    </row>
    <row r="2680" spans="1:10" x14ac:dyDescent="0.25">
      <c r="A2680" t="s">
        <v>31</v>
      </c>
      <c r="B2680" t="s">
        <v>29</v>
      </c>
      <c r="C2680" t="s">
        <v>13</v>
      </c>
      <c r="D2680" s="1">
        <v>45516</v>
      </c>
      <c r="E2680" s="2">
        <v>3691.6</v>
      </c>
      <c r="F2680">
        <v>154</v>
      </c>
      <c r="G2680" s="2">
        <f t="shared" si="164"/>
        <v>23.971428571428572</v>
      </c>
      <c r="H2680" t="str">
        <f t="shared" si="165"/>
        <v>August</v>
      </c>
      <c r="I2680" t="str">
        <f t="shared" si="166"/>
        <v>Q3</v>
      </c>
      <c r="J2680" t="str">
        <f t="shared" si="167"/>
        <v>Large</v>
      </c>
    </row>
    <row r="2681" spans="1:10" x14ac:dyDescent="0.25">
      <c r="A2681" t="s">
        <v>25</v>
      </c>
      <c r="B2681" t="s">
        <v>7</v>
      </c>
      <c r="C2681" t="s">
        <v>8</v>
      </c>
      <c r="D2681" s="1">
        <v>45480</v>
      </c>
      <c r="E2681" s="2">
        <v>3950.65</v>
      </c>
      <c r="F2681">
        <v>324</v>
      </c>
      <c r="G2681" s="2">
        <f t="shared" si="164"/>
        <v>12.193364197530865</v>
      </c>
      <c r="H2681" t="str">
        <f t="shared" si="165"/>
        <v>July</v>
      </c>
      <c r="I2681" t="str">
        <f t="shared" si="166"/>
        <v>Q3</v>
      </c>
      <c r="J2681" t="str">
        <f t="shared" si="167"/>
        <v>Large</v>
      </c>
    </row>
    <row r="2682" spans="1:10" x14ac:dyDescent="0.25">
      <c r="A2682" t="s">
        <v>25</v>
      </c>
      <c r="B2682" t="s">
        <v>26</v>
      </c>
      <c r="C2682" t="s">
        <v>11</v>
      </c>
      <c r="D2682" s="1">
        <v>45529</v>
      </c>
      <c r="E2682" s="2">
        <v>13497.17</v>
      </c>
      <c r="F2682">
        <v>49</v>
      </c>
      <c r="G2682" s="2">
        <f t="shared" si="164"/>
        <v>275.45244897959185</v>
      </c>
      <c r="H2682" t="str">
        <f t="shared" si="165"/>
        <v>August</v>
      </c>
      <c r="I2682" t="str">
        <f t="shared" si="166"/>
        <v>Q3</v>
      </c>
      <c r="J2682" t="str">
        <f t="shared" si="167"/>
        <v>Large</v>
      </c>
    </row>
    <row r="2683" spans="1:10" x14ac:dyDescent="0.25">
      <c r="A2683" t="s">
        <v>40</v>
      </c>
      <c r="B2683" t="s">
        <v>29</v>
      </c>
      <c r="C2683" t="s">
        <v>30</v>
      </c>
      <c r="D2683" s="1">
        <v>45308</v>
      </c>
      <c r="E2683" s="2">
        <v>4389.2299999999996</v>
      </c>
      <c r="F2683">
        <v>241</v>
      </c>
      <c r="G2683" s="2">
        <f t="shared" si="164"/>
        <v>18.212572614107881</v>
      </c>
      <c r="H2683" t="str">
        <f t="shared" si="165"/>
        <v>January</v>
      </c>
      <c r="I2683" t="str">
        <f t="shared" si="166"/>
        <v>Q1</v>
      </c>
      <c r="J2683" t="str">
        <f t="shared" si="167"/>
        <v>Large</v>
      </c>
    </row>
    <row r="2684" spans="1:10" x14ac:dyDescent="0.25">
      <c r="A2684" t="s">
        <v>14</v>
      </c>
      <c r="B2684" t="s">
        <v>15</v>
      </c>
      <c r="C2684" t="s">
        <v>58</v>
      </c>
      <c r="D2684" s="1">
        <v>45355</v>
      </c>
      <c r="E2684" s="2">
        <v>6310.98</v>
      </c>
      <c r="F2684">
        <v>366</v>
      </c>
      <c r="G2684" s="2">
        <f t="shared" si="164"/>
        <v>17.243114754098361</v>
      </c>
      <c r="H2684" t="str">
        <f t="shared" si="165"/>
        <v>March</v>
      </c>
      <c r="I2684" t="str">
        <f t="shared" si="166"/>
        <v>Q1</v>
      </c>
      <c r="J2684" t="str">
        <f t="shared" si="167"/>
        <v>Large</v>
      </c>
    </row>
    <row r="2685" spans="1:10" x14ac:dyDescent="0.25">
      <c r="A2685" t="s">
        <v>33</v>
      </c>
      <c r="B2685" t="s">
        <v>21</v>
      </c>
      <c r="C2685" t="s">
        <v>42</v>
      </c>
      <c r="D2685" s="1">
        <v>45529</v>
      </c>
      <c r="E2685" s="2">
        <v>9693.3700000000008</v>
      </c>
      <c r="F2685">
        <v>4</v>
      </c>
      <c r="G2685" s="2">
        <f t="shared" si="164"/>
        <v>2423.3425000000002</v>
      </c>
      <c r="H2685" t="str">
        <f t="shared" si="165"/>
        <v>August</v>
      </c>
      <c r="I2685" t="str">
        <f t="shared" si="166"/>
        <v>Q3</v>
      </c>
      <c r="J2685" t="str">
        <f t="shared" si="167"/>
        <v>Large</v>
      </c>
    </row>
    <row r="2686" spans="1:10" x14ac:dyDescent="0.25">
      <c r="A2686" t="s">
        <v>55</v>
      </c>
      <c r="B2686" t="s">
        <v>7</v>
      </c>
      <c r="C2686" t="s">
        <v>13</v>
      </c>
      <c r="D2686" s="1">
        <v>45397</v>
      </c>
      <c r="E2686" s="2">
        <v>2348.1999999999998</v>
      </c>
      <c r="F2686">
        <v>266</v>
      </c>
      <c r="G2686" s="2">
        <f t="shared" si="164"/>
        <v>8.8278195488721796</v>
      </c>
      <c r="H2686" t="str">
        <f t="shared" si="165"/>
        <v>April</v>
      </c>
      <c r="I2686" t="str">
        <f t="shared" si="166"/>
        <v>Q2</v>
      </c>
      <c r="J2686" t="str">
        <f t="shared" si="167"/>
        <v>Large</v>
      </c>
    </row>
    <row r="2687" spans="1:10" x14ac:dyDescent="0.25">
      <c r="A2687" t="s">
        <v>41</v>
      </c>
      <c r="B2687" t="s">
        <v>26</v>
      </c>
      <c r="C2687" t="s">
        <v>35</v>
      </c>
      <c r="D2687" s="1">
        <v>45362</v>
      </c>
      <c r="E2687" s="2">
        <v>2518.5</v>
      </c>
      <c r="F2687">
        <v>24</v>
      </c>
      <c r="G2687" s="2">
        <f t="shared" si="164"/>
        <v>104.9375</v>
      </c>
      <c r="H2687" t="str">
        <f t="shared" si="165"/>
        <v>March</v>
      </c>
      <c r="I2687" t="str">
        <f t="shared" si="166"/>
        <v>Q1</v>
      </c>
      <c r="J2687" t="str">
        <f t="shared" si="167"/>
        <v>Large</v>
      </c>
    </row>
    <row r="2688" spans="1:10" x14ac:dyDescent="0.25">
      <c r="A2688" t="s">
        <v>50</v>
      </c>
      <c r="B2688" t="s">
        <v>26</v>
      </c>
      <c r="C2688" t="s">
        <v>51</v>
      </c>
      <c r="D2688" s="1">
        <v>45432</v>
      </c>
      <c r="E2688" s="2">
        <v>3516.72</v>
      </c>
      <c r="F2688">
        <v>17</v>
      </c>
      <c r="G2688" s="2">
        <f t="shared" si="164"/>
        <v>206.86588235294116</v>
      </c>
      <c r="H2688" t="str">
        <f t="shared" si="165"/>
        <v>May</v>
      </c>
      <c r="I2688" t="str">
        <f t="shared" si="166"/>
        <v>Q2</v>
      </c>
      <c r="J2688" t="str">
        <f t="shared" si="167"/>
        <v>Large</v>
      </c>
    </row>
    <row r="2689" spans="1:10" x14ac:dyDescent="0.25">
      <c r="A2689" t="s">
        <v>23</v>
      </c>
      <c r="B2689" t="s">
        <v>21</v>
      </c>
      <c r="C2689" t="s">
        <v>45</v>
      </c>
      <c r="D2689" s="1">
        <v>45457</v>
      </c>
      <c r="E2689" s="2">
        <v>16807.37</v>
      </c>
      <c r="F2689">
        <v>44</v>
      </c>
      <c r="G2689" s="2">
        <f t="shared" si="164"/>
        <v>381.98568181818177</v>
      </c>
      <c r="H2689" t="str">
        <f t="shared" si="165"/>
        <v>June</v>
      </c>
      <c r="I2689" t="str">
        <f t="shared" si="166"/>
        <v>Q2</v>
      </c>
      <c r="J2689" t="str">
        <f t="shared" si="167"/>
        <v>Large</v>
      </c>
    </row>
    <row r="2690" spans="1:10" x14ac:dyDescent="0.25">
      <c r="A2690" t="s">
        <v>6</v>
      </c>
      <c r="B2690" t="s">
        <v>21</v>
      </c>
      <c r="C2690" t="s">
        <v>20</v>
      </c>
      <c r="D2690" s="1">
        <v>45396</v>
      </c>
      <c r="E2690" s="2">
        <v>1736.59</v>
      </c>
      <c r="F2690">
        <v>70</v>
      </c>
      <c r="G2690" s="2">
        <f t="shared" si="164"/>
        <v>24.808428571428571</v>
      </c>
      <c r="H2690" t="str">
        <f t="shared" si="165"/>
        <v>April</v>
      </c>
      <c r="I2690" t="str">
        <f t="shared" si="166"/>
        <v>Q2</v>
      </c>
      <c r="J2690" t="str">
        <f t="shared" si="167"/>
        <v>Large</v>
      </c>
    </row>
    <row r="2691" spans="1:10" x14ac:dyDescent="0.25">
      <c r="A2691" t="s">
        <v>6</v>
      </c>
      <c r="B2691" t="s">
        <v>26</v>
      </c>
      <c r="C2691" t="s">
        <v>16</v>
      </c>
      <c r="D2691" s="1">
        <v>45480</v>
      </c>
      <c r="E2691" s="2">
        <v>7900.11</v>
      </c>
      <c r="F2691">
        <v>168</v>
      </c>
      <c r="G2691" s="2">
        <f t="shared" ref="G2691:G2754" si="168">E2691/F2691</f>
        <v>47.024464285714281</v>
      </c>
      <c r="H2691" t="str">
        <f t="shared" ref="H2691:H2754" si="169">TEXT(D2691, "mmmm")</f>
        <v>July</v>
      </c>
      <c r="I2691" t="str">
        <f t="shared" ref="I2691:I2754" si="170">"Q" &amp; ROUNDUP(MONTH(D2691)/3,0)</f>
        <v>Q3</v>
      </c>
      <c r="J2691" t="str">
        <f t="shared" ref="J2691:J2754" si="171">IF(E2691 &gt; 500, "Large", "Small")</f>
        <v>Large</v>
      </c>
    </row>
    <row r="2692" spans="1:10" x14ac:dyDescent="0.25">
      <c r="A2692" t="s">
        <v>53</v>
      </c>
      <c r="B2692" t="s">
        <v>10</v>
      </c>
      <c r="C2692" t="s">
        <v>8</v>
      </c>
      <c r="D2692" s="1">
        <v>45528</v>
      </c>
      <c r="E2692" s="2">
        <v>4016.89</v>
      </c>
      <c r="F2692">
        <v>71</v>
      </c>
      <c r="G2692" s="2">
        <f t="shared" si="168"/>
        <v>56.575915492957748</v>
      </c>
      <c r="H2692" t="str">
        <f t="shared" si="169"/>
        <v>August</v>
      </c>
      <c r="I2692" t="str">
        <f t="shared" si="170"/>
        <v>Q3</v>
      </c>
      <c r="J2692" t="str">
        <f t="shared" si="171"/>
        <v>Large</v>
      </c>
    </row>
    <row r="2693" spans="1:10" x14ac:dyDescent="0.25">
      <c r="A2693" t="s">
        <v>6</v>
      </c>
      <c r="B2693" t="s">
        <v>10</v>
      </c>
      <c r="C2693" t="s">
        <v>30</v>
      </c>
      <c r="D2693" s="1">
        <v>45346</v>
      </c>
      <c r="E2693" s="2">
        <v>9642.6200000000008</v>
      </c>
      <c r="F2693">
        <v>140</v>
      </c>
      <c r="G2693" s="2">
        <f t="shared" si="168"/>
        <v>68.875857142857143</v>
      </c>
      <c r="H2693" t="str">
        <f t="shared" si="169"/>
        <v>February</v>
      </c>
      <c r="I2693" t="str">
        <f t="shared" si="170"/>
        <v>Q1</v>
      </c>
      <c r="J2693" t="str">
        <f t="shared" si="171"/>
        <v>Large</v>
      </c>
    </row>
    <row r="2694" spans="1:10" x14ac:dyDescent="0.25">
      <c r="A2694" t="s">
        <v>31</v>
      </c>
      <c r="B2694" t="s">
        <v>29</v>
      </c>
      <c r="C2694" t="s">
        <v>51</v>
      </c>
      <c r="D2694" s="1">
        <v>45421</v>
      </c>
      <c r="E2694" s="2">
        <v>773.7</v>
      </c>
      <c r="F2694">
        <v>217</v>
      </c>
      <c r="G2694" s="2">
        <f t="shared" si="168"/>
        <v>3.5654377880184334</v>
      </c>
      <c r="H2694" t="str">
        <f t="shared" si="169"/>
        <v>May</v>
      </c>
      <c r="I2694" t="str">
        <f t="shared" si="170"/>
        <v>Q2</v>
      </c>
      <c r="J2694" t="str">
        <f t="shared" si="171"/>
        <v>Large</v>
      </c>
    </row>
    <row r="2695" spans="1:10" x14ac:dyDescent="0.25">
      <c r="A2695" t="s">
        <v>41</v>
      </c>
      <c r="B2695" t="s">
        <v>15</v>
      </c>
      <c r="C2695" t="s">
        <v>58</v>
      </c>
      <c r="D2695" s="1">
        <v>45330</v>
      </c>
      <c r="E2695" s="2">
        <v>7852.03</v>
      </c>
      <c r="F2695">
        <v>240</v>
      </c>
      <c r="G2695" s="2">
        <f t="shared" si="168"/>
        <v>32.716791666666666</v>
      </c>
      <c r="H2695" t="str">
        <f t="shared" si="169"/>
        <v>February</v>
      </c>
      <c r="I2695" t="str">
        <f t="shared" si="170"/>
        <v>Q1</v>
      </c>
      <c r="J2695" t="str">
        <f t="shared" si="171"/>
        <v>Large</v>
      </c>
    </row>
    <row r="2696" spans="1:10" x14ac:dyDescent="0.25">
      <c r="A2696" t="s">
        <v>36</v>
      </c>
      <c r="B2696" t="s">
        <v>7</v>
      </c>
      <c r="C2696" t="s">
        <v>58</v>
      </c>
      <c r="D2696" s="1">
        <v>45375</v>
      </c>
      <c r="E2696" s="2">
        <v>1649.57</v>
      </c>
      <c r="F2696">
        <v>293</v>
      </c>
      <c r="G2696" s="2">
        <f t="shared" si="168"/>
        <v>5.6299317406143343</v>
      </c>
      <c r="H2696" t="str">
        <f t="shared" si="169"/>
        <v>March</v>
      </c>
      <c r="I2696" t="str">
        <f t="shared" si="170"/>
        <v>Q1</v>
      </c>
      <c r="J2696" t="str">
        <f t="shared" si="171"/>
        <v>Large</v>
      </c>
    </row>
    <row r="2697" spans="1:10" x14ac:dyDescent="0.25">
      <c r="A2697" t="s">
        <v>24</v>
      </c>
      <c r="B2697" t="s">
        <v>26</v>
      </c>
      <c r="C2697" t="s">
        <v>32</v>
      </c>
      <c r="D2697" s="1">
        <v>45463</v>
      </c>
      <c r="E2697" s="2">
        <v>9333.4500000000007</v>
      </c>
      <c r="F2697">
        <v>78</v>
      </c>
      <c r="G2697" s="2">
        <f t="shared" si="168"/>
        <v>119.65961538461539</v>
      </c>
      <c r="H2697" t="str">
        <f t="shared" si="169"/>
        <v>June</v>
      </c>
      <c r="I2697" t="str">
        <f t="shared" si="170"/>
        <v>Q2</v>
      </c>
      <c r="J2697" t="str">
        <f t="shared" si="171"/>
        <v>Large</v>
      </c>
    </row>
    <row r="2698" spans="1:10" x14ac:dyDescent="0.25">
      <c r="A2698" t="s">
        <v>28</v>
      </c>
      <c r="B2698" t="s">
        <v>29</v>
      </c>
      <c r="C2698" t="s">
        <v>45</v>
      </c>
      <c r="D2698" s="1">
        <v>45358</v>
      </c>
      <c r="E2698" s="2">
        <v>1540.11</v>
      </c>
      <c r="F2698">
        <v>117</v>
      </c>
      <c r="G2698" s="2">
        <f t="shared" si="168"/>
        <v>13.163333333333332</v>
      </c>
      <c r="H2698" t="str">
        <f t="shared" si="169"/>
        <v>March</v>
      </c>
      <c r="I2698" t="str">
        <f t="shared" si="170"/>
        <v>Q1</v>
      </c>
      <c r="J2698" t="str">
        <f t="shared" si="171"/>
        <v>Large</v>
      </c>
    </row>
    <row r="2699" spans="1:10" x14ac:dyDescent="0.25">
      <c r="A2699" t="s">
        <v>41</v>
      </c>
      <c r="B2699" t="s">
        <v>15</v>
      </c>
      <c r="C2699" t="s">
        <v>42</v>
      </c>
      <c r="D2699" s="1">
        <v>45463</v>
      </c>
      <c r="E2699" s="2">
        <v>7840.94</v>
      </c>
      <c r="F2699">
        <v>82</v>
      </c>
      <c r="G2699" s="2">
        <f t="shared" si="168"/>
        <v>95.621219512195111</v>
      </c>
      <c r="H2699" t="str">
        <f t="shared" si="169"/>
        <v>June</v>
      </c>
      <c r="I2699" t="str">
        <f t="shared" si="170"/>
        <v>Q2</v>
      </c>
      <c r="J2699" t="str">
        <f t="shared" si="171"/>
        <v>Large</v>
      </c>
    </row>
    <row r="2700" spans="1:10" x14ac:dyDescent="0.25">
      <c r="A2700" t="s">
        <v>17</v>
      </c>
      <c r="B2700" t="s">
        <v>21</v>
      </c>
      <c r="C2700" t="s">
        <v>35</v>
      </c>
      <c r="D2700" s="1">
        <v>45339</v>
      </c>
      <c r="E2700" s="2">
        <v>17102.97</v>
      </c>
      <c r="F2700">
        <v>267</v>
      </c>
      <c r="G2700" s="2">
        <f t="shared" si="168"/>
        <v>64.05606741573034</v>
      </c>
      <c r="H2700" t="str">
        <f t="shared" si="169"/>
        <v>February</v>
      </c>
      <c r="I2700" t="str">
        <f t="shared" si="170"/>
        <v>Q1</v>
      </c>
      <c r="J2700" t="str">
        <f t="shared" si="171"/>
        <v>Large</v>
      </c>
    </row>
    <row r="2701" spans="1:10" x14ac:dyDescent="0.25">
      <c r="A2701" t="s">
        <v>53</v>
      </c>
      <c r="B2701" t="s">
        <v>7</v>
      </c>
      <c r="C2701" t="s">
        <v>18</v>
      </c>
      <c r="D2701" s="1">
        <v>45317</v>
      </c>
      <c r="E2701" s="2">
        <v>11496.42</v>
      </c>
      <c r="F2701">
        <v>49</v>
      </c>
      <c r="G2701" s="2">
        <f t="shared" si="168"/>
        <v>234.62081632653062</v>
      </c>
      <c r="H2701" t="str">
        <f t="shared" si="169"/>
        <v>January</v>
      </c>
      <c r="I2701" t="str">
        <f t="shared" si="170"/>
        <v>Q1</v>
      </c>
      <c r="J2701" t="str">
        <f t="shared" si="171"/>
        <v>Large</v>
      </c>
    </row>
    <row r="2702" spans="1:10" x14ac:dyDescent="0.25">
      <c r="A2702" t="s">
        <v>53</v>
      </c>
      <c r="B2702" t="s">
        <v>15</v>
      </c>
      <c r="C2702" t="s">
        <v>8</v>
      </c>
      <c r="D2702" s="1">
        <v>45414</v>
      </c>
      <c r="E2702" s="2">
        <v>3072.89</v>
      </c>
      <c r="F2702">
        <v>166</v>
      </c>
      <c r="G2702" s="2">
        <f t="shared" si="168"/>
        <v>18.511385542168675</v>
      </c>
      <c r="H2702" t="str">
        <f t="shared" si="169"/>
        <v>May</v>
      </c>
      <c r="I2702" t="str">
        <f t="shared" si="170"/>
        <v>Q2</v>
      </c>
      <c r="J2702" t="str">
        <f t="shared" si="171"/>
        <v>Large</v>
      </c>
    </row>
    <row r="2703" spans="1:10" x14ac:dyDescent="0.25">
      <c r="A2703" t="s">
        <v>38</v>
      </c>
      <c r="B2703" t="s">
        <v>29</v>
      </c>
      <c r="C2703" t="s">
        <v>18</v>
      </c>
      <c r="D2703" s="1">
        <v>45480</v>
      </c>
      <c r="E2703" s="2">
        <v>14990.79</v>
      </c>
      <c r="F2703">
        <v>7</v>
      </c>
      <c r="G2703" s="2">
        <f t="shared" si="168"/>
        <v>2141.5414285714287</v>
      </c>
      <c r="H2703" t="str">
        <f t="shared" si="169"/>
        <v>July</v>
      </c>
      <c r="I2703" t="str">
        <f t="shared" si="170"/>
        <v>Q3</v>
      </c>
      <c r="J2703" t="str">
        <f t="shared" si="171"/>
        <v>Large</v>
      </c>
    </row>
    <row r="2704" spans="1:10" x14ac:dyDescent="0.25">
      <c r="A2704" t="s">
        <v>24</v>
      </c>
      <c r="B2704" t="s">
        <v>15</v>
      </c>
      <c r="C2704" t="s">
        <v>56</v>
      </c>
      <c r="D2704" s="1">
        <v>45526</v>
      </c>
      <c r="E2704" s="2">
        <v>3170.18</v>
      </c>
      <c r="F2704">
        <v>49</v>
      </c>
      <c r="G2704" s="2">
        <f t="shared" si="168"/>
        <v>64.697551020408156</v>
      </c>
      <c r="H2704" t="str">
        <f t="shared" si="169"/>
        <v>August</v>
      </c>
      <c r="I2704" t="str">
        <f t="shared" si="170"/>
        <v>Q3</v>
      </c>
      <c r="J2704" t="str">
        <f t="shared" si="171"/>
        <v>Large</v>
      </c>
    </row>
    <row r="2705" spans="1:10" x14ac:dyDescent="0.25">
      <c r="A2705" t="s">
        <v>31</v>
      </c>
      <c r="B2705" t="s">
        <v>15</v>
      </c>
      <c r="C2705" t="s">
        <v>20</v>
      </c>
      <c r="D2705" s="1">
        <v>45515</v>
      </c>
      <c r="E2705" s="2">
        <v>2528.14</v>
      </c>
      <c r="F2705">
        <v>67</v>
      </c>
      <c r="G2705" s="2">
        <f t="shared" si="168"/>
        <v>37.733432835820892</v>
      </c>
      <c r="H2705" t="str">
        <f t="shared" si="169"/>
        <v>August</v>
      </c>
      <c r="I2705" t="str">
        <f t="shared" si="170"/>
        <v>Q3</v>
      </c>
      <c r="J2705" t="str">
        <f t="shared" si="171"/>
        <v>Large</v>
      </c>
    </row>
    <row r="2706" spans="1:10" x14ac:dyDescent="0.25">
      <c r="A2706" t="s">
        <v>33</v>
      </c>
      <c r="B2706" t="s">
        <v>7</v>
      </c>
      <c r="C2706" t="s">
        <v>18</v>
      </c>
      <c r="D2706" s="1">
        <v>45304</v>
      </c>
      <c r="E2706" s="2">
        <v>8551.6</v>
      </c>
      <c r="F2706">
        <v>208</v>
      </c>
      <c r="G2706" s="2">
        <f t="shared" si="168"/>
        <v>41.113461538461543</v>
      </c>
      <c r="H2706" t="str">
        <f t="shared" si="169"/>
        <v>January</v>
      </c>
      <c r="I2706" t="str">
        <f t="shared" si="170"/>
        <v>Q1</v>
      </c>
      <c r="J2706" t="str">
        <f t="shared" si="171"/>
        <v>Large</v>
      </c>
    </row>
    <row r="2707" spans="1:10" x14ac:dyDescent="0.25">
      <c r="A2707" t="s">
        <v>19</v>
      </c>
      <c r="B2707" t="s">
        <v>15</v>
      </c>
      <c r="C2707" t="s">
        <v>22</v>
      </c>
      <c r="D2707" s="1">
        <v>45353</v>
      </c>
      <c r="E2707" s="2">
        <v>13072.95</v>
      </c>
      <c r="F2707">
        <v>119</v>
      </c>
      <c r="G2707" s="2">
        <f t="shared" si="168"/>
        <v>109.85672268907564</v>
      </c>
      <c r="H2707" t="str">
        <f t="shared" si="169"/>
        <v>March</v>
      </c>
      <c r="I2707" t="str">
        <f t="shared" si="170"/>
        <v>Q1</v>
      </c>
      <c r="J2707" t="str">
        <f t="shared" si="171"/>
        <v>Large</v>
      </c>
    </row>
    <row r="2708" spans="1:10" x14ac:dyDescent="0.25">
      <c r="A2708" t="s">
        <v>33</v>
      </c>
      <c r="B2708" t="s">
        <v>15</v>
      </c>
      <c r="C2708" t="s">
        <v>52</v>
      </c>
      <c r="D2708" s="1">
        <v>45500</v>
      </c>
      <c r="E2708" s="2">
        <v>11987.26</v>
      </c>
      <c r="F2708">
        <v>41</v>
      </c>
      <c r="G2708" s="2">
        <f t="shared" si="168"/>
        <v>292.37219512195122</v>
      </c>
      <c r="H2708" t="str">
        <f t="shared" si="169"/>
        <v>July</v>
      </c>
      <c r="I2708" t="str">
        <f t="shared" si="170"/>
        <v>Q3</v>
      </c>
      <c r="J2708" t="str">
        <f t="shared" si="171"/>
        <v>Large</v>
      </c>
    </row>
    <row r="2709" spans="1:10" x14ac:dyDescent="0.25">
      <c r="A2709" t="s">
        <v>49</v>
      </c>
      <c r="B2709" t="s">
        <v>21</v>
      </c>
      <c r="C2709" t="s">
        <v>32</v>
      </c>
      <c r="D2709" s="1">
        <v>45361</v>
      </c>
      <c r="E2709" s="2">
        <v>18385.439999999999</v>
      </c>
      <c r="F2709">
        <v>116</v>
      </c>
      <c r="G2709" s="2">
        <f t="shared" si="168"/>
        <v>158.49517241379309</v>
      </c>
      <c r="H2709" t="str">
        <f t="shared" si="169"/>
        <v>March</v>
      </c>
      <c r="I2709" t="str">
        <f t="shared" si="170"/>
        <v>Q1</v>
      </c>
      <c r="J2709" t="str">
        <f t="shared" si="171"/>
        <v>Large</v>
      </c>
    </row>
    <row r="2710" spans="1:10" x14ac:dyDescent="0.25">
      <c r="A2710" t="s">
        <v>34</v>
      </c>
      <c r="B2710" t="s">
        <v>26</v>
      </c>
      <c r="C2710" t="s">
        <v>11</v>
      </c>
      <c r="D2710" s="1">
        <v>45527</v>
      </c>
      <c r="E2710" s="2">
        <v>14028.4</v>
      </c>
      <c r="F2710">
        <v>344</v>
      </c>
      <c r="G2710" s="2">
        <f t="shared" si="168"/>
        <v>40.780232558139531</v>
      </c>
      <c r="H2710" t="str">
        <f t="shared" si="169"/>
        <v>August</v>
      </c>
      <c r="I2710" t="str">
        <f t="shared" si="170"/>
        <v>Q3</v>
      </c>
      <c r="J2710" t="str">
        <f t="shared" si="171"/>
        <v>Large</v>
      </c>
    </row>
    <row r="2711" spans="1:10" x14ac:dyDescent="0.25">
      <c r="A2711" t="s">
        <v>36</v>
      </c>
      <c r="B2711" t="s">
        <v>26</v>
      </c>
      <c r="C2711" t="s">
        <v>30</v>
      </c>
      <c r="D2711" s="1">
        <v>45407</v>
      </c>
      <c r="E2711" s="2">
        <v>4812.71</v>
      </c>
      <c r="F2711">
        <v>169</v>
      </c>
      <c r="G2711" s="2">
        <f t="shared" si="168"/>
        <v>28.47757396449704</v>
      </c>
      <c r="H2711" t="str">
        <f t="shared" si="169"/>
        <v>April</v>
      </c>
      <c r="I2711" t="str">
        <f t="shared" si="170"/>
        <v>Q2</v>
      </c>
      <c r="J2711" t="str">
        <f t="shared" si="171"/>
        <v>Large</v>
      </c>
    </row>
    <row r="2712" spans="1:10" x14ac:dyDescent="0.25">
      <c r="A2712" t="s">
        <v>43</v>
      </c>
      <c r="B2712" t="s">
        <v>7</v>
      </c>
      <c r="C2712" t="s">
        <v>37</v>
      </c>
      <c r="D2712" s="1">
        <v>45358</v>
      </c>
      <c r="E2712" s="2">
        <v>11963.91</v>
      </c>
      <c r="F2712">
        <v>446</v>
      </c>
      <c r="G2712" s="2">
        <f t="shared" si="168"/>
        <v>26.824910313901345</v>
      </c>
      <c r="H2712" t="str">
        <f t="shared" si="169"/>
        <v>March</v>
      </c>
      <c r="I2712" t="str">
        <f t="shared" si="170"/>
        <v>Q1</v>
      </c>
      <c r="J2712" t="str">
        <f t="shared" si="171"/>
        <v>Large</v>
      </c>
    </row>
    <row r="2713" spans="1:10" x14ac:dyDescent="0.25">
      <c r="A2713" t="s">
        <v>46</v>
      </c>
      <c r="B2713" t="s">
        <v>7</v>
      </c>
      <c r="C2713" t="s">
        <v>35</v>
      </c>
      <c r="D2713" s="1">
        <v>45485</v>
      </c>
      <c r="E2713" s="2">
        <v>5574.83</v>
      </c>
      <c r="F2713">
        <v>52</v>
      </c>
      <c r="G2713" s="2">
        <f t="shared" si="168"/>
        <v>107.20826923076923</v>
      </c>
      <c r="H2713" t="str">
        <f t="shared" si="169"/>
        <v>July</v>
      </c>
      <c r="I2713" t="str">
        <f t="shared" si="170"/>
        <v>Q3</v>
      </c>
      <c r="J2713" t="str">
        <f t="shared" si="171"/>
        <v>Large</v>
      </c>
    </row>
    <row r="2714" spans="1:10" x14ac:dyDescent="0.25">
      <c r="A2714" t="s">
        <v>53</v>
      </c>
      <c r="B2714" t="s">
        <v>26</v>
      </c>
      <c r="C2714" t="s">
        <v>27</v>
      </c>
      <c r="D2714" s="1">
        <v>45428</v>
      </c>
      <c r="E2714" s="2">
        <v>9205.15</v>
      </c>
      <c r="F2714">
        <v>144</v>
      </c>
      <c r="G2714" s="2">
        <f t="shared" si="168"/>
        <v>63.924652777777773</v>
      </c>
      <c r="H2714" t="str">
        <f t="shared" si="169"/>
        <v>May</v>
      </c>
      <c r="I2714" t="str">
        <f t="shared" si="170"/>
        <v>Q2</v>
      </c>
      <c r="J2714" t="str">
        <f t="shared" si="171"/>
        <v>Large</v>
      </c>
    </row>
    <row r="2715" spans="1:10" x14ac:dyDescent="0.25">
      <c r="A2715" t="s">
        <v>19</v>
      </c>
      <c r="B2715" t="s">
        <v>10</v>
      </c>
      <c r="C2715" t="s">
        <v>16</v>
      </c>
      <c r="D2715" s="1">
        <v>45353</v>
      </c>
      <c r="E2715" s="2">
        <v>4133.74</v>
      </c>
      <c r="F2715">
        <v>69</v>
      </c>
      <c r="G2715" s="2">
        <f t="shared" si="168"/>
        <v>59.909275362318837</v>
      </c>
      <c r="H2715" t="str">
        <f t="shared" si="169"/>
        <v>March</v>
      </c>
      <c r="I2715" t="str">
        <f t="shared" si="170"/>
        <v>Q1</v>
      </c>
      <c r="J2715" t="str">
        <f t="shared" si="171"/>
        <v>Large</v>
      </c>
    </row>
    <row r="2716" spans="1:10" x14ac:dyDescent="0.25">
      <c r="A2716" t="s">
        <v>33</v>
      </c>
      <c r="B2716" t="s">
        <v>21</v>
      </c>
      <c r="C2716" t="s">
        <v>11</v>
      </c>
      <c r="D2716" s="1">
        <v>45442</v>
      </c>
      <c r="E2716" s="2">
        <v>1312.23</v>
      </c>
      <c r="F2716">
        <v>164</v>
      </c>
      <c r="G2716" s="2">
        <f t="shared" si="168"/>
        <v>8.0014024390243907</v>
      </c>
      <c r="H2716" t="str">
        <f t="shared" si="169"/>
        <v>May</v>
      </c>
      <c r="I2716" t="str">
        <f t="shared" si="170"/>
        <v>Q2</v>
      </c>
      <c r="J2716" t="str">
        <f t="shared" si="171"/>
        <v>Large</v>
      </c>
    </row>
    <row r="2717" spans="1:10" x14ac:dyDescent="0.25">
      <c r="A2717" t="s">
        <v>33</v>
      </c>
      <c r="B2717" t="s">
        <v>7</v>
      </c>
      <c r="C2717" t="s">
        <v>45</v>
      </c>
      <c r="D2717" s="1">
        <v>45453</v>
      </c>
      <c r="E2717" s="2">
        <v>11735.75</v>
      </c>
      <c r="F2717">
        <v>185</v>
      </c>
      <c r="G2717" s="2">
        <f t="shared" si="168"/>
        <v>63.436486486486487</v>
      </c>
      <c r="H2717" t="str">
        <f t="shared" si="169"/>
        <v>June</v>
      </c>
      <c r="I2717" t="str">
        <f t="shared" si="170"/>
        <v>Q2</v>
      </c>
      <c r="J2717" t="str">
        <f t="shared" si="171"/>
        <v>Large</v>
      </c>
    </row>
    <row r="2718" spans="1:10" x14ac:dyDescent="0.25">
      <c r="A2718" t="s">
        <v>23</v>
      </c>
      <c r="B2718" t="s">
        <v>26</v>
      </c>
      <c r="C2718" t="s">
        <v>18</v>
      </c>
      <c r="D2718" s="1">
        <v>45498</v>
      </c>
      <c r="E2718" s="2">
        <v>7650.76</v>
      </c>
      <c r="F2718">
        <v>358</v>
      </c>
      <c r="G2718" s="2">
        <f t="shared" si="168"/>
        <v>21.370837988826818</v>
      </c>
      <c r="H2718" t="str">
        <f t="shared" si="169"/>
        <v>July</v>
      </c>
      <c r="I2718" t="str">
        <f t="shared" si="170"/>
        <v>Q3</v>
      </c>
      <c r="J2718" t="str">
        <f t="shared" si="171"/>
        <v>Large</v>
      </c>
    </row>
    <row r="2719" spans="1:10" x14ac:dyDescent="0.25">
      <c r="A2719" t="s">
        <v>34</v>
      </c>
      <c r="B2719" t="s">
        <v>21</v>
      </c>
      <c r="C2719" t="s">
        <v>8</v>
      </c>
      <c r="D2719" s="1">
        <v>45452</v>
      </c>
      <c r="E2719" s="2">
        <v>4994.93</v>
      </c>
      <c r="F2719">
        <v>98</v>
      </c>
      <c r="G2719" s="2">
        <f t="shared" si="168"/>
        <v>50.96867346938776</v>
      </c>
      <c r="H2719" t="str">
        <f t="shared" si="169"/>
        <v>June</v>
      </c>
      <c r="I2719" t="str">
        <f t="shared" si="170"/>
        <v>Q2</v>
      </c>
      <c r="J2719" t="str">
        <f t="shared" si="171"/>
        <v>Large</v>
      </c>
    </row>
    <row r="2720" spans="1:10" x14ac:dyDescent="0.25">
      <c r="A2720" t="s">
        <v>43</v>
      </c>
      <c r="B2720" t="s">
        <v>26</v>
      </c>
      <c r="C2720" t="s">
        <v>37</v>
      </c>
      <c r="D2720" s="1">
        <v>45424</v>
      </c>
      <c r="E2720" s="2">
        <v>890.78</v>
      </c>
      <c r="F2720">
        <v>62</v>
      </c>
      <c r="G2720" s="2">
        <f t="shared" si="168"/>
        <v>14.367419354838709</v>
      </c>
      <c r="H2720" t="str">
        <f t="shared" si="169"/>
        <v>May</v>
      </c>
      <c r="I2720" t="str">
        <f t="shared" si="170"/>
        <v>Q2</v>
      </c>
      <c r="J2720" t="str">
        <f t="shared" si="171"/>
        <v>Large</v>
      </c>
    </row>
    <row r="2721" spans="1:10" x14ac:dyDescent="0.25">
      <c r="A2721" t="s">
        <v>19</v>
      </c>
      <c r="B2721" t="s">
        <v>26</v>
      </c>
      <c r="C2721" t="s">
        <v>32</v>
      </c>
      <c r="D2721" s="1">
        <v>45421</v>
      </c>
      <c r="E2721" s="2">
        <v>4142.16</v>
      </c>
      <c r="F2721">
        <v>5</v>
      </c>
      <c r="G2721" s="2">
        <f t="shared" si="168"/>
        <v>828.43200000000002</v>
      </c>
      <c r="H2721" t="str">
        <f t="shared" si="169"/>
        <v>May</v>
      </c>
      <c r="I2721" t="str">
        <f t="shared" si="170"/>
        <v>Q2</v>
      </c>
      <c r="J2721" t="str">
        <f t="shared" si="171"/>
        <v>Large</v>
      </c>
    </row>
    <row r="2722" spans="1:10" x14ac:dyDescent="0.25">
      <c r="A2722" t="s">
        <v>23</v>
      </c>
      <c r="B2722" t="s">
        <v>29</v>
      </c>
      <c r="C2722" t="s">
        <v>45</v>
      </c>
      <c r="D2722" s="1">
        <v>45513</v>
      </c>
      <c r="E2722" s="2">
        <v>7308.24</v>
      </c>
      <c r="F2722">
        <v>178</v>
      </c>
      <c r="G2722" s="2">
        <f t="shared" si="168"/>
        <v>41.05752808988764</v>
      </c>
      <c r="H2722" t="str">
        <f t="shared" si="169"/>
        <v>August</v>
      </c>
      <c r="I2722" t="str">
        <f t="shared" si="170"/>
        <v>Q3</v>
      </c>
      <c r="J2722" t="str">
        <f t="shared" si="171"/>
        <v>Large</v>
      </c>
    </row>
    <row r="2723" spans="1:10" x14ac:dyDescent="0.25">
      <c r="A2723" t="s">
        <v>9</v>
      </c>
      <c r="B2723" t="s">
        <v>10</v>
      </c>
      <c r="C2723" t="s">
        <v>52</v>
      </c>
      <c r="D2723" s="1">
        <v>45395</v>
      </c>
      <c r="E2723" s="2">
        <v>6833.86</v>
      </c>
      <c r="F2723">
        <v>115</v>
      </c>
      <c r="G2723" s="2">
        <f t="shared" si="168"/>
        <v>59.424869565217385</v>
      </c>
      <c r="H2723" t="str">
        <f t="shared" si="169"/>
        <v>April</v>
      </c>
      <c r="I2723" t="str">
        <f t="shared" si="170"/>
        <v>Q2</v>
      </c>
      <c r="J2723" t="str">
        <f t="shared" si="171"/>
        <v>Large</v>
      </c>
    </row>
    <row r="2724" spans="1:10" x14ac:dyDescent="0.25">
      <c r="A2724" t="s">
        <v>48</v>
      </c>
      <c r="B2724" t="s">
        <v>26</v>
      </c>
      <c r="C2724" t="s">
        <v>57</v>
      </c>
      <c r="D2724" s="1">
        <v>45414</v>
      </c>
      <c r="E2724" s="2">
        <v>8878.27</v>
      </c>
      <c r="F2724">
        <v>47</v>
      </c>
      <c r="G2724" s="2">
        <f t="shared" si="168"/>
        <v>188.89936170212766</v>
      </c>
      <c r="H2724" t="str">
        <f t="shared" si="169"/>
        <v>May</v>
      </c>
      <c r="I2724" t="str">
        <f t="shared" si="170"/>
        <v>Q2</v>
      </c>
      <c r="J2724" t="str">
        <f t="shared" si="171"/>
        <v>Large</v>
      </c>
    </row>
    <row r="2725" spans="1:10" x14ac:dyDescent="0.25">
      <c r="A2725" t="s">
        <v>54</v>
      </c>
      <c r="B2725" t="s">
        <v>26</v>
      </c>
      <c r="C2725" t="s">
        <v>18</v>
      </c>
      <c r="D2725" s="1">
        <v>45513</v>
      </c>
      <c r="E2725" s="2">
        <v>4134.93</v>
      </c>
      <c r="F2725">
        <v>307</v>
      </c>
      <c r="G2725" s="2">
        <f t="shared" si="168"/>
        <v>13.46882736156352</v>
      </c>
      <c r="H2725" t="str">
        <f t="shared" si="169"/>
        <v>August</v>
      </c>
      <c r="I2725" t="str">
        <f t="shared" si="170"/>
        <v>Q3</v>
      </c>
      <c r="J2725" t="str">
        <f t="shared" si="171"/>
        <v>Large</v>
      </c>
    </row>
    <row r="2726" spans="1:10" x14ac:dyDescent="0.25">
      <c r="A2726" t="s">
        <v>50</v>
      </c>
      <c r="B2726" t="s">
        <v>15</v>
      </c>
      <c r="C2726" t="s">
        <v>51</v>
      </c>
      <c r="D2726" s="1">
        <v>45527</v>
      </c>
      <c r="E2726" s="2">
        <v>6641.89</v>
      </c>
      <c r="F2726">
        <v>188</v>
      </c>
      <c r="G2726" s="2">
        <f t="shared" si="168"/>
        <v>35.329202127659578</v>
      </c>
      <c r="H2726" t="str">
        <f t="shared" si="169"/>
        <v>August</v>
      </c>
      <c r="I2726" t="str">
        <f t="shared" si="170"/>
        <v>Q3</v>
      </c>
      <c r="J2726" t="str">
        <f t="shared" si="171"/>
        <v>Large</v>
      </c>
    </row>
    <row r="2727" spans="1:10" x14ac:dyDescent="0.25">
      <c r="A2727" t="s">
        <v>19</v>
      </c>
      <c r="B2727" t="s">
        <v>10</v>
      </c>
      <c r="C2727" t="s">
        <v>39</v>
      </c>
      <c r="D2727" s="1">
        <v>45425</v>
      </c>
      <c r="E2727" s="2">
        <v>7117.3</v>
      </c>
      <c r="F2727">
        <v>174</v>
      </c>
      <c r="G2727" s="2">
        <f t="shared" si="168"/>
        <v>40.904022988505751</v>
      </c>
      <c r="H2727" t="str">
        <f t="shared" si="169"/>
        <v>May</v>
      </c>
      <c r="I2727" t="str">
        <f t="shared" si="170"/>
        <v>Q2</v>
      </c>
      <c r="J2727" t="str">
        <f t="shared" si="171"/>
        <v>Large</v>
      </c>
    </row>
    <row r="2728" spans="1:10" x14ac:dyDescent="0.25">
      <c r="A2728" t="s">
        <v>31</v>
      </c>
      <c r="B2728" t="s">
        <v>26</v>
      </c>
      <c r="C2728" t="s">
        <v>45</v>
      </c>
      <c r="D2728" s="1">
        <v>45323</v>
      </c>
      <c r="E2728" s="2">
        <v>11815.59</v>
      </c>
      <c r="F2728">
        <v>68</v>
      </c>
      <c r="G2728" s="2">
        <f t="shared" si="168"/>
        <v>173.75867647058823</v>
      </c>
      <c r="H2728" t="str">
        <f t="shared" si="169"/>
        <v>February</v>
      </c>
      <c r="I2728" t="str">
        <f t="shared" si="170"/>
        <v>Q1</v>
      </c>
      <c r="J2728" t="str">
        <f t="shared" si="171"/>
        <v>Large</v>
      </c>
    </row>
    <row r="2729" spans="1:10" x14ac:dyDescent="0.25">
      <c r="A2729" t="s">
        <v>50</v>
      </c>
      <c r="B2729" t="s">
        <v>26</v>
      </c>
      <c r="C2729" t="s">
        <v>22</v>
      </c>
      <c r="D2729" s="1">
        <v>45466</v>
      </c>
      <c r="E2729" s="2">
        <v>6962.79</v>
      </c>
      <c r="F2729">
        <v>303</v>
      </c>
      <c r="G2729" s="2">
        <f t="shared" si="168"/>
        <v>22.979504950495048</v>
      </c>
      <c r="H2729" t="str">
        <f t="shared" si="169"/>
        <v>June</v>
      </c>
      <c r="I2729" t="str">
        <f t="shared" si="170"/>
        <v>Q2</v>
      </c>
      <c r="J2729" t="str">
        <f t="shared" si="171"/>
        <v>Large</v>
      </c>
    </row>
    <row r="2730" spans="1:10" x14ac:dyDescent="0.25">
      <c r="A2730" t="s">
        <v>53</v>
      </c>
      <c r="B2730" t="s">
        <v>7</v>
      </c>
      <c r="C2730" t="s">
        <v>52</v>
      </c>
      <c r="D2730" s="1">
        <v>45436</v>
      </c>
      <c r="E2730" s="2">
        <v>11786.42</v>
      </c>
      <c r="F2730">
        <v>147</v>
      </c>
      <c r="G2730" s="2">
        <f t="shared" si="168"/>
        <v>80.17972789115646</v>
      </c>
      <c r="H2730" t="str">
        <f t="shared" si="169"/>
        <v>May</v>
      </c>
      <c r="I2730" t="str">
        <f t="shared" si="170"/>
        <v>Q2</v>
      </c>
      <c r="J2730" t="str">
        <f t="shared" si="171"/>
        <v>Large</v>
      </c>
    </row>
    <row r="2731" spans="1:10" x14ac:dyDescent="0.25">
      <c r="A2731" t="s">
        <v>14</v>
      </c>
      <c r="B2731" t="s">
        <v>29</v>
      </c>
      <c r="C2731" t="s">
        <v>8</v>
      </c>
      <c r="D2731" s="1">
        <v>45383</v>
      </c>
      <c r="E2731" s="2">
        <v>1200.19</v>
      </c>
      <c r="F2731">
        <v>224</v>
      </c>
      <c r="G2731" s="2">
        <f t="shared" si="168"/>
        <v>5.3579910714285717</v>
      </c>
      <c r="H2731" t="str">
        <f t="shared" si="169"/>
        <v>April</v>
      </c>
      <c r="I2731" t="str">
        <f t="shared" si="170"/>
        <v>Q2</v>
      </c>
      <c r="J2731" t="str">
        <f t="shared" si="171"/>
        <v>Large</v>
      </c>
    </row>
    <row r="2732" spans="1:10" x14ac:dyDescent="0.25">
      <c r="A2732" t="s">
        <v>50</v>
      </c>
      <c r="B2732" t="s">
        <v>29</v>
      </c>
      <c r="C2732" t="s">
        <v>58</v>
      </c>
      <c r="D2732" s="1">
        <v>45500</v>
      </c>
      <c r="E2732" s="2">
        <v>10791.08</v>
      </c>
      <c r="F2732">
        <v>166</v>
      </c>
      <c r="G2732" s="2">
        <f t="shared" si="168"/>
        <v>65.006506024096382</v>
      </c>
      <c r="H2732" t="str">
        <f t="shared" si="169"/>
        <v>July</v>
      </c>
      <c r="I2732" t="str">
        <f t="shared" si="170"/>
        <v>Q3</v>
      </c>
      <c r="J2732" t="str">
        <f t="shared" si="171"/>
        <v>Large</v>
      </c>
    </row>
    <row r="2733" spans="1:10" x14ac:dyDescent="0.25">
      <c r="A2733" t="s">
        <v>55</v>
      </c>
      <c r="B2733" t="s">
        <v>10</v>
      </c>
      <c r="C2733" t="s">
        <v>13</v>
      </c>
      <c r="D2733" s="1">
        <v>45318</v>
      </c>
      <c r="E2733" s="2">
        <v>26170.95</v>
      </c>
      <c r="F2733">
        <v>224</v>
      </c>
      <c r="G2733" s="2">
        <f t="shared" si="168"/>
        <v>116.83459821428572</v>
      </c>
      <c r="H2733" t="str">
        <f t="shared" si="169"/>
        <v>January</v>
      </c>
      <c r="I2733" t="str">
        <f t="shared" si="170"/>
        <v>Q1</v>
      </c>
      <c r="J2733" t="str">
        <f t="shared" si="171"/>
        <v>Large</v>
      </c>
    </row>
    <row r="2734" spans="1:10" x14ac:dyDescent="0.25">
      <c r="A2734" t="s">
        <v>14</v>
      </c>
      <c r="B2734" t="s">
        <v>10</v>
      </c>
      <c r="C2734" t="s">
        <v>52</v>
      </c>
      <c r="D2734" s="1">
        <v>45516</v>
      </c>
      <c r="E2734" s="2">
        <v>2987.81</v>
      </c>
      <c r="F2734">
        <v>136</v>
      </c>
      <c r="G2734" s="2">
        <f t="shared" si="168"/>
        <v>21.969191176470588</v>
      </c>
      <c r="H2734" t="str">
        <f t="shared" si="169"/>
        <v>August</v>
      </c>
      <c r="I2734" t="str">
        <f t="shared" si="170"/>
        <v>Q3</v>
      </c>
      <c r="J2734" t="str">
        <f t="shared" si="171"/>
        <v>Large</v>
      </c>
    </row>
    <row r="2735" spans="1:10" x14ac:dyDescent="0.25">
      <c r="A2735" t="s">
        <v>12</v>
      </c>
      <c r="B2735" t="s">
        <v>29</v>
      </c>
      <c r="C2735" t="s">
        <v>47</v>
      </c>
      <c r="D2735" s="1">
        <v>45323</v>
      </c>
      <c r="E2735" s="2">
        <v>11705.99</v>
      </c>
      <c r="F2735">
        <v>47</v>
      </c>
      <c r="G2735" s="2">
        <f t="shared" si="168"/>
        <v>249.0636170212766</v>
      </c>
      <c r="H2735" t="str">
        <f t="shared" si="169"/>
        <v>February</v>
      </c>
      <c r="I2735" t="str">
        <f t="shared" si="170"/>
        <v>Q1</v>
      </c>
      <c r="J2735" t="str">
        <f t="shared" si="171"/>
        <v>Large</v>
      </c>
    </row>
    <row r="2736" spans="1:10" x14ac:dyDescent="0.25">
      <c r="A2736" t="s">
        <v>24</v>
      </c>
      <c r="B2736" t="s">
        <v>10</v>
      </c>
      <c r="C2736" t="s">
        <v>20</v>
      </c>
      <c r="D2736" s="1">
        <v>45353</v>
      </c>
      <c r="E2736" s="2">
        <v>5256.03</v>
      </c>
      <c r="F2736">
        <v>201</v>
      </c>
      <c r="G2736" s="2">
        <f t="shared" si="168"/>
        <v>26.149402985074627</v>
      </c>
      <c r="H2736" t="str">
        <f t="shared" si="169"/>
        <v>March</v>
      </c>
      <c r="I2736" t="str">
        <f t="shared" si="170"/>
        <v>Q1</v>
      </c>
      <c r="J2736" t="str">
        <f t="shared" si="171"/>
        <v>Large</v>
      </c>
    </row>
    <row r="2737" spans="1:10" x14ac:dyDescent="0.25">
      <c r="A2737" t="s">
        <v>49</v>
      </c>
      <c r="B2737" t="s">
        <v>15</v>
      </c>
      <c r="C2737" t="s">
        <v>18</v>
      </c>
      <c r="D2737" s="1">
        <v>45473</v>
      </c>
      <c r="E2737" s="2">
        <v>3794.1</v>
      </c>
      <c r="F2737">
        <v>36</v>
      </c>
      <c r="G2737" s="2">
        <f t="shared" si="168"/>
        <v>105.39166666666667</v>
      </c>
      <c r="H2737" t="str">
        <f t="shared" si="169"/>
        <v>June</v>
      </c>
      <c r="I2737" t="str">
        <f t="shared" si="170"/>
        <v>Q2</v>
      </c>
      <c r="J2737" t="str">
        <f t="shared" si="171"/>
        <v>Large</v>
      </c>
    </row>
    <row r="2738" spans="1:10" x14ac:dyDescent="0.25">
      <c r="A2738" t="s">
        <v>54</v>
      </c>
      <c r="B2738" t="s">
        <v>15</v>
      </c>
      <c r="C2738" t="s">
        <v>39</v>
      </c>
      <c r="D2738" s="1">
        <v>45308</v>
      </c>
      <c r="E2738" s="2">
        <v>9655.2999999999993</v>
      </c>
      <c r="F2738">
        <v>97</v>
      </c>
      <c r="G2738" s="2">
        <f t="shared" si="168"/>
        <v>99.539175257731955</v>
      </c>
      <c r="H2738" t="str">
        <f t="shared" si="169"/>
        <v>January</v>
      </c>
      <c r="I2738" t="str">
        <f t="shared" si="170"/>
        <v>Q1</v>
      </c>
      <c r="J2738" t="str">
        <f t="shared" si="171"/>
        <v>Large</v>
      </c>
    </row>
    <row r="2739" spans="1:10" x14ac:dyDescent="0.25">
      <c r="A2739" t="s">
        <v>23</v>
      </c>
      <c r="B2739" t="s">
        <v>26</v>
      </c>
      <c r="C2739" t="s">
        <v>37</v>
      </c>
      <c r="D2739" s="1">
        <v>45480</v>
      </c>
      <c r="E2739" s="2">
        <v>16001.54</v>
      </c>
      <c r="F2739">
        <v>133</v>
      </c>
      <c r="G2739" s="2">
        <f t="shared" si="168"/>
        <v>120.31233082706767</v>
      </c>
      <c r="H2739" t="str">
        <f t="shared" si="169"/>
        <v>July</v>
      </c>
      <c r="I2739" t="str">
        <f t="shared" si="170"/>
        <v>Q3</v>
      </c>
      <c r="J2739" t="str">
        <f t="shared" si="171"/>
        <v>Large</v>
      </c>
    </row>
    <row r="2740" spans="1:10" x14ac:dyDescent="0.25">
      <c r="A2740" t="s">
        <v>28</v>
      </c>
      <c r="B2740" t="s">
        <v>21</v>
      </c>
      <c r="C2740" t="s">
        <v>8</v>
      </c>
      <c r="D2740" s="1">
        <v>45322</v>
      </c>
      <c r="E2740" s="2">
        <v>1386.1</v>
      </c>
      <c r="F2740">
        <v>104</v>
      </c>
      <c r="G2740" s="2">
        <f t="shared" si="168"/>
        <v>13.327884615384615</v>
      </c>
      <c r="H2740" t="str">
        <f t="shared" si="169"/>
        <v>January</v>
      </c>
      <c r="I2740" t="str">
        <f t="shared" si="170"/>
        <v>Q1</v>
      </c>
      <c r="J2740" t="str">
        <f t="shared" si="171"/>
        <v>Large</v>
      </c>
    </row>
    <row r="2741" spans="1:10" x14ac:dyDescent="0.25">
      <c r="A2741" t="s">
        <v>34</v>
      </c>
      <c r="B2741" t="s">
        <v>7</v>
      </c>
      <c r="C2741" t="s">
        <v>18</v>
      </c>
      <c r="D2741" s="1">
        <v>45514</v>
      </c>
      <c r="E2741" s="2">
        <v>3821.76</v>
      </c>
      <c r="F2741">
        <v>122</v>
      </c>
      <c r="G2741" s="2">
        <f t="shared" si="168"/>
        <v>31.325901639344263</v>
      </c>
      <c r="H2741" t="str">
        <f t="shared" si="169"/>
        <v>August</v>
      </c>
      <c r="I2741" t="str">
        <f t="shared" si="170"/>
        <v>Q3</v>
      </c>
      <c r="J2741" t="str">
        <f t="shared" si="171"/>
        <v>Large</v>
      </c>
    </row>
    <row r="2742" spans="1:10" x14ac:dyDescent="0.25">
      <c r="A2742" t="s">
        <v>34</v>
      </c>
      <c r="B2742" t="s">
        <v>26</v>
      </c>
      <c r="C2742" t="s">
        <v>13</v>
      </c>
      <c r="D2742" s="1">
        <v>45522</v>
      </c>
      <c r="E2742" s="2">
        <v>15722.43</v>
      </c>
      <c r="F2742">
        <v>351</v>
      </c>
      <c r="G2742" s="2">
        <f t="shared" si="168"/>
        <v>44.793247863247863</v>
      </c>
      <c r="H2742" t="str">
        <f t="shared" si="169"/>
        <v>August</v>
      </c>
      <c r="I2742" t="str">
        <f t="shared" si="170"/>
        <v>Q3</v>
      </c>
      <c r="J2742" t="str">
        <f t="shared" si="171"/>
        <v>Large</v>
      </c>
    </row>
    <row r="2743" spans="1:10" x14ac:dyDescent="0.25">
      <c r="A2743" t="s">
        <v>23</v>
      </c>
      <c r="B2743" t="s">
        <v>21</v>
      </c>
      <c r="C2743" t="s">
        <v>44</v>
      </c>
      <c r="D2743" s="1">
        <v>45458</v>
      </c>
      <c r="E2743" s="2">
        <v>6287.25</v>
      </c>
      <c r="F2743">
        <v>340</v>
      </c>
      <c r="G2743" s="2">
        <f t="shared" si="168"/>
        <v>18.491911764705883</v>
      </c>
      <c r="H2743" t="str">
        <f t="shared" si="169"/>
        <v>June</v>
      </c>
      <c r="I2743" t="str">
        <f t="shared" si="170"/>
        <v>Q2</v>
      </c>
      <c r="J2743" t="str">
        <f t="shared" si="171"/>
        <v>Large</v>
      </c>
    </row>
    <row r="2744" spans="1:10" x14ac:dyDescent="0.25">
      <c r="A2744" t="s">
        <v>33</v>
      </c>
      <c r="B2744" t="s">
        <v>26</v>
      </c>
      <c r="C2744" t="s">
        <v>56</v>
      </c>
      <c r="D2744" s="1">
        <v>45317</v>
      </c>
      <c r="E2744" s="2">
        <v>9831.9699999999993</v>
      </c>
      <c r="F2744">
        <v>9</v>
      </c>
      <c r="G2744" s="2">
        <f t="shared" si="168"/>
        <v>1092.441111111111</v>
      </c>
      <c r="H2744" t="str">
        <f t="shared" si="169"/>
        <v>January</v>
      </c>
      <c r="I2744" t="str">
        <f t="shared" si="170"/>
        <v>Q1</v>
      </c>
      <c r="J2744" t="str">
        <f t="shared" si="171"/>
        <v>Large</v>
      </c>
    </row>
    <row r="2745" spans="1:10" x14ac:dyDescent="0.25">
      <c r="A2745" t="s">
        <v>49</v>
      </c>
      <c r="B2745" t="s">
        <v>26</v>
      </c>
      <c r="C2745" t="s">
        <v>39</v>
      </c>
      <c r="D2745" s="1">
        <v>45411</v>
      </c>
      <c r="E2745" s="2">
        <v>90.36</v>
      </c>
      <c r="F2745">
        <v>73</v>
      </c>
      <c r="G2745" s="2">
        <f t="shared" si="168"/>
        <v>1.2378082191780821</v>
      </c>
      <c r="H2745" t="str">
        <f t="shared" si="169"/>
        <v>April</v>
      </c>
      <c r="I2745" t="str">
        <f t="shared" si="170"/>
        <v>Q2</v>
      </c>
      <c r="J2745" t="str">
        <f t="shared" si="171"/>
        <v>Small</v>
      </c>
    </row>
    <row r="2746" spans="1:10" x14ac:dyDescent="0.25">
      <c r="A2746" t="s">
        <v>28</v>
      </c>
      <c r="B2746" t="s">
        <v>29</v>
      </c>
      <c r="C2746" t="s">
        <v>44</v>
      </c>
      <c r="D2746" s="1">
        <v>45354</v>
      </c>
      <c r="E2746" s="2">
        <v>3799.5</v>
      </c>
      <c r="F2746">
        <v>71</v>
      </c>
      <c r="G2746" s="2">
        <f t="shared" si="168"/>
        <v>53.514084507042256</v>
      </c>
      <c r="H2746" t="str">
        <f t="shared" si="169"/>
        <v>March</v>
      </c>
      <c r="I2746" t="str">
        <f t="shared" si="170"/>
        <v>Q1</v>
      </c>
      <c r="J2746" t="str">
        <f t="shared" si="171"/>
        <v>Large</v>
      </c>
    </row>
    <row r="2747" spans="1:10" x14ac:dyDescent="0.25">
      <c r="A2747" t="s">
        <v>41</v>
      </c>
      <c r="B2747" t="s">
        <v>15</v>
      </c>
      <c r="C2747" t="s">
        <v>47</v>
      </c>
      <c r="D2747" s="1">
        <v>45344</v>
      </c>
      <c r="E2747" s="2">
        <v>4674.2</v>
      </c>
      <c r="F2747">
        <v>422</v>
      </c>
      <c r="G2747" s="2">
        <f t="shared" si="168"/>
        <v>11.076303317535544</v>
      </c>
      <c r="H2747" t="str">
        <f t="shared" si="169"/>
        <v>February</v>
      </c>
      <c r="I2747" t="str">
        <f t="shared" si="170"/>
        <v>Q1</v>
      </c>
      <c r="J2747" t="str">
        <f t="shared" si="171"/>
        <v>Large</v>
      </c>
    </row>
    <row r="2748" spans="1:10" x14ac:dyDescent="0.25">
      <c r="A2748" t="s">
        <v>17</v>
      </c>
      <c r="B2748" t="s">
        <v>26</v>
      </c>
      <c r="C2748" t="s">
        <v>16</v>
      </c>
      <c r="D2748" s="1">
        <v>45355</v>
      </c>
      <c r="E2748" s="2">
        <v>4011.83</v>
      </c>
      <c r="F2748">
        <v>169</v>
      </c>
      <c r="G2748" s="2">
        <f t="shared" si="168"/>
        <v>23.738639053254438</v>
      </c>
      <c r="H2748" t="str">
        <f t="shared" si="169"/>
        <v>March</v>
      </c>
      <c r="I2748" t="str">
        <f t="shared" si="170"/>
        <v>Q1</v>
      </c>
      <c r="J2748" t="str">
        <f t="shared" si="171"/>
        <v>Large</v>
      </c>
    </row>
    <row r="2749" spans="1:10" x14ac:dyDescent="0.25">
      <c r="A2749" t="s">
        <v>43</v>
      </c>
      <c r="B2749" t="s">
        <v>10</v>
      </c>
      <c r="C2749" t="s">
        <v>16</v>
      </c>
      <c r="D2749" s="1">
        <v>45480</v>
      </c>
      <c r="E2749" s="2">
        <v>3429.85</v>
      </c>
      <c r="F2749">
        <v>9</v>
      </c>
      <c r="G2749" s="2">
        <f t="shared" si="168"/>
        <v>381.09444444444443</v>
      </c>
      <c r="H2749" t="str">
        <f t="shared" si="169"/>
        <v>July</v>
      </c>
      <c r="I2749" t="str">
        <f t="shared" si="170"/>
        <v>Q3</v>
      </c>
      <c r="J2749" t="str">
        <f t="shared" si="171"/>
        <v>Large</v>
      </c>
    </row>
    <row r="2750" spans="1:10" x14ac:dyDescent="0.25">
      <c r="A2750" t="s">
        <v>50</v>
      </c>
      <c r="B2750" t="s">
        <v>21</v>
      </c>
      <c r="C2750" t="s">
        <v>57</v>
      </c>
      <c r="D2750" s="1">
        <v>45460</v>
      </c>
      <c r="E2750" s="2">
        <v>4920.68</v>
      </c>
      <c r="F2750">
        <v>380</v>
      </c>
      <c r="G2750" s="2">
        <f t="shared" si="168"/>
        <v>12.949157894736842</v>
      </c>
      <c r="H2750" t="str">
        <f t="shared" si="169"/>
        <v>June</v>
      </c>
      <c r="I2750" t="str">
        <f t="shared" si="170"/>
        <v>Q2</v>
      </c>
      <c r="J2750" t="str">
        <f t="shared" si="171"/>
        <v>Large</v>
      </c>
    </row>
    <row r="2751" spans="1:10" x14ac:dyDescent="0.25">
      <c r="A2751" t="s">
        <v>14</v>
      </c>
      <c r="B2751" t="s">
        <v>29</v>
      </c>
      <c r="C2751" t="s">
        <v>57</v>
      </c>
      <c r="D2751" s="1">
        <v>45506</v>
      </c>
      <c r="E2751" s="2">
        <v>10049.719999999999</v>
      </c>
      <c r="F2751">
        <v>118</v>
      </c>
      <c r="G2751" s="2">
        <f t="shared" si="168"/>
        <v>85.167118644067784</v>
      </c>
      <c r="H2751" t="str">
        <f t="shared" si="169"/>
        <v>August</v>
      </c>
      <c r="I2751" t="str">
        <f t="shared" si="170"/>
        <v>Q3</v>
      </c>
      <c r="J2751" t="str">
        <f t="shared" si="171"/>
        <v>Large</v>
      </c>
    </row>
    <row r="2752" spans="1:10" x14ac:dyDescent="0.25">
      <c r="A2752" t="s">
        <v>17</v>
      </c>
      <c r="B2752" t="s">
        <v>26</v>
      </c>
      <c r="C2752" t="s">
        <v>56</v>
      </c>
      <c r="D2752" s="1">
        <v>45516</v>
      </c>
      <c r="E2752" s="2">
        <v>8485.1</v>
      </c>
      <c r="F2752">
        <v>120</v>
      </c>
      <c r="G2752" s="2">
        <f t="shared" si="168"/>
        <v>70.709166666666675</v>
      </c>
      <c r="H2752" t="str">
        <f t="shared" si="169"/>
        <v>August</v>
      </c>
      <c r="I2752" t="str">
        <f t="shared" si="170"/>
        <v>Q3</v>
      </c>
      <c r="J2752" t="str">
        <f t="shared" si="171"/>
        <v>Large</v>
      </c>
    </row>
    <row r="2753" spans="1:10" x14ac:dyDescent="0.25">
      <c r="A2753" t="s">
        <v>53</v>
      </c>
      <c r="B2753" t="s">
        <v>21</v>
      </c>
      <c r="C2753" t="s">
        <v>13</v>
      </c>
      <c r="D2753" s="1">
        <v>45319</v>
      </c>
      <c r="E2753" s="2">
        <v>6030.31</v>
      </c>
      <c r="F2753">
        <v>351</v>
      </c>
      <c r="G2753" s="2">
        <f t="shared" si="168"/>
        <v>17.180370370370373</v>
      </c>
      <c r="H2753" t="str">
        <f t="shared" si="169"/>
        <v>January</v>
      </c>
      <c r="I2753" t="str">
        <f t="shared" si="170"/>
        <v>Q1</v>
      </c>
      <c r="J2753" t="str">
        <f t="shared" si="171"/>
        <v>Large</v>
      </c>
    </row>
    <row r="2754" spans="1:10" x14ac:dyDescent="0.25">
      <c r="A2754" t="s">
        <v>49</v>
      </c>
      <c r="B2754" t="s">
        <v>15</v>
      </c>
      <c r="C2754" t="s">
        <v>27</v>
      </c>
      <c r="D2754" s="1">
        <v>45411</v>
      </c>
      <c r="E2754" s="2">
        <v>13331.77</v>
      </c>
      <c r="F2754">
        <v>443</v>
      </c>
      <c r="G2754" s="2">
        <f t="shared" si="168"/>
        <v>30.094288939051921</v>
      </c>
      <c r="H2754" t="str">
        <f t="shared" si="169"/>
        <v>April</v>
      </c>
      <c r="I2754" t="str">
        <f t="shared" si="170"/>
        <v>Q2</v>
      </c>
      <c r="J2754" t="str">
        <f t="shared" si="171"/>
        <v>Large</v>
      </c>
    </row>
    <row r="2755" spans="1:10" x14ac:dyDescent="0.25">
      <c r="A2755" t="s">
        <v>33</v>
      </c>
      <c r="B2755" t="s">
        <v>15</v>
      </c>
      <c r="C2755" t="s">
        <v>45</v>
      </c>
      <c r="D2755" s="1">
        <v>45387</v>
      </c>
      <c r="E2755" s="2">
        <v>15245.95</v>
      </c>
      <c r="F2755">
        <v>233</v>
      </c>
      <c r="G2755" s="2">
        <f t="shared" ref="G2755:G2818" si="172">E2755/F2755</f>
        <v>65.433261802575117</v>
      </c>
      <c r="H2755" t="str">
        <f t="shared" ref="H2755:H2818" si="173">TEXT(D2755, "mmmm")</f>
        <v>April</v>
      </c>
      <c r="I2755" t="str">
        <f t="shared" ref="I2755:I2818" si="174">"Q" &amp; ROUNDUP(MONTH(D2755)/3,0)</f>
        <v>Q2</v>
      </c>
      <c r="J2755" t="str">
        <f t="shared" ref="J2755:J2818" si="175">IF(E2755 &gt; 500, "Large", "Small")</f>
        <v>Large</v>
      </c>
    </row>
    <row r="2756" spans="1:10" x14ac:dyDescent="0.25">
      <c r="A2756" t="s">
        <v>41</v>
      </c>
      <c r="B2756" t="s">
        <v>29</v>
      </c>
      <c r="C2756" t="s">
        <v>45</v>
      </c>
      <c r="D2756" s="1">
        <v>45309</v>
      </c>
      <c r="E2756" s="2">
        <v>11618.55</v>
      </c>
      <c r="F2756">
        <v>133</v>
      </c>
      <c r="G2756" s="2">
        <f t="shared" si="172"/>
        <v>87.35751879699248</v>
      </c>
      <c r="H2756" t="str">
        <f t="shared" si="173"/>
        <v>January</v>
      </c>
      <c r="I2756" t="str">
        <f t="shared" si="174"/>
        <v>Q1</v>
      </c>
      <c r="J2756" t="str">
        <f t="shared" si="175"/>
        <v>Large</v>
      </c>
    </row>
    <row r="2757" spans="1:10" x14ac:dyDescent="0.25">
      <c r="A2757" t="s">
        <v>6</v>
      </c>
      <c r="B2757" t="s">
        <v>7</v>
      </c>
      <c r="C2757" t="s">
        <v>56</v>
      </c>
      <c r="D2757" s="1">
        <v>45428</v>
      </c>
      <c r="E2757" s="2">
        <v>2629.59</v>
      </c>
      <c r="F2757">
        <v>98</v>
      </c>
      <c r="G2757" s="2">
        <f t="shared" si="172"/>
        <v>26.832551020408165</v>
      </c>
      <c r="H2757" t="str">
        <f t="shared" si="173"/>
        <v>May</v>
      </c>
      <c r="I2757" t="str">
        <f t="shared" si="174"/>
        <v>Q2</v>
      </c>
      <c r="J2757" t="str">
        <f t="shared" si="175"/>
        <v>Large</v>
      </c>
    </row>
    <row r="2758" spans="1:10" x14ac:dyDescent="0.25">
      <c r="A2758" t="s">
        <v>49</v>
      </c>
      <c r="B2758" t="s">
        <v>15</v>
      </c>
      <c r="C2758" t="s">
        <v>44</v>
      </c>
      <c r="D2758" s="1">
        <v>45528</v>
      </c>
      <c r="E2758" s="2">
        <v>10089.49</v>
      </c>
      <c r="F2758">
        <v>168</v>
      </c>
      <c r="G2758" s="2">
        <f t="shared" si="172"/>
        <v>60.056488095238095</v>
      </c>
      <c r="H2758" t="str">
        <f t="shared" si="173"/>
        <v>August</v>
      </c>
      <c r="I2758" t="str">
        <f t="shared" si="174"/>
        <v>Q3</v>
      </c>
      <c r="J2758" t="str">
        <f t="shared" si="175"/>
        <v>Large</v>
      </c>
    </row>
    <row r="2759" spans="1:10" x14ac:dyDescent="0.25">
      <c r="A2759" t="s">
        <v>38</v>
      </c>
      <c r="B2759" t="s">
        <v>10</v>
      </c>
      <c r="C2759" t="s">
        <v>11</v>
      </c>
      <c r="D2759" s="1">
        <v>45309</v>
      </c>
      <c r="E2759" s="2">
        <v>308.24</v>
      </c>
      <c r="F2759">
        <v>402</v>
      </c>
      <c r="G2759" s="2">
        <f t="shared" si="172"/>
        <v>0.7667661691542289</v>
      </c>
      <c r="H2759" t="str">
        <f t="shared" si="173"/>
        <v>January</v>
      </c>
      <c r="I2759" t="str">
        <f t="shared" si="174"/>
        <v>Q1</v>
      </c>
      <c r="J2759" t="str">
        <f t="shared" si="175"/>
        <v>Small</v>
      </c>
    </row>
    <row r="2760" spans="1:10" x14ac:dyDescent="0.25">
      <c r="A2760" t="s">
        <v>41</v>
      </c>
      <c r="B2760" t="s">
        <v>26</v>
      </c>
      <c r="C2760" t="s">
        <v>30</v>
      </c>
      <c r="D2760" s="1">
        <v>45526</v>
      </c>
      <c r="E2760" s="2">
        <v>7978.76</v>
      </c>
      <c r="F2760">
        <v>10</v>
      </c>
      <c r="G2760" s="2">
        <f t="shared" si="172"/>
        <v>797.87599999999998</v>
      </c>
      <c r="H2760" t="str">
        <f t="shared" si="173"/>
        <v>August</v>
      </c>
      <c r="I2760" t="str">
        <f t="shared" si="174"/>
        <v>Q3</v>
      </c>
      <c r="J2760" t="str">
        <f t="shared" si="175"/>
        <v>Large</v>
      </c>
    </row>
    <row r="2761" spans="1:10" x14ac:dyDescent="0.25">
      <c r="A2761" t="s">
        <v>19</v>
      </c>
      <c r="B2761" t="s">
        <v>7</v>
      </c>
      <c r="C2761" t="s">
        <v>18</v>
      </c>
      <c r="D2761" s="1">
        <v>45358</v>
      </c>
      <c r="E2761" s="2">
        <v>8.16</v>
      </c>
      <c r="F2761">
        <v>84</v>
      </c>
      <c r="G2761" s="2">
        <f t="shared" si="172"/>
        <v>9.7142857142857142E-2</v>
      </c>
      <c r="H2761" t="str">
        <f t="shared" si="173"/>
        <v>March</v>
      </c>
      <c r="I2761" t="str">
        <f t="shared" si="174"/>
        <v>Q1</v>
      </c>
      <c r="J2761" t="str">
        <f t="shared" si="175"/>
        <v>Small</v>
      </c>
    </row>
    <row r="2762" spans="1:10" x14ac:dyDescent="0.25">
      <c r="A2762" t="s">
        <v>34</v>
      </c>
      <c r="B2762" t="s">
        <v>7</v>
      </c>
      <c r="C2762" t="s">
        <v>52</v>
      </c>
      <c r="D2762" s="1">
        <v>45355</v>
      </c>
      <c r="E2762" s="2">
        <v>3303.13</v>
      </c>
      <c r="F2762">
        <v>73</v>
      </c>
      <c r="G2762" s="2">
        <f t="shared" si="172"/>
        <v>45.248356164383566</v>
      </c>
      <c r="H2762" t="str">
        <f t="shared" si="173"/>
        <v>March</v>
      </c>
      <c r="I2762" t="str">
        <f t="shared" si="174"/>
        <v>Q1</v>
      </c>
      <c r="J2762" t="str">
        <f t="shared" si="175"/>
        <v>Large</v>
      </c>
    </row>
    <row r="2763" spans="1:10" x14ac:dyDescent="0.25">
      <c r="A2763" t="s">
        <v>54</v>
      </c>
      <c r="B2763" t="s">
        <v>29</v>
      </c>
      <c r="C2763" t="s">
        <v>45</v>
      </c>
      <c r="D2763" s="1">
        <v>45404</v>
      </c>
      <c r="E2763" s="2">
        <v>13959.74</v>
      </c>
      <c r="F2763">
        <v>113</v>
      </c>
      <c r="G2763" s="2">
        <f t="shared" si="172"/>
        <v>123.53752212389381</v>
      </c>
      <c r="H2763" t="str">
        <f t="shared" si="173"/>
        <v>April</v>
      </c>
      <c r="I2763" t="str">
        <f t="shared" si="174"/>
        <v>Q2</v>
      </c>
      <c r="J2763" t="str">
        <f t="shared" si="175"/>
        <v>Large</v>
      </c>
    </row>
    <row r="2764" spans="1:10" x14ac:dyDescent="0.25">
      <c r="A2764" t="s">
        <v>41</v>
      </c>
      <c r="B2764" t="s">
        <v>15</v>
      </c>
      <c r="C2764" t="s">
        <v>37</v>
      </c>
      <c r="D2764" s="1">
        <v>45452</v>
      </c>
      <c r="E2764" s="2">
        <v>4251.42</v>
      </c>
      <c r="F2764">
        <v>91</v>
      </c>
      <c r="G2764" s="2">
        <f t="shared" si="172"/>
        <v>46.7189010989011</v>
      </c>
      <c r="H2764" t="str">
        <f t="shared" si="173"/>
        <v>June</v>
      </c>
      <c r="I2764" t="str">
        <f t="shared" si="174"/>
        <v>Q2</v>
      </c>
      <c r="J2764" t="str">
        <f t="shared" si="175"/>
        <v>Large</v>
      </c>
    </row>
    <row r="2765" spans="1:10" x14ac:dyDescent="0.25">
      <c r="A2765" t="s">
        <v>14</v>
      </c>
      <c r="B2765" t="s">
        <v>29</v>
      </c>
      <c r="C2765" t="s">
        <v>42</v>
      </c>
      <c r="D2765" s="1">
        <v>45498</v>
      </c>
      <c r="E2765" s="2">
        <v>9885.5300000000007</v>
      </c>
      <c r="F2765">
        <v>217</v>
      </c>
      <c r="G2765" s="2">
        <f t="shared" si="172"/>
        <v>45.555437788018438</v>
      </c>
      <c r="H2765" t="str">
        <f t="shared" si="173"/>
        <v>July</v>
      </c>
      <c r="I2765" t="str">
        <f t="shared" si="174"/>
        <v>Q3</v>
      </c>
      <c r="J2765" t="str">
        <f t="shared" si="175"/>
        <v>Large</v>
      </c>
    </row>
    <row r="2766" spans="1:10" x14ac:dyDescent="0.25">
      <c r="A2766" t="s">
        <v>14</v>
      </c>
      <c r="B2766" t="s">
        <v>10</v>
      </c>
      <c r="C2766" t="s">
        <v>16</v>
      </c>
      <c r="D2766" s="1">
        <v>45507</v>
      </c>
      <c r="E2766" s="2">
        <v>12864.47</v>
      </c>
      <c r="F2766">
        <v>93</v>
      </c>
      <c r="G2766" s="2">
        <f t="shared" si="172"/>
        <v>138.32763440860214</v>
      </c>
      <c r="H2766" t="str">
        <f t="shared" si="173"/>
        <v>August</v>
      </c>
      <c r="I2766" t="str">
        <f t="shared" si="174"/>
        <v>Q3</v>
      </c>
      <c r="J2766" t="str">
        <f t="shared" si="175"/>
        <v>Large</v>
      </c>
    </row>
    <row r="2767" spans="1:10" x14ac:dyDescent="0.25">
      <c r="A2767" t="s">
        <v>24</v>
      </c>
      <c r="B2767" t="s">
        <v>15</v>
      </c>
      <c r="C2767" t="s">
        <v>45</v>
      </c>
      <c r="D2767" s="1">
        <v>45507</v>
      </c>
      <c r="E2767" s="2">
        <v>5245.6</v>
      </c>
      <c r="F2767">
        <v>144</v>
      </c>
      <c r="G2767" s="2">
        <f t="shared" si="172"/>
        <v>36.427777777777777</v>
      </c>
      <c r="H2767" t="str">
        <f t="shared" si="173"/>
        <v>August</v>
      </c>
      <c r="I2767" t="str">
        <f t="shared" si="174"/>
        <v>Q3</v>
      </c>
      <c r="J2767" t="str">
        <f t="shared" si="175"/>
        <v>Large</v>
      </c>
    </row>
    <row r="2768" spans="1:10" x14ac:dyDescent="0.25">
      <c r="A2768" t="s">
        <v>6</v>
      </c>
      <c r="B2768" t="s">
        <v>7</v>
      </c>
      <c r="C2768" t="s">
        <v>37</v>
      </c>
      <c r="D2768" s="1">
        <v>45415</v>
      </c>
      <c r="E2768" s="2">
        <v>14345.5</v>
      </c>
      <c r="F2768">
        <v>219</v>
      </c>
      <c r="G2768" s="2">
        <f t="shared" si="172"/>
        <v>65.504566210045667</v>
      </c>
      <c r="H2768" t="str">
        <f t="shared" si="173"/>
        <v>May</v>
      </c>
      <c r="I2768" t="str">
        <f t="shared" si="174"/>
        <v>Q2</v>
      </c>
      <c r="J2768" t="str">
        <f t="shared" si="175"/>
        <v>Large</v>
      </c>
    </row>
    <row r="2769" spans="1:10" x14ac:dyDescent="0.25">
      <c r="A2769" t="s">
        <v>40</v>
      </c>
      <c r="B2769" t="s">
        <v>29</v>
      </c>
      <c r="C2769" t="s">
        <v>20</v>
      </c>
      <c r="D2769" s="1">
        <v>45310</v>
      </c>
      <c r="E2769" s="2">
        <v>11462.19</v>
      </c>
      <c r="F2769">
        <v>288</v>
      </c>
      <c r="G2769" s="2">
        <f t="shared" si="172"/>
        <v>39.799270833333338</v>
      </c>
      <c r="H2769" t="str">
        <f t="shared" si="173"/>
        <v>January</v>
      </c>
      <c r="I2769" t="str">
        <f t="shared" si="174"/>
        <v>Q1</v>
      </c>
      <c r="J2769" t="str">
        <f t="shared" si="175"/>
        <v>Large</v>
      </c>
    </row>
    <row r="2770" spans="1:10" x14ac:dyDescent="0.25">
      <c r="A2770" t="s">
        <v>36</v>
      </c>
      <c r="B2770" t="s">
        <v>26</v>
      </c>
      <c r="C2770" t="s">
        <v>22</v>
      </c>
      <c r="D2770" s="1">
        <v>45333</v>
      </c>
      <c r="E2770" s="2">
        <v>11667.94</v>
      </c>
      <c r="F2770">
        <v>306</v>
      </c>
      <c r="G2770" s="2">
        <f t="shared" si="172"/>
        <v>38.130522875816993</v>
      </c>
      <c r="H2770" t="str">
        <f t="shared" si="173"/>
        <v>February</v>
      </c>
      <c r="I2770" t="str">
        <f t="shared" si="174"/>
        <v>Q1</v>
      </c>
      <c r="J2770" t="str">
        <f t="shared" si="175"/>
        <v>Large</v>
      </c>
    </row>
    <row r="2771" spans="1:10" x14ac:dyDescent="0.25">
      <c r="A2771" t="s">
        <v>9</v>
      </c>
      <c r="B2771" t="s">
        <v>10</v>
      </c>
      <c r="C2771" t="s">
        <v>47</v>
      </c>
      <c r="D2771" s="1">
        <v>45457</v>
      </c>
      <c r="E2771" s="2">
        <v>7455.17</v>
      </c>
      <c r="F2771">
        <v>383</v>
      </c>
      <c r="G2771" s="2">
        <f t="shared" si="172"/>
        <v>19.465195822454309</v>
      </c>
      <c r="H2771" t="str">
        <f t="shared" si="173"/>
        <v>June</v>
      </c>
      <c r="I2771" t="str">
        <f t="shared" si="174"/>
        <v>Q2</v>
      </c>
      <c r="J2771" t="str">
        <f t="shared" si="175"/>
        <v>Large</v>
      </c>
    </row>
    <row r="2772" spans="1:10" x14ac:dyDescent="0.25">
      <c r="A2772" t="s">
        <v>49</v>
      </c>
      <c r="B2772" t="s">
        <v>26</v>
      </c>
      <c r="C2772" t="s">
        <v>22</v>
      </c>
      <c r="D2772" s="1">
        <v>45374</v>
      </c>
      <c r="E2772" s="2">
        <v>7203.64</v>
      </c>
      <c r="F2772">
        <v>234</v>
      </c>
      <c r="G2772" s="2">
        <f t="shared" si="172"/>
        <v>30.784786324786324</v>
      </c>
      <c r="H2772" t="str">
        <f t="shared" si="173"/>
        <v>March</v>
      </c>
      <c r="I2772" t="str">
        <f t="shared" si="174"/>
        <v>Q1</v>
      </c>
      <c r="J2772" t="str">
        <f t="shared" si="175"/>
        <v>Large</v>
      </c>
    </row>
    <row r="2773" spans="1:10" x14ac:dyDescent="0.25">
      <c r="A2773" t="s">
        <v>53</v>
      </c>
      <c r="B2773" t="s">
        <v>29</v>
      </c>
      <c r="C2773" t="s">
        <v>11</v>
      </c>
      <c r="D2773" s="1">
        <v>45339</v>
      </c>
      <c r="E2773" s="2">
        <v>8081.58</v>
      </c>
      <c r="F2773">
        <v>105</v>
      </c>
      <c r="G2773" s="2">
        <f t="shared" si="172"/>
        <v>76.96742857142857</v>
      </c>
      <c r="H2773" t="str">
        <f t="shared" si="173"/>
        <v>February</v>
      </c>
      <c r="I2773" t="str">
        <f t="shared" si="174"/>
        <v>Q1</v>
      </c>
      <c r="J2773" t="str">
        <f t="shared" si="175"/>
        <v>Large</v>
      </c>
    </row>
    <row r="2774" spans="1:10" x14ac:dyDescent="0.25">
      <c r="A2774" t="s">
        <v>43</v>
      </c>
      <c r="B2774" t="s">
        <v>29</v>
      </c>
      <c r="C2774" t="s">
        <v>16</v>
      </c>
      <c r="D2774" s="1">
        <v>45368</v>
      </c>
      <c r="E2774" s="2">
        <v>2055.4</v>
      </c>
      <c r="F2774">
        <v>485</v>
      </c>
      <c r="G2774" s="2">
        <f t="shared" si="172"/>
        <v>4.2379381443298971</v>
      </c>
      <c r="H2774" t="str">
        <f t="shared" si="173"/>
        <v>March</v>
      </c>
      <c r="I2774" t="str">
        <f t="shared" si="174"/>
        <v>Q1</v>
      </c>
      <c r="J2774" t="str">
        <f t="shared" si="175"/>
        <v>Large</v>
      </c>
    </row>
    <row r="2775" spans="1:10" x14ac:dyDescent="0.25">
      <c r="A2775" t="s">
        <v>28</v>
      </c>
      <c r="B2775" t="s">
        <v>15</v>
      </c>
      <c r="C2775" t="s">
        <v>39</v>
      </c>
      <c r="D2775" s="1">
        <v>45472</v>
      </c>
      <c r="E2775" s="2">
        <v>6476.09</v>
      </c>
      <c r="F2775">
        <v>304</v>
      </c>
      <c r="G2775" s="2">
        <f t="shared" si="172"/>
        <v>21.30292763157895</v>
      </c>
      <c r="H2775" t="str">
        <f t="shared" si="173"/>
        <v>June</v>
      </c>
      <c r="I2775" t="str">
        <f t="shared" si="174"/>
        <v>Q2</v>
      </c>
      <c r="J2775" t="str">
        <f t="shared" si="175"/>
        <v>Large</v>
      </c>
    </row>
    <row r="2776" spans="1:10" x14ac:dyDescent="0.25">
      <c r="A2776" t="s">
        <v>55</v>
      </c>
      <c r="B2776" t="s">
        <v>29</v>
      </c>
      <c r="C2776" t="s">
        <v>52</v>
      </c>
      <c r="D2776" s="1">
        <v>45528</v>
      </c>
      <c r="E2776" s="2">
        <v>17490.080000000002</v>
      </c>
      <c r="F2776">
        <v>289</v>
      </c>
      <c r="G2776" s="2">
        <f t="shared" si="172"/>
        <v>60.519307958477512</v>
      </c>
      <c r="H2776" t="str">
        <f t="shared" si="173"/>
        <v>August</v>
      </c>
      <c r="I2776" t="str">
        <f t="shared" si="174"/>
        <v>Q3</v>
      </c>
      <c r="J2776" t="str">
        <f t="shared" si="175"/>
        <v>Large</v>
      </c>
    </row>
    <row r="2777" spans="1:10" x14ac:dyDescent="0.25">
      <c r="A2777" t="s">
        <v>12</v>
      </c>
      <c r="B2777" t="s">
        <v>29</v>
      </c>
      <c r="C2777" t="s">
        <v>39</v>
      </c>
      <c r="D2777" s="1">
        <v>45477</v>
      </c>
      <c r="E2777" s="2">
        <v>13644</v>
      </c>
      <c r="F2777">
        <v>281</v>
      </c>
      <c r="G2777" s="2">
        <f t="shared" si="172"/>
        <v>48.555160142348754</v>
      </c>
      <c r="H2777" t="str">
        <f t="shared" si="173"/>
        <v>July</v>
      </c>
      <c r="I2777" t="str">
        <f t="shared" si="174"/>
        <v>Q3</v>
      </c>
      <c r="J2777" t="str">
        <f t="shared" si="175"/>
        <v>Large</v>
      </c>
    </row>
    <row r="2778" spans="1:10" x14ac:dyDescent="0.25">
      <c r="A2778" t="s">
        <v>36</v>
      </c>
      <c r="B2778" t="s">
        <v>21</v>
      </c>
      <c r="C2778" t="s">
        <v>47</v>
      </c>
      <c r="D2778" s="1">
        <v>45379</v>
      </c>
      <c r="E2778" s="2">
        <v>2930.46</v>
      </c>
      <c r="F2778">
        <v>70</v>
      </c>
      <c r="G2778" s="2">
        <f t="shared" si="172"/>
        <v>41.863714285714288</v>
      </c>
      <c r="H2778" t="str">
        <f t="shared" si="173"/>
        <v>March</v>
      </c>
      <c r="I2778" t="str">
        <f t="shared" si="174"/>
        <v>Q1</v>
      </c>
      <c r="J2778" t="str">
        <f t="shared" si="175"/>
        <v>Large</v>
      </c>
    </row>
    <row r="2779" spans="1:10" x14ac:dyDescent="0.25">
      <c r="A2779" t="s">
        <v>38</v>
      </c>
      <c r="B2779" t="s">
        <v>10</v>
      </c>
      <c r="C2779" t="s">
        <v>16</v>
      </c>
      <c r="D2779" s="1">
        <v>45401</v>
      </c>
      <c r="E2779" s="2">
        <v>22717.09</v>
      </c>
      <c r="F2779">
        <v>143</v>
      </c>
      <c r="G2779" s="2">
        <f t="shared" si="172"/>
        <v>158.86076923076922</v>
      </c>
      <c r="H2779" t="str">
        <f t="shared" si="173"/>
        <v>April</v>
      </c>
      <c r="I2779" t="str">
        <f t="shared" si="174"/>
        <v>Q2</v>
      </c>
      <c r="J2779" t="str">
        <f t="shared" si="175"/>
        <v>Large</v>
      </c>
    </row>
    <row r="2780" spans="1:10" x14ac:dyDescent="0.25">
      <c r="A2780" t="s">
        <v>55</v>
      </c>
      <c r="B2780" t="s">
        <v>21</v>
      </c>
      <c r="C2780" t="s">
        <v>8</v>
      </c>
      <c r="D2780" s="1">
        <v>45309</v>
      </c>
      <c r="E2780" s="2">
        <v>9471.7199999999993</v>
      </c>
      <c r="F2780">
        <v>248</v>
      </c>
      <c r="G2780" s="2">
        <f t="shared" si="172"/>
        <v>38.192419354838705</v>
      </c>
      <c r="H2780" t="str">
        <f t="shared" si="173"/>
        <v>January</v>
      </c>
      <c r="I2780" t="str">
        <f t="shared" si="174"/>
        <v>Q1</v>
      </c>
      <c r="J2780" t="str">
        <f t="shared" si="175"/>
        <v>Large</v>
      </c>
    </row>
    <row r="2781" spans="1:10" x14ac:dyDescent="0.25">
      <c r="A2781" t="s">
        <v>9</v>
      </c>
      <c r="B2781" t="s">
        <v>21</v>
      </c>
      <c r="C2781" t="s">
        <v>42</v>
      </c>
      <c r="D2781" s="1">
        <v>45308</v>
      </c>
      <c r="E2781" s="2">
        <v>3400.47</v>
      </c>
      <c r="F2781">
        <v>92</v>
      </c>
      <c r="G2781" s="2">
        <f t="shared" si="172"/>
        <v>36.961630434782606</v>
      </c>
      <c r="H2781" t="str">
        <f t="shared" si="173"/>
        <v>January</v>
      </c>
      <c r="I2781" t="str">
        <f t="shared" si="174"/>
        <v>Q1</v>
      </c>
      <c r="J2781" t="str">
        <f t="shared" si="175"/>
        <v>Large</v>
      </c>
    </row>
    <row r="2782" spans="1:10" x14ac:dyDescent="0.25">
      <c r="A2782" t="s">
        <v>48</v>
      </c>
      <c r="B2782" t="s">
        <v>21</v>
      </c>
      <c r="C2782" t="s">
        <v>8</v>
      </c>
      <c r="D2782" s="1">
        <v>45337</v>
      </c>
      <c r="E2782" s="2">
        <v>10696.21</v>
      </c>
      <c r="F2782">
        <v>201</v>
      </c>
      <c r="G2782" s="2">
        <f t="shared" si="172"/>
        <v>53.214975124378107</v>
      </c>
      <c r="H2782" t="str">
        <f t="shared" si="173"/>
        <v>February</v>
      </c>
      <c r="I2782" t="str">
        <f t="shared" si="174"/>
        <v>Q1</v>
      </c>
      <c r="J2782" t="str">
        <f t="shared" si="175"/>
        <v>Large</v>
      </c>
    </row>
    <row r="2783" spans="1:10" x14ac:dyDescent="0.25">
      <c r="A2783" t="s">
        <v>48</v>
      </c>
      <c r="B2783" t="s">
        <v>7</v>
      </c>
      <c r="C2783" t="s">
        <v>37</v>
      </c>
      <c r="D2783" s="1">
        <v>45333</v>
      </c>
      <c r="E2783" s="2">
        <v>17101.669999999998</v>
      </c>
      <c r="F2783">
        <v>307</v>
      </c>
      <c r="G2783" s="2">
        <f t="shared" si="172"/>
        <v>55.705765472312699</v>
      </c>
      <c r="H2783" t="str">
        <f t="shared" si="173"/>
        <v>February</v>
      </c>
      <c r="I2783" t="str">
        <f t="shared" si="174"/>
        <v>Q1</v>
      </c>
      <c r="J2783" t="str">
        <f t="shared" si="175"/>
        <v>Large</v>
      </c>
    </row>
    <row r="2784" spans="1:10" x14ac:dyDescent="0.25">
      <c r="A2784" t="s">
        <v>50</v>
      </c>
      <c r="B2784" t="s">
        <v>26</v>
      </c>
      <c r="C2784" t="s">
        <v>45</v>
      </c>
      <c r="D2784" s="1">
        <v>45372</v>
      </c>
      <c r="E2784" s="2">
        <v>18936.88</v>
      </c>
      <c r="F2784">
        <v>180</v>
      </c>
      <c r="G2784" s="2">
        <f t="shared" si="172"/>
        <v>105.20488888888889</v>
      </c>
      <c r="H2784" t="str">
        <f t="shared" si="173"/>
        <v>March</v>
      </c>
      <c r="I2784" t="str">
        <f t="shared" si="174"/>
        <v>Q1</v>
      </c>
      <c r="J2784" t="str">
        <f t="shared" si="175"/>
        <v>Large</v>
      </c>
    </row>
    <row r="2785" spans="1:10" x14ac:dyDescent="0.25">
      <c r="A2785" t="s">
        <v>19</v>
      </c>
      <c r="B2785" t="s">
        <v>21</v>
      </c>
      <c r="C2785" t="s">
        <v>47</v>
      </c>
      <c r="D2785" s="1">
        <v>45296</v>
      </c>
      <c r="E2785" s="2">
        <v>6015.37</v>
      </c>
      <c r="F2785">
        <v>136</v>
      </c>
      <c r="G2785" s="2">
        <f t="shared" si="172"/>
        <v>44.230661764705879</v>
      </c>
      <c r="H2785" t="str">
        <f t="shared" si="173"/>
        <v>January</v>
      </c>
      <c r="I2785" t="str">
        <f t="shared" si="174"/>
        <v>Q1</v>
      </c>
      <c r="J2785" t="str">
        <f t="shared" si="175"/>
        <v>Large</v>
      </c>
    </row>
    <row r="2786" spans="1:10" x14ac:dyDescent="0.25">
      <c r="A2786" t="s">
        <v>23</v>
      </c>
      <c r="B2786" t="s">
        <v>10</v>
      </c>
      <c r="C2786" t="s">
        <v>51</v>
      </c>
      <c r="D2786" s="1">
        <v>45442</v>
      </c>
      <c r="E2786" s="2">
        <v>7623.58</v>
      </c>
      <c r="F2786">
        <v>162</v>
      </c>
      <c r="G2786" s="2">
        <f t="shared" si="172"/>
        <v>47.059135802469136</v>
      </c>
      <c r="H2786" t="str">
        <f t="shared" si="173"/>
        <v>May</v>
      </c>
      <c r="I2786" t="str">
        <f t="shared" si="174"/>
        <v>Q2</v>
      </c>
      <c r="J2786" t="str">
        <f t="shared" si="175"/>
        <v>Large</v>
      </c>
    </row>
    <row r="2787" spans="1:10" x14ac:dyDescent="0.25">
      <c r="A2787" t="s">
        <v>6</v>
      </c>
      <c r="B2787" t="s">
        <v>26</v>
      </c>
      <c r="C2787" t="s">
        <v>18</v>
      </c>
      <c r="D2787" s="1">
        <v>45295</v>
      </c>
      <c r="E2787" s="2">
        <v>2996.83</v>
      </c>
      <c r="F2787">
        <v>227</v>
      </c>
      <c r="G2787" s="2">
        <f t="shared" si="172"/>
        <v>13.201894273127753</v>
      </c>
      <c r="H2787" t="str">
        <f t="shared" si="173"/>
        <v>January</v>
      </c>
      <c r="I2787" t="str">
        <f t="shared" si="174"/>
        <v>Q1</v>
      </c>
      <c r="J2787" t="str">
        <f t="shared" si="175"/>
        <v>Large</v>
      </c>
    </row>
    <row r="2788" spans="1:10" x14ac:dyDescent="0.25">
      <c r="A2788" t="s">
        <v>34</v>
      </c>
      <c r="B2788" t="s">
        <v>15</v>
      </c>
      <c r="C2788" t="s">
        <v>42</v>
      </c>
      <c r="D2788" s="1">
        <v>45404</v>
      </c>
      <c r="E2788" s="2">
        <v>1718.97</v>
      </c>
      <c r="F2788">
        <v>260</v>
      </c>
      <c r="G2788" s="2">
        <f t="shared" si="172"/>
        <v>6.6114230769230771</v>
      </c>
      <c r="H2788" t="str">
        <f t="shared" si="173"/>
        <v>April</v>
      </c>
      <c r="I2788" t="str">
        <f t="shared" si="174"/>
        <v>Q2</v>
      </c>
      <c r="J2788" t="str">
        <f t="shared" si="175"/>
        <v>Large</v>
      </c>
    </row>
    <row r="2789" spans="1:10" x14ac:dyDescent="0.25">
      <c r="A2789" t="s">
        <v>12</v>
      </c>
      <c r="B2789" t="s">
        <v>29</v>
      </c>
      <c r="C2789" t="s">
        <v>37</v>
      </c>
      <c r="D2789" s="1">
        <v>45332</v>
      </c>
      <c r="E2789" s="2">
        <v>3523.33</v>
      </c>
      <c r="F2789">
        <v>114</v>
      </c>
      <c r="G2789" s="2">
        <f t="shared" si="172"/>
        <v>30.90640350877193</v>
      </c>
      <c r="H2789" t="str">
        <f t="shared" si="173"/>
        <v>February</v>
      </c>
      <c r="I2789" t="str">
        <f t="shared" si="174"/>
        <v>Q1</v>
      </c>
      <c r="J2789" t="str">
        <f t="shared" si="175"/>
        <v>Large</v>
      </c>
    </row>
    <row r="2790" spans="1:10" x14ac:dyDescent="0.25">
      <c r="A2790" t="s">
        <v>54</v>
      </c>
      <c r="B2790" t="s">
        <v>10</v>
      </c>
      <c r="C2790" t="s">
        <v>39</v>
      </c>
      <c r="D2790" s="1">
        <v>45516</v>
      </c>
      <c r="E2790" s="2">
        <v>1092.3599999999999</v>
      </c>
      <c r="F2790">
        <v>209</v>
      </c>
      <c r="G2790" s="2">
        <f t="shared" si="172"/>
        <v>5.2266028708133963</v>
      </c>
      <c r="H2790" t="str">
        <f t="shared" si="173"/>
        <v>August</v>
      </c>
      <c r="I2790" t="str">
        <f t="shared" si="174"/>
        <v>Q3</v>
      </c>
      <c r="J2790" t="str">
        <f t="shared" si="175"/>
        <v>Large</v>
      </c>
    </row>
    <row r="2791" spans="1:10" x14ac:dyDescent="0.25">
      <c r="A2791" t="s">
        <v>19</v>
      </c>
      <c r="B2791" t="s">
        <v>26</v>
      </c>
      <c r="C2791" t="s">
        <v>35</v>
      </c>
      <c r="D2791" s="1">
        <v>45514</v>
      </c>
      <c r="E2791" s="2">
        <v>2495.71</v>
      </c>
      <c r="F2791">
        <v>310</v>
      </c>
      <c r="G2791" s="2">
        <f t="shared" si="172"/>
        <v>8.0506774193548392</v>
      </c>
      <c r="H2791" t="str">
        <f t="shared" si="173"/>
        <v>August</v>
      </c>
      <c r="I2791" t="str">
        <f t="shared" si="174"/>
        <v>Q3</v>
      </c>
      <c r="J2791" t="str">
        <f t="shared" si="175"/>
        <v>Large</v>
      </c>
    </row>
    <row r="2792" spans="1:10" x14ac:dyDescent="0.25">
      <c r="A2792" t="s">
        <v>49</v>
      </c>
      <c r="B2792" t="s">
        <v>15</v>
      </c>
      <c r="C2792" t="s">
        <v>51</v>
      </c>
      <c r="D2792" s="1">
        <v>45450</v>
      </c>
      <c r="E2792" s="2">
        <v>813.41</v>
      </c>
      <c r="F2792">
        <v>58</v>
      </c>
      <c r="G2792" s="2">
        <f t="shared" si="172"/>
        <v>14.024310344827585</v>
      </c>
      <c r="H2792" t="str">
        <f t="shared" si="173"/>
        <v>June</v>
      </c>
      <c r="I2792" t="str">
        <f t="shared" si="174"/>
        <v>Q2</v>
      </c>
      <c r="J2792" t="str">
        <f t="shared" si="175"/>
        <v>Large</v>
      </c>
    </row>
    <row r="2793" spans="1:10" x14ac:dyDescent="0.25">
      <c r="A2793" t="s">
        <v>6</v>
      </c>
      <c r="B2793" t="s">
        <v>10</v>
      </c>
      <c r="C2793" t="s">
        <v>56</v>
      </c>
      <c r="D2793" s="1">
        <v>45449</v>
      </c>
      <c r="E2793" s="2">
        <v>2489.06</v>
      </c>
      <c r="F2793">
        <v>81</v>
      </c>
      <c r="G2793" s="2">
        <f t="shared" si="172"/>
        <v>30.729135802469134</v>
      </c>
      <c r="H2793" t="str">
        <f t="shared" si="173"/>
        <v>June</v>
      </c>
      <c r="I2793" t="str">
        <f t="shared" si="174"/>
        <v>Q2</v>
      </c>
      <c r="J2793" t="str">
        <f t="shared" si="175"/>
        <v>Large</v>
      </c>
    </row>
    <row r="2794" spans="1:10" x14ac:dyDescent="0.25">
      <c r="A2794" t="s">
        <v>31</v>
      </c>
      <c r="B2794" t="s">
        <v>21</v>
      </c>
      <c r="C2794" t="s">
        <v>56</v>
      </c>
      <c r="D2794" s="1">
        <v>45387</v>
      </c>
      <c r="E2794" s="2">
        <v>5701.35</v>
      </c>
      <c r="F2794">
        <v>201</v>
      </c>
      <c r="G2794" s="2">
        <f t="shared" si="172"/>
        <v>28.36492537313433</v>
      </c>
      <c r="H2794" t="str">
        <f t="shared" si="173"/>
        <v>April</v>
      </c>
      <c r="I2794" t="str">
        <f t="shared" si="174"/>
        <v>Q2</v>
      </c>
      <c r="J2794" t="str">
        <f t="shared" si="175"/>
        <v>Large</v>
      </c>
    </row>
    <row r="2795" spans="1:10" x14ac:dyDescent="0.25">
      <c r="A2795" t="s">
        <v>46</v>
      </c>
      <c r="B2795" t="s">
        <v>26</v>
      </c>
      <c r="C2795" t="s">
        <v>22</v>
      </c>
      <c r="D2795" s="1">
        <v>45400</v>
      </c>
      <c r="E2795" s="2">
        <v>5084.32</v>
      </c>
      <c r="F2795">
        <v>126</v>
      </c>
      <c r="G2795" s="2">
        <f t="shared" si="172"/>
        <v>40.351746031746032</v>
      </c>
      <c r="H2795" t="str">
        <f t="shared" si="173"/>
        <v>April</v>
      </c>
      <c r="I2795" t="str">
        <f t="shared" si="174"/>
        <v>Q2</v>
      </c>
      <c r="J2795" t="str">
        <f t="shared" si="175"/>
        <v>Large</v>
      </c>
    </row>
    <row r="2796" spans="1:10" x14ac:dyDescent="0.25">
      <c r="A2796" t="s">
        <v>48</v>
      </c>
      <c r="B2796" t="s">
        <v>10</v>
      </c>
      <c r="C2796" t="s">
        <v>22</v>
      </c>
      <c r="D2796" s="1">
        <v>45322</v>
      </c>
      <c r="E2796" s="2">
        <v>15789.48</v>
      </c>
      <c r="F2796">
        <v>16</v>
      </c>
      <c r="G2796" s="2">
        <f t="shared" si="172"/>
        <v>986.84249999999997</v>
      </c>
      <c r="H2796" t="str">
        <f t="shared" si="173"/>
        <v>January</v>
      </c>
      <c r="I2796" t="str">
        <f t="shared" si="174"/>
        <v>Q1</v>
      </c>
      <c r="J2796" t="str">
        <f t="shared" si="175"/>
        <v>Large</v>
      </c>
    </row>
    <row r="2797" spans="1:10" x14ac:dyDescent="0.25">
      <c r="A2797" t="s">
        <v>53</v>
      </c>
      <c r="B2797" t="s">
        <v>26</v>
      </c>
      <c r="C2797" t="s">
        <v>56</v>
      </c>
      <c r="D2797" s="1">
        <v>45526</v>
      </c>
      <c r="E2797" s="2">
        <v>6541.75</v>
      </c>
      <c r="F2797">
        <v>141</v>
      </c>
      <c r="G2797" s="2">
        <f t="shared" si="172"/>
        <v>46.395390070921984</v>
      </c>
      <c r="H2797" t="str">
        <f t="shared" si="173"/>
        <v>August</v>
      </c>
      <c r="I2797" t="str">
        <f t="shared" si="174"/>
        <v>Q3</v>
      </c>
      <c r="J2797" t="str">
        <f t="shared" si="175"/>
        <v>Large</v>
      </c>
    </row>
    <row r="2798" spans="1:10" x14ac:dyDescent="0.25">
      <c r="A2798" t="s">
        <v>6</v>
      </c>
      <c r="B2798" t="s">
        <v>15</v>
      </c>
      <c r="C2798" t="s">
        <v>18</v>
      </c>
      <c r="D2798" s="1">
        <v>45347</v>
      </c>
      <c r="E2798" s="2">
        <v>11409.11</v>
      </c>
      <c r="F2798">
        <v>217</v>
      </c>
      <c r="G2798" s="2">
        <f t="shared" si="172"/>
        <v>52.576543778801849</v>
      </c>
      <c r="H2798" t="str">
        <f t="shared" si="173"/>
        <v>February</v>
      </c>
      <c r="I2798" t="str">
        <f t="shared" si="174"/>
        <v>Q1</v>
      </c>
      <c r="J2798" t="str">
        <f t="shared" si="175"/>
        <v>Large</v>
      </c>
    </row>
    <row r="2799" spans="1:10" x14ac:dyDescent="0.25">
      <c r="A2799" t="s">
        <v>14</v>
      </c>
      <c r="B2799" t="s">
        <v>15</v>
      </c>
      <c r="C2799" t="s">
        <v>8</v>
      </c>
      <c r="D2799" s="1">
        <v>45344</v>
      </c>
      <c r="E2799" s="2">
        <v>19258.41</v>
      </c>
      <c r="F2799">
        <v>99</v>
      </c>
      <c r="G2799" s="2">
        <f t="shared" si="172"/>
        <v>194.52939393939394</v>
      </c>
      <c r="H2799" t="str">
        <f t="shared" si="173"/>
        <v>February</v>
      </c>
      <c r="I2799" t="str">
        <f t="shared" si="174"/>
        <v>Q1</v>
      </c>
      <c r="J2799" t="str">
        <f t="shared" si="175"/>
        <v>Large</v>
      </c>
    </row>
    <row r="2800" spans="1:10" x14ac:dyDescent="0.25">
      <c r="A2800" t="s">
        <v>17</v>
      </c>
      <c r="B2800" t="s">
        <v>21</v>
      </c>
      <c r="C2800" t="s">
        <v>37</v>
      </c>
      <c r="D2800" s="1">
        <v>45303</v>
      </c>
      <c r="E2800" s="2">
        <v>5074.8599999999997</v>
      </c>
      <c r="F2800">
        <v>201</v>
      </c>
      <c r="G2800" s="2">
        <f t="shared" si="172"/>
        <v>25.248059701492537</v>
      </c>
      <c r="H2800" t="str">
        <f t="shared" si="173"/>
        <v>January</v>
      </c>
      <c r="I2800" t="str">
        <f t="shared" si="174"/>
        <v>Q1</v>
      </c>
      <c r="J2800" t="str">
        <f t="shared" si="175"/>
        <v>Large</v>
      </c>
    </row>
    <row r="2801" spans="1:10" x14ac:dyDescent="0.25">
      <c r="A2801" t="s">
        <v>23</v>
      </c>
      <c r="B2801" t="s">
        <v>7</v>
      </c>
      <c r="C2801" t="s">
        <v>47</v>
      </c>
      <c r="D2801" s="1">
        <v>45437</v>
      </c>
      <c r="E2801" s="2">
        <v>115.9</v>
      </c>
      <c r="F2801">
        <v>120</v>
      </c>
      <c r="G2801" s="2">
        <f t="shared" si="172"/>
        <v>0.96583333333333343</v>
      </c>
      <c r="H2801" t="str">
        <f t="shared" si="173"/>
        <v>May</v>
      </c>
      <c r="I2801" t="str">
        <f t="shared" si="174"/>
        <v>Q2</v>
      </c>
      <c r="J2801" t="str">
        <f t="shared" si="175"/>
        <v>Small</v>
      </c>
    </row>
    <row r="2802" spans="1:10" x14ac:dyDescent="0.25">
      <c r="A2802" t="s">
        <v>49</v>
      </c>
      <c r="B2802" t="s">
        <v>10</v>
      </c>
      <c r="C2802" t="s">
        <v>16</v>
      </c>
      <c r="D2802" s="1">
        <v>45323</v>
      </c>
      <c r="E2802" s="2">
        <v>2797.19</v>
      </c>
      <c r="F2802">
        <v>9</v>
      </c>
      <c r="G2802" s="2">
        <f t="shared" si="172"/>
        <v>310.79888888888888</v>
      </c>
      <c r="H2802" t="str">
        <f t="shared" si="173"/>
        <v>February</v>
      </c>
      <c r="I2802" t="str">
        <f t="shared" si="174"/>
        <v>Q1</v>
      </c>
      <c r="J2802" t="str">
        <f t="shared" si="175"/>
        <v>Large</v>
      </c>
    </row>
    <row r="2803" spans="1:10" x14ac:dyDescent="0.25">
      <c r="A2803" t="s">
        <v>24</v>
      </c>
      <c r="B2803" t="s">
        <v>7</v>
      </c>
      <c r="C2803" t="s">
        <v>30</v>
      </c>
      <c r="D2803" s="1">
        <v>45409</v>
      </c>
      <c r="E2803" s="2">
        <v>1608.04</v>
      </c>
      <c r="F2803">
        <v>75</v>
      </c>
      <c r="G2803" s="2">
        <f t="shared" si="172"/>
        <v>21.440533333333335</v>
      </c>
      <c r="H2803" t="str">
        <f t="shared" si="173"/>
        <v>April</v>
      </c>
      <c r="I2803" t="str">
        <f t="shared" si="174"/>
        <v>Q2</v>
      </c>
      <c r="J2803" t="str">
        <f t="shared" si="175"/>
        <v>Large</v>
      </c>
    </row>
    <row r="2804" spans="1:10" x14ac:dyDescent="0.25">
      <c r="A2804" t="s">
        <v>12</v>
      </c>
      <c r="B2804" t="s">
        <v>26</v>
      </c>
      <c r="C2804" t="s">
        <v>16</v>
      </c>
      <c r="D2804" s="1">
        <v>45495</v>
      </c>
      <c r="E2804" s="2">
        <v>2960.99</v>
      </c>
      <c r="F2804">
        <v>133</v>
      </c>
      <c r="G2804" s="2">
        <f t="shared" si="172"/>
        <v>22.263082706766916</v>
      </c>
      <c r="H2804" t="str">
        <f t="shared" si="173"/>
        <v>July</v>
      </c>
      <c r="I2804" t="str">
        <f t="shared" si="174"/>
        <v>Q3</v>
      </c>
      <c r="J2804" t="str">
        <f t="shared" si="175"/>
        <v>Large</v>
      </c>
    </row>
    <row r="2805" spans="1:10" x14ac:dyDescent="0.25">
      <c r="A2805" t="s">
        <v>38</v>
      </c>
      <c r="B2805" t="s">
        <v>21</v>
      </c>
      <c r="C2805" t="s">
        <v>8</v>
      </c>
      <c r="D2805" s="1">
        <v>45317</v>
      </c>
      <c r="E2805" s="2">
        <v>3703.51</v>
      </c>
      <c r="F2805">
        <v>260</v>
      </c>
      <c r="G2805" s="2">
        <f t="shared" si="172"/>
        <v>14.244269230769232</v>
      </c>
      <c r="H2805" t="str">
        <f t="shared" si="173"/>
        <v>January</v>
      </c>
      <c r="I2805" t="str">
        <f t="shared" si="174"/>
        <v>Q1</v>
      </c>
      <c r="J2805" t="str">
        <f t="shared" si="175"/>
        <v>Large</v>
      </c>
    </row>
    <row r="2806" spans="1:10" x14ac:dyDescent="0.25">
      <c r="A2806" t="s">
        <v>38</v>
      </c>
      <c r="B2806" t="s">
        <v>26</v>
      </c>
      <c r="C2806" t="s">
        <v>8</v>
      </c>
      <c r="D2806" s="1">
        <v>45528</v>
      </c>
      <c r="E2806" s="2">
        <v>5679.57</v>
      </c>
      <c r="F2806">
        <v>285</v>
      </c>
      <c r="G2806" s="2">
        <f t="shared" si="172"/>
        <v>19.928315789473682</v>
      </c>
      <c r="H2806" t="str">
        <f t="shared" si="173"/>
        <v>August</v>
      </c>
      <c r="I2806" t="str">
        <f t="shared" si="174"/>
        <v>Q3</v>
      </c>
      <c r="J2806" t="str">
        <f t="shared" si="175"/>
        <v>Large</v>
      </c>
    </row>
    <row r="2807" spans="1:10" x14ac:dyDescent="0.25">
      <c r="A2807" t="s">
        <v>53</v>
      </c>
      <c r="B2807" t="s">
        <v>21</v>
      </c>
      <c r="C2807" t="s">
        <v>42</v>
      </c>
      <c r="D2807" s="1">
        <v>45309</v>
      </c>
      <c r="E2807" s="2">
        <v>6764.17</v>
      </c>
      <c r="F2807">
        <v>20</v>
      </c>
      <c r="G2807" s="2">
        <f t="shared" si="172"/>
        <v>338.20850000000002</v>
      </c>
      <c r="H2807" t="str">
        <f t="shared" si="173"/>
        <v>January</v>
      </c>
      <c r="I2807" t="str">
        <f t="shared" si="174"/>
        <v>Q1</v>
      </c>
      <c r="J2807" t="str">
        <f t="shared" si="175"/>
        <v>Large</v>
      </c>
    </row>
    <row r="2808" spans="1:10" x14ac:dyDescent="0.25">
      <c r="A2808" t="s">
        <v>31</v>
      </c>
      <c r="B2808" t="s">
        <v>10</v>
      </c>
      <c r="C2808" t="s">
        <v>11</v>
      </c>
      <c r="D2808" s="1">
        <v>45381</v>
      </c>
      <c r="E2808" s="2">
        <v>1108.8499999999999</v>
      </c>
      <c r="F2808">
        <v>87</v>
      </c>
      <c r="G2808" s="2">
        <f t="shared" si="172"/>
        <v>12.745402298850573</v>
      </c>
      <c r="H2808" t="str">
        <f t="shared" si="173"/>
        <v>March</v>
      </c>
      <c r="I2808" t="str">
        <f t="shared" si="174"/>
        <v>Q1</v>
      </c>
      <c r="J2808" t="str">
        <f t="shared" si="175"/>
        <v>Large</v>
      </c>
    </row>
    <row r="2809" spans="1:10" x14ac:dyDescent="0.25">
      <c r="A2809" t="s">
        <v>55</v>
      </c>
      <c r="B2809" t="s">
        <v>15</v>
      </c>
      <c r="C2809" t="s">
        <v>57</v>
      </c>
      <c r="D2809" s="1">
        <v>45308</v>
      </c>
      <c r="E2809" s="2">
        <v>9477.32</v>
      </c>
      <c r="F2809">
        <v>160</v>
      </c>
      <c r="G2809" s="2">
        <f t="shared" si="172"/>
        <v>59.233249999999998</v>
      </c>
      <c r="H2809" t="str">
        <f t="shared" si="173"/>
        <v>January</v>
      </c>
      <c r="I2809" t="str">
        <f t="shared" si="174"/>
        <v>Q1</v>
      </c>
      <c r="J2809" t="str">
        <f t="shared" si="175"/>
        <v>Large</v>
      </c>
    </row>
    <row r="2810" spans="1:10" x14ac:dyDescent="0.25">
      <c r="A2810" t="s">
        <v>49</v>
      </c>
      <c r="B2810" t="s">
        <v>26</v>
      </c>
      <c r="C2810" t="s">
        <v>42</v>
      </c>
      <c r="D2810" s="1">
        <v>45339</v>
      </c>
      <c r="E2810" s="2">
        <v>5301.93</v>
      </c>
      <c r="F2810">
        <v>155</v>
      </c>
      <c r="G2810" s="2">
        <f t="shared" si="172"/>
        <v>34.206000000000003</v>
      </c>
      <c r="H2810" t="str">
        <f t="shared" si="173"/>
        <v>February</v>
      </c>
      <c r="I2810" t="str">
        <f t="shared" si="174"/>
        <v>Q1</v>
      </c>
      <c r="J2810" t="str">
        <f t="shared" si="175"/>
        <v>Large</v>
      </c>
    </row>
    <row r="2811" spans="1:10" x14ac:dyDescent="0.25">
      <c r="A2811" t="s">
        <v>49</v>
      </c>
      <c r="B2811" t="s">
        <v>29</v>
      </c>
      <c r="C2811" t="s">
        <v>13</v>
      </c>
      <c r="D2811" s="1">
        <v>45390</v>
      </c>
      <c r="E2811" s="2">
        <v>8041.25</v>
      </c>
      <c r="F2811">
        <v>43</v>
      </c>
      <c r="G2811" s="2">
        <f t="shared" si="172"/>
        <v>187.00581395348837</v>
      </c>
      <c r="H2811" t="str">
        <f t="shared" si="173"/>
        <v>April</v>
      </c>
      <c r="I2811" t="str">
        <f t="shared" si="174"/>
        <v>Q2</v>
      </c>
      <c r="J2811" t="str">
        <f t="shared" si="175"/>
        <v>Large</v>
      </c>
    </row>
    <row r="2812" spans="1:10" x14ac:dyDescent="0.25">
      <c r="A2812" t="s">
        <v>12</v>
      </c>
      <c r="B2812" t="s">
        <v>29</v>
      </c>
      <c r="C2812" t="s">
        <v>32</v>
      </c>
      <c r="D2812" s="1">
        <v>45479</v>
      </c>
      <c r="E2812" s="2">
        <v>3716.17</v>
      </c>
      <c r="F2812">
        <v>89</v>
      </c>
      <c r="G2812" s="2">
        <f t="shared" si="172"/>
        <v>41.754719101123598</v>
      </c>
      <c r="H2812" t="str">
        <f t="shared" si="173"/>
        <v>July</v>
      </c>
      <c r="I2812" t="str">
        <f t="shared" si="174"/>
        <v>Q3</v>
      </c>
      <c r="J2812" t="str">
        <f t="shared" si="175"/>
        <v>Large</v>
      </c>
    </row>
    <row r="2813" spans="1:10" x14ac:dyDescent="0.25">
      <c r="A2813" t="s">
        <v>40</v>
      </c>
      <c r="B2813" t="s">
        <v>10</v>
      </c>
      <c r="C2813" t="s">
        <v>42</v>
      </c>
      <c r="D2813" s="1">
        <v>45386</v>
      </c>
      <c r="E2813" s="2">
        <v>4591.7700000000004</v>
      </c>
      <c r="F2813">
        <v>222</v>
      </c>
      <c r="G2813" s="2">
        <f t="shared" si="172"/>
        <v>20.683648648648649</v>
      </c>
      <c r="H2813" t="str">
        <f t="shared" si="173"/>
        <v>April</v>
      </c>
      <c r="I2813" t="str">
        <f t="shared" si="174"/>
        <v>Q2</v>
      </c>
      <c r="J2813" t="str">
        <f t="shared" si="175"/>
        <v>Large</v>
      </c>
    </row>
    <row r="2814" spans="1:10" x14ac:dyDescent="0.25">
      <c r="A2814" t="s">
        <v>14</v>
      </c>
      <c r="B2814" t="s">
        <v>21</v>
      </c>
      <c r="C2814" t="s">
        <v>35</v>
      </c>
      <c r="D2814" s="1">
        <v>45353</v>
      </c>
      <c r="E2814" s="2">
        <v>1928.33</v>
      </c>
      <c r="F2814">
        <v>217</v>
      </c>
      <c r="G2814" s="2">
        <f t="shared" si="172"/>
        <v>8.8863133640552991</v>
      </c>
      <c r="H2814" t="str">
        <f t="shared" si="173"/>
        <v>March</v>
      </c>
      <c r="I2814" t="str">
        <f t="shared" si="174"/>
        <v>Q1</v>
      </c>
      <c r="J2814" t="str">
        <f t="shared" si="175"/>
        <v>Large</v>
      </c>
    </row>
    <row r="2815" spans="1:10" x14ac:dyDescent="0.25">
      <c r="A2815" t="s">
        <v>12</v>
      </c>
      <c r="B2815" t="s">
        <v>21</v>
      </c>
      <c r="C2815" t="s">
        <v>51</v>
      </c>
      <c r="D2815" s="1">
        <v>45513</v>
      </c>
      <c r="E2815" s="2">
        <v>1225.1199999999999</v>
      </c>
      <c r="F2815">
        <v>186</v>
      </c>
      <c r="G2815" s="2">
        <f t="shared" si="172"/>
        <v>6.586666666666666</v>
      </c>
      <c r="H2815" t="str">
        <f t="shared" si="173"/>
        <v>August</v>
      </c>
      <c r="I2815" t="str">
        <f t="shared" si="174"/>
        <v>Q3</v>
      </c>
      <c r="J2815" t="str">
        <f t="shared" si="175"/>
        <v>Large</v>
      </c>
    </row>
    <row r="2816" spans="1:10" x14ac:dyDescent="0.25">
      <c r="A2816" t="s">
        <v>43</v>
      </c>
      <c r="B2816" t="s">
        <v>15</v>
      </c>
      <c r="C2816" t="s">
        <v>37</v>
      </c>
      <c r="D2816" s="1">
        <v>45452</v>
      </c>
      <c r="E2816" s="2">
        <v>11326.55</v>
      </c>
      <c r="F2816">
        <v>296</v>
      </c>
      <c r="G2816" s="2">
        <f t="shared" si="172"/>
        <v>38.265371621621618</v>
      </c>
      <c r="H2816" t="str">
        <f t="shared" si="173"/>
        <v>June</v>
      </c>
      <c r="I2816" t="str">
        <f t="shared" si="174"/>
        <v>Q2</v>
      </c>
      <c r="J2816" t="str">
        <f t="shared" si="175"/>
        <v>Large</v>
      </c>
    </row>
    <row r="2817" spans="1:10" x14ac:dyDescent="0.25">
      <c r="A2817" t="s">
        <v>55</v>
      </c>
      <c r="B2817" t="s">
        <v>7</v>
      </c>
      <c r="C2817" t="s">
        <v>57</v>
      </c>
      <c r="D2817" s="1">
        <v>45445</v>
      </c>
      <c r="E2817" s="2">
        <v>3063.08</v>
      </c>
      <c r="F2817">
        <v>301</v>
      </c>
      <c r="G2817" s="2">
        <f t="shared" si="172"/>
        <v>10.176345514950166</v>
      </c>
      <c r="H2817" t="str">
        <f t="shared" si="173"/>
        <v>June</v>
      </c>
      <c r="I2817" t="str">
        <f t="shared" si="174"/>
        <v>Q2</v>
      </c>
      <c r="J2817" t="str">
        <f t="shared" si="175"/>
        <v>Large</v>
      </c>
    </row>
    <row r="2818" spans="1:10" x14ac:dyDescent="0.25">
      <c r="A2818" t="s">
        <v>9</v>
      </c>
      <c r="B2818" t="s">
        <v>26</v>
      </c>
      <c r="C2818" t="s">
        <v>42</v>
      </c>
      <c r="D2818" s="1">
        <v>45478</v>
      </c>
      <c r="E2818" s="2">
        <v>7093.33</v>
      </c>
      <c r="F2818">
        <v>233</v>
      </c>
      <c r="G2818" s="2">
        <f t="shared" si="172"/>
        <v>30.443476394849785</v>
      </c>
      <c r="H2818" t="str">
        <f t="shared" si="173"/>
        <v>July</v>
      </c>
      <c r="I2818" t="str">
        <f t="shared" si="174"/>
        <v>Q3</v>
      </c>
      <c r="J2818" t="str">
        <f t="shared" si="175"/>
        <v>Large</v>
      </c>
    </row>
    <row r="2819" spans="1:10" x14ac:dyDescent="0.25">
      <c r="A2819" t="s">
        <v>48</v>
      </c>
      <c r="B2819" t="s">
        <v>29</v>
      </c>
      <c r="C2819" t="s">
        <v>30</v>
      </c>
      <c r="D2819" s="1">
        <v>45515</v>
      </c>
      <c r="E2819" s="2">
        <v>337.37</v>
      </c>
      <c r="F2819">
        <v>120</v>
      </c>
      <c r="G2819" s="2">
        <f t="shared" ref="G2819:G2882" si="176">E2819/F2819</f>
        <v>2.8114166666666667</v>
      </c>
      <c r="H2819" t="str">
        <f t="shared" ref="H2819:H2882" si="177">TEXT(D2819, "mmmm")</f>
        <v>August</v>
      </c>
      <c r="I2819" t="str">
        <f t="shared" ref="I2819:I2882" si="178">"Q" &amp; ROUNDUP(MONTH(D2819)/3,0)</f>
        <v>Q3</v>
      </c>
      <c r="J2819" t="str">
        <f t="shared" ref="J2819:J2882" si="179">IF(E2819 &gt; 500, "Large", "Small")</f>
        <v>Small</v>
      </c>
    </row>
    <row r="2820" spans="1:10" x14ac:dyDescent="0.25">
      <c r="A2820" t="s">
        <v>53</v>
      </c>
      <c r="B2820" t="s">
        <v>10</v>
      </c>
      <c r="C2820" t="s">
        <v>52</v>
      </c>
      <c r="D2820" s="1">
        <v>45333</v>
      </c>
      <c r="E2820" s="2">
        <v>3764.59</v>
      </c>
      <c r="F2820">
        <v>158</v>
      </c>
      <c r="G2820" s="2">
        <f t="shared" si="176"/>
        <v>23.826518987341775</v>
      </c>
      <c r="H2820" t="str">
        <f t="shared" si="177"/>
        <v>February</v>
      </c>
      <c r="I2820" t="str">
        <f t="shared" si="178"/>
        <v>Q1</v>
      </c>
      <c r="J2820" t="str">
        <f t="shared" si="179"/>
        <v>Large</v>
      </c>
    </row>
    <row r="2821" spans="1:10" x14ac:dyDescent="0.25">
      <c r="A2821" t="s">
        <v>49</v>
      </c>
      <c r="B2821" t="s">
        <v>21</v>
      </c>
      <c r="C2821" t="s">
        <v>39</v>
      </c>
      <c r="D2821" s="1">
        <v>45515</v>
      </c>
      <c r="E2821" s="2">
        <v>695.32</v>
      </c>
      <c r="F2821">
        <v>68</v>
      </c>
      <c r="G2821" s="2">
        <f t="shared" si="176"/>
        <v>10.22529411764706</v>
      </c>
      <c r="H2821" t="str">
        <f t="shared" si="177"/>
        <v>August</v>
      </c>
      <c r="I2821" t="str">
        <f t="shared" si="178"/>
        <v>Q3</v>
      </c>
      <c r="J2821" t="str">
        <f t="shared" si="179"/>
        <v>Large</v>
      </c>
    </row>
    <row r="2822" spans="1:10" x14ac:dyDescent="0.25">
      <c r="A2822" t="s">
        <v>36</v>
      </c>
      <c r="B2822" t="s">
        <v>15</v>
      </c>
      <c r="C2822" t="s">
        <v>32</v>
      </c>
      <c r="D2822" s="1">
        <v>45424</v>
      </c>
      <c r="E2822" s="2">
        <v>14609.99</v>
      </c>
      <c r="F2822">
        <v>111</v>
      </c>
      <c r="G2822" s="2">
        <f t="shared" si="176"/>
        <v>131.62153153153153</v>
      </c>
      <c r="H2822" t="str">
        <f t="shared" si="177"/>
        <v>May</v>
      </c>
      <c r="I2822" t="str">
        <f t="shared" si="178"/>
        <v>Q2</v>
      </c>
      <c r="J2822" t="str">
        <f t="shared" si="179"/>
        <v>Large</v>
      </c>
    </row>
    <row r="2823" spans="1:10" x14ac:dyDescent="0.25">
      <c r="A2823" t="s">
        <v>46</v>
      </c>
      <c r="B2823" t="s">
        <v>26</v>
      </c>
      <c r="C2823" t="s">
        <v>37</v>
      </c>
      <c r="D2823" s="1">
        <v>45488</v>
      </c>
      <c r="E2823" s="2">
        <v>5298.68</v>
      </c>
      <c r="F2823">
        <v>96</v>
      </c>
      <c r="G2823" s="2">
        <f t="shared" si="176"/>
        <v>55.194583333333334</v>
      </c>
      <c r="H2823" t="str">
        <f t="shared" si="177"/>
        <v>July</v>
      </c>
      <c r="I2823" t="str">
        <f t="shared" si="178"/>
        <v>Q3</v>
      </c>
      <c r="J2823" t="str">
        <f t="shared" si="179"/>
        <v>Large</v>
      </c>
    </row>
    <row r="2824" spans="1:10" x14ac:dyDescent="0.25">
      <c r="A2824" t="s">
        <v>48</v>
      </c>
      <c r="B2824" t="s">
        <v>10</v>
      </c>
      <c r="C2824" t="s">
        <v>35</v>
      </c>
      <c r="D2824" s="1">
        <v>45309</v>
      </c>
      <c r="E2824" s="2">
        <v>4552.3</v>
      </c>
      <c r="F2824">
        <v>132</v>
      </c>
      <c r="G2824" s="2">
        <f t="shared" si="176"/>
        <v>34.487121212121217</v>
      </c>
      <c r="H2824" t="str">
        <f t="shared" si="177"/>
        <v>January</v>
      </c>
      <c r="I2824" t="str">
        <f t="shared" si="178"/>
        <v>Q1</v>
      </c>
      <c r="J2824" t="str">
        <f t="shared" si="179"/>
        <v>Large</v>
      </c>
    </row>
    <row r="2825" spans="1:10" x14ac:dyDescent="0.25">
      <c r="A2825" t="s">
        <v>53</v>
      </c>
      <c r="B2825" t="s">
        <v>7</v>
      </c>
      <c r="C2825" t="s">
        <v>42</v>
      </c>
      <c r="D2825" s="1">
        <v>45296</v>
      </c>
      <c r="E2825" s="2">
        <v>9099.26</v>
      </c>
      <c r="F2825">
        <v>199</v>
      </c>
      <c r="G2825" s="2">
        <f t="shared" si="176"/>
        <v>45.724924623115577</v>
      </c>
      <c r="H2825" t="str">
        <f t="shared" si="177"/>
        <v>January</v>
      </c>
      <c r="I2825" t="str">
        <f t="shared" si="178"/>
        <v>Q1</v>
      </c>
      <c r="J2825" t="str">
        <f t="shared" si="179"/>
        <v>Large</v>
      </c>
    </row>
    <row r="2826" spans="1:10" x14ac:dyDescent="0.25">
      <c r="A2826" t="s">
        <v>38</v>
      </c>
      <c r="B2826" t="s">
        <v>15</v>
      </c>
      <c r="C2826" t="s">
        <v>22</v>
      </c>
      <c r="D2826" s="1">
        <v>45472</v>
      </c>
      <c r="E2826" s="2">
        <v>603.97</v>
      </c>
      <c r="F2826">
        <v>239</v>
      </c>
      <c r="G2826" s="2">
        <f t="shared" si="176"/>
        <v>2.5270711297071129</v>
      </c>
      <c r="H2826" t="str">
        <f t="shared" si="177"/>
        <v>June</v>
      </c>
      <c r="I2826" t="str">
        <f t="shared" si="178"/>
        <v>Q2</v>
      </c>
      <c r="J2826" t="str">
        <f t="shared" si="179"/>
        <v>Large</v>
      </c>
    </row>
    <row r="2827" spans="1:10" x14ac:dyDescent="0.25">
      <c r="A2827" t="s">
        <v>23</v>
      </c>
      <c r="B2827" t="s">
        <v>29</v>
      </c>
      <c r="C2827" t="s">
        <v>51</v>
      </c>
      <c r="D2827" s="1">
        <v>45457</v>
      </c>
      <c r="E2827" s="2">
        <v>3172.23</v>
      </c>
      <c r="F2827">
        <v>46</v>
      </c>
      <c r="G2827" s="2">
        <f t="shared" si="176"/>
        <v>68.961521739130433</v>
      </c>
      <c r="H2827" t="str">
        <f t="shared" si="177"/>
        <v>June</v>
      </c>
      <c r="I2827" t="str">
        <f t="shared" si="178"/>
        <v>Q2</v>
      </c>
      <c r="J2827" t="str">
        <f t="shared" si="179"/>
        <v>Large</v>
      </c>
    </row>
    <row r="2828" spans="1:10" x14ac:dyDescent="0.25">
      <c r="A2828" t="s">
        <v>19</v>
      </c>
      <c r="B2828" t="s">
        <v>10</v>
      </c>
      <c r="C2828" t="s">
        <v>8</v>
      </c>
      <c r="D2828" s="1">
        <v>45512</v>
      </c>
      <c r="E2828" s="2">
        <v>4737.32</v>
      </c>
      <c r="F2828">
        <v>74</v>
      </c>
      <c r="G2828" s="2">
        <f t="shared" si="176"/>
        <v>64.017837837837831</v>
      </c>
      <c r="H2828" t="str">
        <f t="shared" si="177"/>
        <v>August</v>
      </c>
      <c r="I2828" t="str">
        <f t="shared" si="178"/>
        <v>Q3</v>
      </c>
      <c r="J2828" t="str">
        <f t="shared" si="179"/>
        <v>Large</v>
      </c>
    </row>
    <row r="2829" spans="1:10" x14ac:dyDescent="0.25">
      <c r="A2829" t="s">
        <v>43</v>
      </c>
      <c r="B2829" t="s">
        <v>10</v>
      </c>
      <c r="C2829" t="s">
        <v>8</v>
      </c>
      <c r="D2829" s="1">
        <v>45374</v>
      </c>
      <c r="E2829" s="2">
        <v>15201.56</v>
      </c>
      <c r="F2829">
        <v>142</v>
      </c>
      <c r="G2829" s="2">
        <f t="shared" si="176"/>
        <v>107.05323943661972</v>
      </c>
      <c r="H2829" t="str">
        <f t="shared" si="177"/>
        <v>March</v>
      </c>
      <c r="I2829" t="str">
        <f t="shared" si="178"/>
        <v>Q1</v>
      </c>
      <c r="J2829" t="str">
        <f t="shared" si="179"/>
        <v>Large</v>
      </c>
    </row>
    <row r="2830" spans="1:10" x14ac:dyDescent="0.25">
      <c r="A2830" t="s">
        <v>25</v>
      </c>
      <c r="B2830" t="s">
        <v>10</v>
      </c>
      <c r="C2830" t="s">
        <v>57</v>
      </c>
      <c r="D2830" s="1">
        <v>45295</v>
      </c>
      <c r="E2830" s="2">
        <v>7912.62</v>
      </c>
      <c r="F2830">
        <v>106</v>
      </c>
      <c r="G2830" s="2">
        <f t="shared" si="176"/>
        <v>74.647358490566035</v>
      </c>
      <c r="H2830" t="str">
        <f t="shared" si="177"/>
        <v>January</v>
      </c>
      <c r="I2830" t="str">
        <f t="shared" si="178"/>
        <v>Q1</v>
      </c>
      <c r="J2830" t="str">
        <f t="shared" si="179"/>
        <v>Large</v>
      </c>
    </row>
    <row r="2831" spans="1:10" x14ac:dyDescent="0.25">
      <c r="A2831" t="s">
        <v>23</v>
      </c>
      <c r="B2831" t="s">
        <v>10</v>
      </c>
      <c r="C2831" t="s">
        <v>37</v>
      </c>
      <c r="D2831" s="1">
        <v>45344</v>
      </c>
      <c r="E2831" s="2">
        <v>14190.78</v>
      </c>
      <c r="F2831">
        <v>269</v>
      </c>
      <c r="G2831" s="2">
        <f t="shared" si="176"/>
        <v>52.753828996282529</v>
      </c>
      <c r="H2831" t="str">
        <f t="shared" si="177"/>
        <v>February</v>
      </c>
      <c r="I2831" t="str">
        <f t="shared" si="178"/>
        <v>Q1</v>
      </c>
      <c r="J2831" t="str">
        <f t="shared" si="179"/>
        <v>Large</v>
      </c>
    </row>
    <row r="2832" spans="1:10" x14ac:dyDescent="0.25">
      <c r="A2832" t="s">
        <v>34</v>
      </c>
      <c r="B2832" t="s">
        <v>7</v>
      </c>
      <c r="C2832" t="s">
        <v>39</v>
      </c>
      <c r="D2832" s="1">
        <v>45339</v>
      </c>
      <c r="E2832" s="2">
        <v>9327.08</v>
      </c>
      <c r="F2832">
        <v>259</v>
      </c>
      <c r="G2832" s="2">
        <f t="shared" si="176"/>
        <v>36.011891891891892</v>
      </c>
      <c r="H2832" t="str">
        <f t="shared" si="177"/>
        <v>February</v>
      </c>
      <c r="I2832" t="str">
        <f t="shared" si="178"/>
        <v>Q1</v>
      </c>
      <c r="J2832" t="str">
        <f t="shared" si="179"/>
        <v>Large</v>
      </c>
    </row>
    <row r="2833" spans="1:10" x14ac:dyDescent="0.25">
      <c r="A2833" t="s">
        <v>25</v>
      </c>
      <c r="B2833" t="s">
        <v>26</v>
      </c>
      <c r="C2833" t="s">
        <v>47</v>
      </c>
      <c r="D2833" s="1">
        <v>45325</v>
      </c>
      <c r="E2833" s="2">
        <v>434.42</v>
      </c>
      <c r="F2833">
        <v>83</v>
      </c>
      <c r="G2833" s="2">
        <f t="shared" si="176"/>
        <v>5.233975903614458</v>
      </c>
      <c r="H2833" t="str">
        <f t="shared" si="177"/>
        <v>February</v>
      </c>
      <c r="I2833" t="str">
        <f t="shared" si="178"/>
        <v>Q1</v>
      </c>
      <c r="J2833" t="str">
        <f t="shared" si="179"/>
        <v>Small</v>
      </c>
    </row>
    <row r="2834" spans="1:10" x14ac:dyDescent="0.25">
      <c r="A2834" t="s">
        <v>9</v>
      </c>
      <c r="B2834" t="s">
        <v>29</v>
      </c>
      <c r="C2834" t="s">
        <v>51</v>
      </c>
      <c r="D2834" s="1">
        <v>45368</v>
      </c>
      <c r="E2834" s="2">
        <v>1497.58</v>
      </c>
      <c r="F2834">
        <v>132</v>
      </c>
      <c r="G2834" s="2">
        <f t="shared" si="176"/>
        <v>11.345303030303029</v>
      </c>
      <c r="H2834" t="str">
        <f t="shared" si="177"/>
        <v>March</v>
      </c>
      <c r="I2834" t="str">
        <f t="shared" si="178"/>
        <v>Q1</v>
      </c>
      <c r="J2834" t="str">
        <f t="shared" si="179"/>
        <v>Large</v>
      </c>
    </row>
    <row r="2835" spans="1:10" x14ac:dyDescent="0.25">
      <c r="A2835" t="s">
        <v>46</v>
      </c>
      <c r="B2835" t="s">
        <v>15</v>
      </c>
      <c r="C2835" t="s">
        <v>56</v>
      </c>
      <c r="D2835" s="1">
        <v>45316</v>
      </c>
      <c r="E2835" s="2">
        <v>3124.74</v>
      </c>
      <c r="F2835">
        <v>155</v>
      </c>
      <c r="G2835" s="2">
        <f t="shared" si="176"/>
        <v>20.159612903225806</v>
      </c>
      <c r="H2835" t="str">
        <f t="shared" si="177"/>
        <v>January</v>
      </c>
      <c r="I2835" t="str">
        <f t="shared" si="178"/>
        <v>Q1</v>
      </c>
      <c r="J2835" t="str">
        <f t="shared" si="179"/>
        <v>Large</v>
      </c>
    </row>
    <row r="2836" spans="1:10" x14ac:dyDescent="0.25">
      <c r="A2836" t="s">
        <v>23</v>
      </c>
      <c r="B2836" t="s">
        <v>15</v>
      </c>
      <c r="C2836" t="s">
        <v>37</v>
      </c>
      <c r="D2836" s="1">
        <v>45500</v>
      </c>
      <c r="E2836" s="2">
        <v>2356.21</v>
      </c>
      <c r="F2836">
        <v>54</v>
      </c>
      <c r="G2836" s="2">
        <f t="shared" si="176"/>
        <v>43.633518518518521</v>
      </c>
      <c r="H2836" t="str">
        <f t="shared" si="177"/>
        <v>July</v>
      </c>
      <c r="I2836" t="str">
        <f t="shared" si="178"/>
        <v>Q3</v>
      </c>
      <c r="J2836" t="str">
        <f t="shared" si="179"/>
        <v>Large</v>
      </c>
    </row>
    <row r="2837" spans="1:10" x14ac:dyDescent="0.25">
      <c r="A2837" t="s">
        <v>40</v>
      </c>
      <c r="B2837" t="s">
        <v>15</v>
      </c>
      <c r="C2837" t="s">
        <v>42</v>
      </c>
      <c r="D2837" s="1">
        <v>45319</v>
      </c>
      <c r="E2837" s="2">
        <v>8548</v>
      </c>
      <c r="F2837">
        <v>55</v>
      </c>
      <c r="G2837" s="2">
        <f t="shared" si="176"/>
        <v>155.41818181818181</v>
      </c>
      <c r="H2837" t="str">
        <f t="shared" si="177"/>
        <v>January</v>
      </c>
      <c r="I2837" t="str">
        <f t="shared" si="178"/>
        <v>Q1</v>
      </c>
      <c r="J2837" t="str">
        <f t="shared" si="179"/>
        <v>Large</v>
      </c>
    </row>
    <row r="2838" spans="1:10" x14ac:dyDescent="0.25">
      <c r="A2838" t="s">
        <v>53</v>
      </c>
      <c r="B2838" t="s">
        <v>15</v>
      </c>
      <c r="C2838" t="s">
        <v>35</v>
      </c>
      <c r="D2838" s="1">
        <v>45478</v>
      </c>
      <c r="E2838" s="2">
        <v>12094.34</v>
      </c>
      <c r="F2838">
        <v>52</v>
      </c>
      <c r="G2838" s="2">
        <f t="shared" si="176"/>
        <v>232.58346153846153</v>
      </c>
      <c r="H2838" t="str">
        <f t="shared" si="177"/>
        <v>July</v>
      </c>
      <c r="I2838" t="str">
        <f t="shared" si="178"/>
        <v>Q3</v>
      </c>
      <c r="J2838" t="str">
        <f t="shared" si="179"/>
        <v>Large</v>
      </c>
    </row>
    <row r="2839" spans="1:10" x14ac:dyDescent="0.25">
      <c r="A2839" t="s">
        <v>9</v>
      </c>
      <c r="B2839" t="s">
        <v>10</v>
      </c>
      <c r="C2839" t="s">
        <v>44</v>
      </c>
      <c r="D2839" s="1">
        <v>45366</v>
      </c>
      <c r="E2839" s="2">
        <v>2119.42</v>
      </c>
      <c r="F2839">
        <v>46</v>
      </c>
      <c r="G2839" s="2">
        <f t="shared" si="176"/>
        <v>46.074347826086957</v>
      </c>
      <c r="H2839" t="str">
        <f t="shared" si="177"/>
        <v>March</v>
      </c>
      <c r="I2839" t="str">
        <f t="shared" si="178"/>
        <v>Q1</v>
      </c>
      <c r="J2839" t="str">
        <f t="shared" si="179"/>
        <v>Large</v>
      </c>
    </row>
    <row r="2840" spans="1:10" x14ac:dyDescent="0.25">
      <c r="A2840" t="s">
        <v>19</v>
      </c>
      <c r="B2840" t="s">
        <v>29</v>
      </c>
      <c r="C2840" t="s">
        <v>20</v>
      </c>
      <c r="D2840" s="1">
        <v>45508</v>
      </c>
      <c r="E2840" s="2">
        <v>3038.32</v>
      </c>
      <c r="F2840">
        <v>220</v>
      </c>
      <c r="G2840" s="2">
        <f t="shared" si="176"/>
        <v>13.810545454545455</v>
      </c>
      <c r="H2840" t="str">
        <f t="shared" si="177"/>
        <v>August</v>
      </c>
      <c r="I2840" t="str">
        <f t="shared" si="178"/>
        <v>Q3</v>
      </c>
      <c r="J2840" t="str">
        <f t="shared" si="179"/>
        <v>Large</v>
      </c>
    </row>
    <row r="2841" spans="1:10" x14ac:dyDescent="0.25">
      <c r="A2841" t="s">
        <v>14</v>
      </c>
      <c r="B2841" t="s">
        <v>26</v>
      </c>
      <c r="C2841" t="s">
        <v>42</v>
      </c>
      <c r="D2841" s="1">
        <v>45470</v>
      </c>
      <c r="E2841" s="2">
        <v>5187.72</v>
      </c>
      <c r="F2841">
        <v>382</v>
      </c>
      <c r="G2841" s="2">
        <f t="shared" si="176"/>
        <v>13.58041884816754</v>
      </c>
      <c r="H2841" t="str">
        <f t="shared" si="177"/>
        <v>June</v>
      </c>
      <c r="I2841" t="str">
        <f t="shared" si="178"/>
        <v>Q2</v>
      </c>
      <c r="J2841" t="str">
        <f t="shared" si="179"/>
        <v>Large</v>
      </c>
    </row>
    <row r="2842" spans="1:10" x14ac:dyDescent="0.25">
      <c r="A2842" t="s">
        <v>14</v>
      </c>
      <c r="B2842" t="s">
        <v>29</v>
      </c>
      <c r="C2842" t="s">
        <v>20</v>
      </c>
      <c r="D2842" s="1">
        <v>45486</v>
      </c>
      <c r="E2842" s="2">
        <v>5384.52</v>
      </c>
      <c r="F2842">
        <v>180</v>
      </c>
      <c r="G2842" s="2">
        <f t="shared" si="176"/>
        <v>29.914000000000001</v>
      </c>
      <c r="H2842" t="str">
        <f t="shared" si="177"/>
        <v>July</v>
      </c>
      <c r="I2842" t="str">
        <f t="shared" si="178"/>
        <v>Q3</v>
      </c>
      <c r="J2842" t="str">
        <f t="shared" si="179"/>
        <v>Large</v>
      </c>
    </row>
    <row r="2843" spans="1:10" x14ac:dyDescent="0.25">
      <c r="A2843" t="s">
        <v>25</v>
      </c>
      <c r="B2843" t="s">
        <v>21</v>
      </c>
      <c r="C2843" t="s">
        <v>45</v>
      </c>
      <c r="D2843" s="1">
        <v>45346</v>
      </c>
      <c r="E2843" s="2">
        <v>6575.07</v>
      </c>
      <c r="F2843">
        <v>249</v>
      </c>
      <c r="G2843" s="2">
        <f t="shared" si="176"/>
        <v>26.405903614457831</v>
      </c>
      <c r="H2843" t="str">
        <f t="shared" si="177"/>
        <v>February</v>
      </c>
      <c r="I2843" t="str">
        <f t="shared" si="178"/>
        <v>Q1</v>
      </c>
      <c r="J2843" t="str">
        <f t="shared" si="179"/>
        <v>Large</v>
      </c>
    </row>
    <row r="2844" spans="1:10" x14ac:dyDescent="0.25">
      <c r="A2844" t="s">
        <v>31</v>
      </c>
      <c r="B2844" t="s">
        <v>21</v>
      </c>
      <c r="C2844" t="s">
        <v>11</v>
      </c>
      <c r="D2844" s="1">
        <v>45471</v>
      </c>
      <c r="E2844" s="2">
        <v>6350.37</v>
      </c>
      <c r="F2844">
        <v>59</v>
      </c>
      <c r="G2844" s="2">
        <f t="shared" si="176"/>
        <v>107.63338983050848</v>
      </c>
      <c r="H2844" t="str">
        <f t="shared" si="177"/>
        <v>June</v>
      </c>
      <c r="I2844" t="str">
        <f t="shared" si="178"/>
        <v>Q2</v>
      </c>
      <c r="J2844" t="str">
        <f t="shared" si="179"/>
        <v>Large</v>
      </c>
    </row>
    <row r="2845" spans="1:10" x14ac:dyDescent="0.25">
      <c r="A2845" t="s">
        <v>17</v>
      </c>
      <c r="B2845" t="s">
        <v>15</v>
      </c>
      <c r="C2845" t="s">
        <v>11</v>
      </c>
      <c r="D2845" s="1">
        <v>45473</v>
      </c>
      <c r="E2845" s="2">
        <v>7488.06</v>
      </c>
      <c r="F2845">
        <v>28</v>
      </c>
      <c r="G2845" s="2">
        <f t="shared" si="176"/>
        <v>267.43071428571432</v>
      </c>
      <c r="H2845" t="str">
        <f t="shared" si="177"/>
        <v>June</v>
      </c>
      <c r="I2845" t="str">
        <f t="shared" si="178"/>
        <v>Q2</v>
      </c>
      <c r="J2845" t="str">
        <f t="shared" si="179"/>
        <v>Large</v>
      </c>
    </row>
    <row r="2846" spans="1:10" x14ac:dyDescent="0.25">
      <c r="A2846" t="s">
        <v>38</v>
      </c>
      <c r="B2846" t="s">
        <v>29</v>
      </c>
      <c r="C2846" t="s">
        <v>52</v>
      </c>
      <c r="D2846" s="1">
        <v>45522</v>
      </c>
      <c r="E2846" s="2">
        <v>6997.57</v>
      </c>
      <c r="F2846">
        <v>7</v>
      </c>
      <c r="G2846" s="2">
        <f t="shared" si="176"/>
        <v>999.6528571428571</v>
      </c>
      <c r="H2846" t="str">
        <f t="shared" si="177"/>
        <v>August</v>
      </c>
      <c r="I2846" t="str">
        <f t="shared" si="178"/>
        <v>Q3</v>
      </c>
      <c r="J2846" t="str">
        <f t="shared" si="179"/>
        <v>Large</v>
      </c>
    </row>
    <row r="2847" spans="1:10" x14ac:dyDescent="0.25">
      <c r="A2847" t="s">
        <v>41</v>
      </c>
      <c r="B2847" t="s">
        <v>10</v>
      </c>
      <c r="C2847" t="s">
        <v>58</v>
      </c>
      <c r="D2847" s="1">
        <v>45315</v>
      </c>
      <c r="E2847" s="2">
        <v>13081.57</v>
      </c>
      <c r="F2847">
        <v>324</v>
      </c>
      <c r="G2847" s="2">
        <f t="shared" si="176"/>
        <v>40.375216049382715</v>
      </c>
      <c r="H2847" t="str">
        <f t="shared" si="177"/>
        <v>January</v>
      </c>
      <c r="I2847" t="str">
        <f t="shared" si="178"/>
        <v>Q1</v>
      </c>
      <c r="J2847" t="str">
        <f t="shared" si="179"/>
        <v>Large</v>
      </c>
    </row>
    <row r="2848" spans="1:10" x14ac:dyDescent="0.25">
      <c r="A2848" t="s">
        <v>34</v>
      </c>
      <c r="B2848" t="s">
        <v>26</v>
      </c>
      <c r="C2848" t="s">
        <v>44</v>
      </c>
      <c r="D2848" s="1">
        <v>45362</v>
      </c>
      <c r="E2848" s="2">
        <v>5964.72</v>
      </c>
      <c r="F2848">
        <v>136</v>
      </c>
      <c r="G2848" s="2">
        <f t="shared" si="176"/>
        <v>43.858235294117648</v>
      </c>
      <c r="H2848" t="str">
        <f t="shared" si="177"/>
        <v>March</v>
      </c>
      <c r="I2848" t="str">
        <f t="shared" si="178"/>
        <v>Q1</v>
      </c>
      <c r="J2848" t="str">
        <f t="shared" si="179"/>
        <v>Large</v>
      </c>
    </row>
    <row r="2849" spans="1:10" x14ac:dyDescent="0.25">
      <c r="A2849" t="s">
        <v>55</v>
      </c>
      <c r="B2849" t="s">
        <v>21</v>
      </c>
      <c r="C2849" t="s">
        <v>20</v>
      </c>
      <c r="D2849" s="1">
        <v>45466</v>
      </c>
      <c r="E2849" s="2">
        <v>6651.11</v>
      </c>
      <c r="F2849">
        <v>377</v>
      </c>
      <c r="G2849" s="2">
        <f t="shared" si="176"/>
        <v>17.642201591511935</v>
      </c>
      <c r="H2849" t="str">
        <f t="shared" si="177"/>
        <v>June</v>
      </c>
      <c r="I2849" t="str">
        <f t="shared" si="178"/>
        <v>Q2</v>
      </c>
      <c r="J2849" t="str">
        <f t="shared" si="179"/>
        <v>Large</v>
      </c>
    </row>
    <row r="2850" spans="1:10" x14ac:dyDescent="0.25">
      <c r="A2850" t="s">
        <v>40</v>
      </c>
      <c r="B2850" t="s">
        <v>10</v>
      </c>
      <c r="C2850" t="s">
        <v>39</v>
      </c>
      <c r="D2850" s="1">
        <v>45526</v>
      </c>
      <c r="E2850" s="2">
        <v>2606.11</v>
      </c>
      <c r="F2850">
        <v>31</v>
      </c>
      <c r="G2850" s="2">
        <f t="shared" si="176"/>
        <v>84.068064516129041</v>
      </c>
      <c r="H2850" t="str">
        <f t="shared" si="177"/>
        <v>August</v>
      </c>
      <c r="I2850" t="str">
        <f t="shared" si="178"/>
        <v>Q3</v>
      </c>
      <c r="J2850" t="str">
        <f t="shared" si="179"/>
        <v>Large</v>
      </c>
    </row>
    <row r="2851" spans="1:10" x14ac:dyDescent="0.25">
      <c r="A2851" t="s">
        <v>19</v>
      </c>
      <c r="B2851" t="s">
        <v>29</v>
      </c>
      <c r="C2851" t="s">
        <v>22</v>
      </c>
      <c r="D2851" s="1">
        <v>45295</v>
      </c>
      <c r="E2851" s="2">
        <v>3615.98</v>
      </c>
      <c r="F2851">
        <v>24</v>
      </c>
      <c r="G2851" s="2">
        <f t="shared" si="176"/>
        <v>150.66583333333332</v>
      </c>
      <c r="H2851" t="str">
        <f t="shared" si="177"/>
        <v>January</v>
      </c>
      <c r="I2851" t="str">
        <f t="shared" si="178"/>
        <v>Q1</v>
      </c>
      <c r="J2851" t="str">
        <f t="shared" si="179"/>
        <v>Large</v>
      </c>
    </row>
    <row r="2852" spans="1:10" x14ac:dyDescent="0.25">
      <c r="A2852" t="s">
        <v>38</v>
      </c>
      <c r="B2852" t="s">
        <v>10</v>
      </c>
      <c r="C2852" t="s">
        <v>37</v>
      </c>
      <c r="D2852" s="1">
        <v>45387</v>
      </c>
      <c r="E2852" s="2">
        <v>3658.27</v>
      </c>
      <c r="F2852">
        <v>210</v>
      </c>
      <c r="G2852" s="2">
        <f t="shared" si="176"/>
        <v>17.420333333333332</v>
      </c>
      <c r="H2852" t="str">
        <f t="shared" si="177"/>
        <v>April</v>
      </c>
      <c r="I2852" t="str">
        <f t="shared" si="178"/>
        <v>Q2</v>
      </c>
      <c r="J2852" t="str">
        <f t="shared" si="179"/>
        <v>Large</v>
      </c>
    </row>
    <row r="2853" spans="1:10" x14ac:dyDescent="0.25">
      <c r="A2853" t="s">
        <v>34</v>
      </c>
      <c r="B2853" t="s">
        <v>10</v>
      </c>
      <c r="C2853" t="s">
        <v>37</v>
      </c>
      <c r="D2853" s="1">
        <v>45397</v>
      </c>
      <c r="E2853" s="2">
        <v>1997.46</v>
      </c>
      <c r="F2853">
        <v>314</v>
      </c>
      <c r="G2853" s="2">
        <f t="shared" si="176"/>
        <v>6.3613375796178344</v>
      </c>
      <c r="H2853" t="str">
        <f t="shared" si="177"/>
        <v>April</v>
      </c>
      <c r="I2853" t="str">
        <f t="shared" si="178"/>
        <v>Q2</v>
      </c>
      <c r="J2853" t="str">
        <f t="shared" si="179"/>
        <v>Large</v>
      </c>
    </row>
    <row r="2854" spans="1:10" x14ac:dyDescent="0.25">
      <c r="A2854" t="s">
        <v>40</v>
      </c>
      <c r="B2854" t="s">
        <v>15</v>
      </c>
      <c r="C2854" t="s">
        <v>44</v>
      </c>
      <c r="D2854" s="1">
        <v>45423</v>
      </c>
      <c r="E2854" s="2">
        <v>3618.67</v>
      </c>
      <c r="F2854">
        <v>213</v>
      </c>
      <c r="G2854" s="2">
        <f t="shared" si="176"/>
        <v>16.989061032863852</v>
      </c>
      <c r="H2854" t="str">
        <f t="shared" si="177"/>
        <v>May</v>
      </c>
      <c r="I2854" t="str">
        <f t="shared" si="178"/>
        <v>Q2</v>
      </c>
      <c r="J2854" t="str">
        <f t="shared" si="179"/>
        <v>Large</v>
      </c>
    </row>
    <row r="2855" spans="1:10" x14ac:dyDescent="0.25">
      <c r="A2855" t="s">
        <v>48</v>
      </c>
      <c r="B2855" t="s">
        <v>29</v>
      </c>
      <c r="C2855" t="s">
        <v>45</v>
      </c>
      <c r="D2855" s="1">
        <v>45494</v>
      </c>
      <c r="E2855" s="2">
        <v>5538.85</v>
      </c>
      <c r="F2855">
        <v>492</v>
      </c>
      <c r="G2855" s="2">
        <f t="shared" si="176"/>
        <v>11.257825203252033</v>
      </c>
      <c r="H2855" t="str">
        <f t="shared" si="177"/>
        <v>July</v>
      </c>
      <c r="I2855" t="str">
        <f t="shared" si="178"/>
        <v>Q3</v>
      </c>
      <c r="J2855" t="str">
        <f t="shared" si="179"/>
        <v>Large</v>
      </c>
    </row>
    <row r="2856" spans="1:10" x14ac:dyDescent="0.25">
      <c r="A2856" t="s">
        <v>14</v>
      </c>
      <c r="B2856" t="s">
        <v>21</v>
      </c>
      <c r="C2856" t="s">
        <v>27</v>
      </c>
      <c r="D2856" s="1">
        <v>45333</v>
      </c>
      <c r="E2856" s="2">
        <v>1382.49</v>
      </c>
      <c r="F2856">
        <v>86</v>
      </c>
      <c r="G2856" s="2">
        <f t="shared" si="176"/>
        <v>16.075465116279069</v>
      </c>
      <c r="H2856" t="str">
        <f t="shared" si="177"/>
        <v>February</v>
      </c>
      <c r="I2856" t="str">
        <f t="shared" si="178"/>
        <v>Q1</v>
      </c>
      <c r="J2856" t="str">
        <f t="shared" si="179"/>
        <v>Large</v>
      </c>
    </row>
    <row r="2857" spans="1:10" x14ac:dyDescent="0.25">
      <c r="A2857" t="s">
        <v>48</v>
      </c>
      <c r="B2857" t="s">
        <v>29</v>
      </c>
      <c r="C2857" t="s">
        <v>16</v>
      </c>
      <c r="D2857" s="1">
        <v>45481</v>
      </c>
      <c r="E2857" s="2">
        <v>1223.79</v>
      </c>
      <c r="F2857">
        <v>81</v>
      </c>
      <c r="G2857" s="2">
        <f t="shared" si="176"/>
        <v>15.108518518518519</v>
      </c>
      <c r="H2857" t="str">
        <f t="shared" si="177"/>
        <v>July</v>
      </c>
      <c r="I2857" t="str">
        <f t="shared" si="178"/>
        <v>Q3</v>
      </c>
      <c r="J2857" t="str">
        <f t="shared" si="179"/>
        <v>Large</v>
      </c>
    </row>
    <row r="2858" spans="1:10" x14ac:dyDescent="0.25">
      <c r="A2858" t="s">
        <v>19</v>
      </c>
      <c r="B2858" t="s">
        <v>7</v>
      </c>
      <c r="C2858" t="s">
        <v>51</v>
      </c>
      <c r="D2858" s="1">
        <v>45515</v>
      </c>
      <c r="E2858" s="2">
        <v>8043.29</v>
      </c>
      <c r="F2858">
        <v>344</v>
      </c>
      <c r="G2858" s="2">
        <f t="shared" si="176"/>
        <v>23.381656976744186</v>
      </c>
      <c r="H2858" t="str">
        <f t="shared" si="177"/>
        <v>August</v>
      </c>
      <c r="I2858" t="str">
        <f t="shared" si="178"/>
        <v>Q3</v>
      </c>
      <c r="J2858" t="str">
        <f t="shared" si="179"/>
        <v>Large</v>
      </c>
    </row>
    <row r="2859" spans="1:10" x14ac:dyDescent="0.25">
      <c r="A2859" t="s">
        <v>40</v>
      </c>
      <c r="B2859" t="s">
        <v>21</v>
      </c>
      <c r="C2859" t="s">
        <v>20</v>
      </c>
      <c r="D2859" s="1">
        <v>45508</v>
      </c>
      <c r="E2859" s="2">
        <v>6878.47</v>
      </c>
      <c r="F2859">
        <v>7</v>
      </c>
      <c r="G2859" s="2">
        <f t="shared" si="176"/>
        <v>982.63857142857148</v>
      </c>
      <c r="H2859" t="str">
        <f t="shared" si="177"/>
        <v>August</v>
      </c>
      <c r="I2859" t="str">
        <f t="shared" si="178"/>
        <v>Q3</v>
      </c>
      <c r="J2859" t="str">
        <f t="shared" si="179"/>
        <v>Large</v>
      </c>
    </row>
    <row r="2860" spans="1:10" x14ac:dyDescent="0.25">
      <c r="A2860" t="s">
        <v>48</v>
      </c>
      <c r="B2860" t="s">
        <v>21</v>
      </c>
      <c r="C2860" t="s">
        <v>27</v>
      </c>
      <c r="D2860" s="1">
        <v>45457</v>
      </c>
      <c r="E2860" s="2">
        <v>9420.2199999999993</v>
      </c>
      <c r="F2860">
        <v>94</v>
      </c>
      <c r="G2860" s="2">
        <f t="shared" si="176"/>
        <v>100.21510638297872</v>
      </c>
      <c r="H2860" t="str">
        <f t="shared" si="177"/>
        <v>June</v>
      </c>
      <c r="I2860" t="str">
        <f t="shared" si="178"/>
        <v>Q2</v>
      </c>
      <c r="J2860" t="str">
        <f t="shared" si="179"/>
        <v>Large</v>
      </c>
    </row>
    <row r="2861" spans="1:10" x14ac:dyDescent="0.25">
      <c r="A2861" t="s">
        <v>43</v>
      </c>
      <c r="B2861" t="s">
        <v>7</v>
      </c>
      <c r="C2861" t="s">
        <v>56</v>
      </c>
      <c r="D2861" s="1">
        <v>45308</v>
      </c>
      <c r="E2861" s="2">
        <v>2516.34</v>
      </c>
      <c r="F2861">
        <v>293</v>
      </c>
      <c r="G2861" s="2">
        <f t="shared" si="176"/>
        <v>8.5881911262798631</v>
      </c>
      <c r="H2861" t="str">
        <f t="shared" si="177"/>
        <v>January</v>
      </c>
      <c r="I2861" t="str">
        <f t="shared" si="178"/>
        <v>Q1</v>
      </c>
      <c r="J2861" t="str">
        <f t="shared" si="179"/>
        <v>Large</v>
      </c>
    </row>
    <row r="2862" spans="1:10" x14ac:dyDescent="0.25">
      <c r="A2862" t="s">
        <v>6</v>
      </c>
      <c r="B2862" t="s">
        <v>29</v>
      </c>
      <c r="C2862" t="s">
        <v>27</v>
      </c>
      <c r="D2862" s="1">
        <v>45466</v>
      </c>
      <c r="E2862" s="2">
        <v>4334.75</v>
      </c>
      <c r="F2862">
        <v>529</v>
      </c>
      <c r="G2862" s="2">
        <f t="shared" si="176"/>
        <v>8.1942344045368625</v>
      </c>
      <c r="H2862" t="str">
        <f t="shared" si="177"/>
        <v>June</v>
      </c>
      <c r="I2862" t="str">
        <f t="shared" si="178"/>
        <v>Q2</v>
      </c>
      <c r="J2862" t="str">
        <f t="shared" si="179"/>
        <v>Large</v>
      </c>
    </row>
    <row r="2863" spans="1:10" x14ac:dyDescent="0.25">
      <c r="A2863" t="s">
        <v>6</v>
      </c>
      <c r="B2863" t="s">
        <v>7</v>
      </c>
      <c r="C2863" t="s">
        <v>16</v>
      </c>
      <c r="D2863" s="1">
        <v>45528</v>
      </c>
      <c r="E2863" s="2">
        <v>1588.49</v>
      </c>
      <c r="F2863">
        <v>111</v>
      </c>
      <c r="G2863" s="2">
        <f t="shared" si="176"/>
        <v>14.31072072072072</v>
      </c>
      <c r="H2863" t="str">
        <f t="shared" si="177"/>
        <v>August</v>
      </c>
      <c r="I2863" t="str">
        <f t="shared" si="178"/>
        <v>Q3</v>
      </c>
      <c r="J2863" t="str">
        <f t="shared" si="179"/>
        <v>Large</v>
      </c>
    </row>
    <row r="2864" spans="1:10" x14ac:dyDescent="0.25">
      <c r="A2864" t="s">
        <v>48</v>
      </c>
      <c r="B2864" t="s">
        <v>7</v>
      </c>
      <c r="C2864" t="s">
        <v>57</v>
      </c>
      <c r="D2864" s="1">
        <v>45450</v>
      </c>
      <c r="E2864" s="2">
        <v>8959.3799999999992</v>
      </c>
      <c r="F2864">
        <v>271</v>
      </c>
      <c r="G2864" s="2">
        <f t="shared" si="176"/>
        <v>33.060442804428043</v>
      </c>
      <c r="H2864" t="str">
        <f t="shared" si="177"/>
        <v>June</v>
      </c>
      <c r="I2864" t="str">
        <f t="shared" si="178"/>
        <v>Q2</v>
      </c>
      <c r="J2864" t="str">
        <f t="shared" si="179"/>
        <v>Large</v>
      </c>
    </row>
    <row r="2865" spans="1:10" x14ac:dyDescent="0.25">
      <c r="A2865" t="s">
        <v>14</v>
      </c>
      <c r="B2865" t="s">
        <v>7</v>
      </c>
      <c r="C2865" t="s">
        <v>44</v>
      </c>
      <c r="D2865" s="1">
        <v>45465</v>
      </c>
      <c r="E2865" s="2">
        <v>9409.06</v>
      </c>
      <c r="F2865">
        <v>46</v>
      </c>
      <c r="G2865" s="2">
        <f t="shared" si="176"/>
        <v>204.54478260869564</v>
      </c>
      <c r="H2865" t="str">
        <f t="shared" si="177"/>
        <v>June</v>
      </c>
      <c r="I2865" t="str">
        <f t="shared" si="178"/>
        <v>Q2</v>
      </c>
      <c r="J2865" t="str">
        <f t="shared" si="179"/>
        <v>Large</v>
      </c>
    </row>
    <row r="2866" spans="1:10" x14ac:dyDescent="0.25">
      <c r="A2866" t="s">
        <v>54</v>
      </c>
      <c r="B2866" t="s">
        <v>26</v>
      </c>
      <c r="C2866" t="s">
        <v>42</v>
      </c>
      <c r="D2866" s="1">
        <v>45486</v>
      </c>
      <c r="E2866" s="2">
        <v>3315.64</v>
      </c>
      <c r="F2866">
        <v>268</v>
      </c>
      <c r="G2866" s="2">
        <f t="shared" si="176"/>
        <v>12.371791044776119</v>
      </c>
      <c r="H2866" t="str">
        <f t="shared" si="177"/>
        <v>July</v>
      </c>
      <c r="I2866" t="str">
        <f t="shared" si="178"/>
        <v>Q3</v>
      </c>
      <c r="J2866" t="str">
        <f t="shared" si="179"/>
        <v>Large</v>
      </c>
    </row>
    <row r="2867" spans="1:10" x14ac:dyDescent="0.25">
      <c r="A2867" t="s">
        <v>49</v>
      </c>
      <c r="B2867" t="s">
        <v>7</v>
      </c>
      <c r="C2867" t="s">
        <v>52</v>
      </c>
      <c r="D2867" s="1">
        <v>45436</v>
      </c>
      <c r="E2867" s="2">
        <v>10920.7</v>
      </c>
      <c r="F2867">
        <v>210</v>
      </c>
      <c r="G2867" s="2">
        <f t="shared" si="176"/>
        <v>52.003333333333337</v>
      </c>
      <c r="H2867" t="str">
        <f t="shared" si="177"/>
        <v>May</v>
      </c>
      <c r="I2867" t="str">
        <f t="shared" si="178"/>
        <v>Q2</v>
      </c>
      <c r="J2867" t="str">
        <f t="shared" si="179"/>
        <v>Large</v>
      </c>
    </row>
    <row r="2868" spans="1:10" x14ac:dyDescent="0.25">
      <c r="A2868" t="s">
        <v>19</v>
      </c>
      <c r="B2868" t="s">
        <v>21</v>
      </c>
      <c r="C2868" t="s">
        <v>20</v>
      </c>
      <c r="D2868" s="1">
        <v>45513</v>
      </c>
      <c r="E2868" s="2">
        <v>7605.55</v>
      </c>
      <c r="F2868">
        <v>154</v>
      </c>
      <c r="G2868" s="2">
        <f t="shared" si="176"/>
        <v>49.38668831168831</v>
      </c>
      <c r="H2868" t="str">
        <f t="shared" si="177"/>
        <v>August</v>
      </c>
      <c r="I2868" t="str">
        <f t="shared" si="178"/>
        <v>Q3</v>
      </c>
      <c r="J2868" t="str">
        <f t="shared" si="179"/>
        <v>Large</v>
      </c>
    </row>
    <row r="2869" spans="1:10" x14ac:dyDescent="0.25">
      <c r="A2869" t="s">
        <v>41</v>
      </c>
      <c r="B2869" t="s">
        <v>29</v>
      </c>
      <c r="C2869" t="s">
        <v>11</v>
      </c>
      <c r="D2869" s="1">
        <v>45388</v>
      </c>
      <c r="E2869" s="2">
        <v>1859.96</v>
      </c>
      <c r="F2869">
        <v>33</v>
      </c>
      <c r="G2869" s="2">
        <f t="shared" si="176"/>
        <v>56.362424242424247</v>
      </c>
      <c r="H2869" t="str">
        <f t="shared" si="177"/>
        <v>April</v>
      </c>
      <c r="I2869" t="str">
        <f t="shared" si="178"/>
        <v>Q2</v>
      </c>
      <c r="J2869" t="str">
        <f t="shared" si="179"/>
        <v>Large</v>
      </c>
    </row>
    <row r="2870" spans="1:10" x14ac:dyDescent="0.25">
      <c r="A2870" t="s">
        <v>14</v>
      </c>
      <c r="B2870" t="s">
        <v>21</v>
      </c>
      <c r="C2870" t="s">
        <v>45</v>
      </c>
      <c r="D2870" s="1">
        <v>45501</v>
      </c>
      <c r="E2870" s="2">
        <v>1743.87</v>
      </c>
      <c r="F2870">
        <v>259</v>
      </c>
      <c r="G2870" s="2">
        <f t="shared" si="176"/>
        <v>6.733088803088803</v>
      </c>
      <c r="H2870" t="str">
        <f t="shared" si="177"/>
        <v>July</v>
      </c>
      <c r="I2870" t="str">
        <f t="shared" si="178"/>
        <v>Q3</v>
      </c>
      <c r="J2870" t="str">
        <f t="shared" si="179"/>
        <v>Large</v>
      </c>
    </row>
    <row r="2871" spans="1:10" x14ac:dyDescent="0.25">
      <c r="A2871" t="s">
        <v>19</v>
      </c>
      <c r="B2871" t="s">
        <v>21</v>
      </c>
      <c r="C2871" t="s">
        <v>51</v>
      </c>
      <c r="D2871" s="1">
        <v>45528</v>
      </c>
      <c r="E2871" s="2">
        <v>758.28</v>
      </c>
      <c r="F2871">
        <v>57</v>
      </c>
      <c r="G2871" s="2">
        <f t="shared" si="176"/>
        <v>13.303157894736842</v>
      </c>
      <c r="H2871" t="str">
        <f t="shared" si="177"/>
        <v>August</v>
      </c>
      <c r="I2871" t="str">
        <f t="shared" si="178"/>
        <v>Q3</v>
      </c>
      <c r="J2871" t="str">
        <f t="shared" si="179"/>
        <v>Large</v>
      </c>
    </row>
    <row r="2872" spans="1:10" x14ac:dyDescent="0.25">
      <c r="A2872" t="s">
        <v>9</v>
      </c>
      <c r="B2872" t="s">
        <v>15</v>
      </c>
      <c r="C2872" t="s">
        <v>18</v>
      </c>
      <c r="D2872" s="1">
        <v>45308</v>
      </c>
      <c r="E2872" s="2">
        <v>125.37</v>
      </c>
      <c r="F2872">
        <v>138</v>
      </c>
      <c r="G2872" s="2">
        <f t="shared" si="176"/>
        <v>0.90847826086956529</v>
      </c>
      <c r="H2872" t="str">
        <f t="shared" si="177"/>
        <v>January</v>
      </c>
      <c r="I2872" t="str">
        <f t="shared" si="178"/>
        <v>Q1</v>
      </c>
      <c r="J2872" t="str">
        <f t="shared" si="179"/>
        <v>Small</v>
      </c>
    </row>
    <row r="2873" spans="1:10" x14ac:dyDescent="0.25">
      <c r="A2873" t="s">
        <v>38</v>
      </c>
      <c r="B2873" t="s">
        <v>26</v>
      </c>
      <c r="C2873" t="s">
        <v>32</v>
      </c>
      <c r="D2873" s="1">
        <v>45329</v>
      </c>
      <c r="E2873" s="2">
        <v>6170.75</v>
      </c>
      <c r="F2873">
        <v>149</v>
      </c>
      <c r="G2873" s="2">
        <f t="shared" si="176"/>
        <v>41.414429530201339</v>
      </c>
      <c r="H2873" t="str">
        <f t="shared" si="177"/>
        <v>February</v>
      </c>
      <c r="I2873" t="str">
        <f t="shared" si="178"/>
        <v>Q1</v>
      </c>
      <c r="J2873" t="str">
        <f t="shared" si="179"/>
        <v>Large</v>
      </c>
    </row>
    <row r="2874" spans="1:10" x14ac:dyDescent="0.25">
      <c r="A2874" t="s">
        <v>23</v>
      </c>
      <c r="B2874" t="s">
        <v>15</v>
      </c>
      <c r="C2874" t="s">
        <v>39</v>
      </c>
      <c r="D2874" s="1">
        <v>45421</v>
      </c>
      <c r="E2874" s="2">
        <v>6867.13</v>
      </c>
      <c r="F2874">
        <v>273</v>
      </c>
      <c r="G2874" s="2">
        <f t="shared" si="176"/>
        <v>25.154322344322345</v>
      </c>
      <c r="H2874" t="str">
        <f t="shared" si="177"/>
        <v>May</v>
      </c>
      <c r="I2874" t="str">
        <f t="shared" si="178"/>
        <v>Q2</v>
      </c>
      <c r="J2874" t="str">
        <f t="shared" si="179"/>
        <v>Large</v>
      </c>
    </row>
    <row r="2875" spans="1:10" x14ac:dyDescent="0.25">
      <c r="A2875" t="s">
        <v>28</v>
      </c>
      <c r="B2875" t="s">
        <v>21</v>
      </c>
      <c r="C2875" t="s">
        <v>11</v>
      </c>
      <c r="D2875" s="1">
        <v>45449</v>
      </c>
      <c r="E2875" s="2">
        <v>8775.4500000000007</v>
      </c>
      <c r="F2875">
        <v>113</v>
      </c>
      <c r="G2875" s="2">
        <f t="shared" si="176"/>
        <v>77.658849557522132</v>
      </c>
      <c r="H2875" t="str">
        <f t="shared" si="177"/>
        <v>June</v>
      </c>
      <c r="I2875" t="str">
        <f t="shared" si="178"/>
        <v>Q2</v>
      </c>
      <c r="J2875" t="str">
        <f t="shared" si="179"/>
        <v>Large</v>
      </c>
    </row>
    <row r="2876" spans="1:10" x14ac:dyDescent="0.25">
      <c r="A2876" t="s">
        <v>46</v>
      </c>
      <c r="B2876" t="s">
        <v>26</v>
      </c>
      <c r="C2876" t="s">
        <v>52</v>
      </c>
      <c r="D2876" s="1">
        <v>45449</v>
      </c>
      <c r="E2876" s="2">
        <v>10422.84</v>
      </c>
      <c r="F2876">
        <v>6</v>
      </c>
      <c r="G2876" s="2">
        <f t="shared" si="176"/>
        <v>1737.14</v>
      </c>
      <c r="H2876" t="str">
        <f t="shared" si="177"/>
        <v>June</v>
      </c>
      <c r="I2876" t="str">
        <f t="shared" si="178"/>
        <v>Q2</v>
      </c>
      <c r="J2876" t="str">
        <f t="shared" si="179"/>
        <v>Large</v>
      </c>
    </row>
    <row r="2877" spans="1:10" x14ac:dyDescent="0.25">
      <c r="A2877" t="s">
        <v>34</v>
      </c>
      <c r="B2877" t="s">
        <v>21</v>
      </c>
      <c r="C2877" t="s">
        <v>35</v>
      </c>
      <c r="D2877" s="1">
        <v>45436</v>
      </c>
      <c r="E2877" s="2">
        <v>7402.04</v>
      </c>
      <c r="F2877">
        <v>231</v>
      </c>
      <c r="G2877" s="2">
        <f t="shared" si="176"/>
        <v>32.043463203463205</v>
      </c>
      <c r="H2877" t="str">
        <f t="shared" si="177"/>
        <v>May</v>
      </c>
      <c r="I2877" t="str">
        <f t="shared" si="178"/>
        <v>Q2</v>
      </c>
      <c r="J2877" t="str">
        <f t="shared" si="179"/>
        <v>Large</v>
      </c>
    </row>
    <row r="2878" spans="1:10" x14ac:dyDescent="0.25">
      <c r="A2878" t="s">
        <v>19</v>
      </c>
      <c r="B2878" t="s">
        <v>7</v>
      </c>
      <c r="C2878" t="s">
        <v>22</v>
      </c>
      <c r="D2878" s="1">
        <v>45304</v>
      </c>
      <c r="E2878" s="2">
        <v>2498.04</v>
      </c>
      <c r="F2878">
        <v>129</v>
      </c>
      <c r="G2878" s="2">
        <f t="shared" si="176"/>
        <v>19.364651162790697</v>
      </c>
      <c r="H2878" t="str">
        <f t="shared" si="177"/>
        <v>January</v>
      </c>
      <c r="I2878" t="str">
        <f t="shared" si="178"/>
        <v>Q1</v>
      </c>
      <c r="J2878" t="str">
        <f t="shared" si="179"/>
        <v>Large</v>
      </c>
    </row>
    <row r="2879" spans="1:10" x14ac:dyDescent="0.25">
      <c r="A2879" t="s">
        <v>33</v>
      </c>
      <c r="B2879" t="s">
        <v>26</v>
      </c>
      <c r="C2879" t="s">
        <v>51</v>
      </c>
      <c r="D2879" s="1">
        <v>45435</v>
      </c>
      <c r="E2879" s="2">
        <v>6873.56</v>
      </c>
      <c r="F2879">
        <v>152</v>
      </c>
      <c r="G2879" s="2">
        <f t="shared" si="176"/>
        <v>45.220789473684214</v>
      </c>
      <c r="H2879" t="str">
        <f t="shared" si="177"/>
        <v>May</v>
      </c>
      <c r="I2879" t="str">
        <f t="shared" si="178"/>
        <v>Q2</v>
      </c>
      <c r="J2879" t="str">
        <f t="shared" si="179"/>
        <v>Large</v>
      </c>
    </row>
    <row r="2880" spans="1:10" x14ac:dyDescent="0.25">
      <c r="A2880" t="s">
        <v>6</v>
      </c>
      <c r="B2880" t="s">
        <v>7</v>
      </c>
      <c r="C2880" t="s">
        <v>44</v>
      </c>
      <c r="D2880" s="1">
        <v>45472</v>
      </c>
      <c r="E2880" s="2">
        <v>2015.93</v>
      </c>
      <c r="F2880">
        <v>304</v>
      </c>
      <c r="G2880" s="2">
        <f t="shared" si="176"/>
        <v>6.6313486842105265</v>
      </c>
      <c r="H2880" t="str">
        <f t="shared" si="177"/>
        <v>June</v>
      </c>
      <c r="I2880" t="str">
        <f t="shared" si="178"/>
        <v>Q2</v>
      </c>
      <c r="J2880" t="str">
        <f t="shared" si="179"/>
        <v>Large</v>
      </c>
    </row>
    <row r="2881" spans="1:10" x14ac:dyDescent="0.25">
      <c r="A2881" t="s">
        <v>6</v>
      </c>
      <c r="B2881" t="s">
        <v>21</v>
      </c>
      <c r="C2881" t="s">
        <v>11</v>
      </c>
      <c r="D2881" s="1">
        <v>45362</v>
      </c>
      <c r="E2881" s="2">
        <v>8077.51</v>
      </c>
      <c r="F2881">
        <v>95</v>
      </c>
      <c r="G2881" s="2">
        <f t="shared" si="176"/>
        <v>85.026421052631576</v>
      </c>
      <c r="H2881" t="str">
        <f t="shared" si="177"/>
        <v>March</v>
      </c>
      <c r="I2881" t="str">
        <f t="shared" si="178"/>
        <v>Q1</v>
      </c>
      <c r="J2881" t="str">
        <f t="shared" si="179"/>
        <v>Large</v>
      </c>
    </row>
    <row r="2882" spans="1:10" x14ac:dyDescent="0.25">
      <c r="A2882" t="s">
        <v>54</v>
      </c>
      <c r="B2882" t="s">
        <v>26</v>
      </c>
      <c r="C2882" t="s">
        <v>11</v>
      </c>
      <c r="D2882" s="1">
        <v>45407</v>
      </c>
      <c r="E2882" s="2">
        <v>11149.46</v>
      </c>
      <c r="F2882">
        <v>538</v>
      </c>
      <c r="G2882" s="2">
        <f t="shared" si="176"/>
        <v>20.723903345724906</v>
      </c>
      <c r="H2882" t="str">
        <f t="shared" si="177"/>
        <v>April</v>
      </c>
      <c r="I2882" t="str">
        <f t="shared" si="178"/>
        <v>Q2</v>
      </c>
      <c r="J2882" t="str">
        <f t="shared" si="179"/>
        <v>Large</v>
      </c>
    </row>
    <row r="2883" spans="1:10" x14ac:dyDescent="0.25">
      <c r="A2883" t="s">
        <v>24</v>
      </c>
      <c r="B2883" t="s">
        <v>15</v>
      </c>
      <c r="C2883" t="s">
        <v>16</v>
      </c>
      <c r="D2883" s="1">
        <v>45442</v>
      </c>
      <c r="E2883" s="2">
        <v>4739.3900000000003</v>
      </c>
      <c r="F2883">
        <v>236</v>
      </c>
      <c r="G2883" s="2">
        <f t="shared" ref="G2883:G2946" si="180">E2883/F2883</f>
        <v>20.082161016949154</v>
      </c>
      <c r="H2883" t="str">
        <f t="shared" ref="H2883:H2946" si="181">TEXT(D2883, "mmmm")</f>
        <v>May</v>
      </c>
      <c r="I2883" t="str">
        <f t="shared" ref="I2883:I2946" si="182">"Q" &amp; ROUNDUP(MONTH(D2883)/3,0)</f>
        <v>Q2</v>
      </c>
      <c r="J2883" t="str">
        <f t="shared" ref="J2883:J2946" si="183">IF(E2883 &gt; 500, "Large", "Small")</f>
        <v>Large</v>
      </c>
    </row>
    <row r="2884" spans="1:10" x14ac:dyDescent="0.25">
      <c r="A2884" t="s">
        <v>38</v>
      </c>
      <c r="B2884" t="s">
        <v>10</v>
      </c>
      <c r="C2884" t="s">
        <v>45</v>
      </c>
      <c r="D2884" s="1">
        <v>45435</v>
      </c>
      <c r="E2884" s="2">
        <v>1844.54</v>
      </c>
      <c r="F2884">
        <v>185</v>
      </c>
      <c r="G2884" s="2">
        <f t="shared" si="180"/>
        <v>9.9704864864864859</v>
      </c>
      <c r="H2884" t="str">
        <f t="shared" si="181"/>
        <v>May</v>
      </c>
      <c r="I2884" t="str">
        <f t="shared" si="182"/>
        <v>Q2</v>
      </c>
      <c r="J2884" t="str">
        <f t="shared" si="183"/>
        <v>Large</v>
      </c>
    </row>
    <row r="2885" spans="1:10" x14ac:dyDescent="0.25">
      <c r="A2885" t="s">
        <v>28</v>
      </c>
      <c r="B2885" t="s">
        <v>26</v>
      </c>
      <c r="C2885" t="s">
        <v>13</v>
      </c>
      <c r="D2885" s="1">
        <v>45435</v>
      </c>
      <c r="E2885" s="2">
        <v>1263.98</v>
      </c>
      <c r="F2885">
        <v>19</v>
      </c>
      <c r="G2885" s="2">
        <f t="shared" si="180"/>
        <v>66.525263157894742</v>
      </c>
      <c r="H2885" t="str">
        <f t="shared" si="181"/>
        <v>May</v>
      </c>
      <c r="I2885" t="str">
        <f t="shared" si="182"/>
        <v>Q2</v>
      </c>
      <c r="J2885" t="str">
        <f t="shared" si="183"/>
        <v>Large</v>
      </c>
    </row>
    <row r="2886" spans="1:10" x14ac:dyDescent="0.25">
      <c r="A2886" t="s">
        <v>9</v>
      </c>
      <c r="B2886" t="s">
        <v>29</v>
      </c>
      <c r="C2886" t="s">
        <v>13</v>
      </c>
      <c r="D2886" s="1">
        <v>45467</v>
      </c>
      <c r="E2886" s="2">
        <v>7527.84</v>
      </c>
      <c r="F2886">
        <v>306</v>
      </c>
      <c r="G2886" s="2">
        <f t="shared" si="180"/>
        <v>24.600784313725491</v>
      </c>
      <c r="H2886" t="str">
        <f t="shared" si="181"/>
        <v>June</v>
      </c>
      <c r="I2886" t="str">
        <f t="shared" si="182"/>
        <v>Q2</v>
      </c>
      <c r="J2886" t="str">
        <f t="shared" si="183"/>
        <v>Large</v>
      </c>
    </row>
    <row r="2887" spans="1:10" x14ac:dyDescent="0.25">
      <c r="A2887" t="s">
        <v>49</v>
      </c>
      <c r="B2887" t="s">
        <v>21</v>
      </c>
      <c r="C2887" t="s">
        <v>16</v>
      </c>
      <c r="D2887" s="1">
        <v>45362</v>
      </c>
      <c r="E2887" s="2">
        <v>12265.45</v>
      </c>
      <c r="F2887">
        <v>268</v>
      </c>
      <c r="G2887" s="2">
        <f t="shared" si="180"/>
        <v>45.766604477611942</v>
      </c>
      <c r="H2887" t="str">
        <f t="shared" si="181"/>
        <v>March</v>
      </c>
      <c r="I2887" t="str">
        <f t="shared" si="182"/>
        <v>Q1</v>
      </c>
      <c r="J2887" t="str">
        <f t="shared" si="183"/>
        <v>Large</v>
      </c>
    </row>
    <row r="2888" spans="1:10" x14ac:dyDescent="0.25">
      <c r="A2888" t="s">
        <v>24</v>
      </c>
      <c r="B2888" t="s">
        <v>26</v>
      </c>
      <c r="C2888" t="s">
        <v>16</v>
      </c>
      <c r="D2888" s="1">
        <v>45500</v>
      </c>
      <c r="E2888" s="2">
        <v>17662.05</v>
      </c>
      <c r="F2888">
        <v>230</v>
      </c>
      <c r="G2888" s="2">
        <f t="shared" si="180"/>
        <v>76.791521739130431</v>
      </c>
      <c r="H2888" t="str">
        <f t="shared" si="181"/>
        <v>July</v>
      </c>
      <c r="I2888" t="str">
        <f t="shared" si="182"/>
        <v>Q3</v>
      </c>
      <c r="J2888" t="str">
        <f t="shared" si="183"/>
        <v>Large</v>
      </c>
    </row>
    <row r="2889" spans="1:10" x14ac:dyDescent="0.25">
      <c r="A2889" t="s">
        <v>24</v>
      </c>
      <c r="B2889" t="s">
        <v>26</v>
      </c>
      <c r="C2889" t="s">
        <v>44</v>
      </c>
      <c r="D2889" s="1">
        <v>45520</v>
      </c>
      <c r="E2889" s="2">
        <v>5520</v>
      </c>
      <c r="F2889">
        <v>120</v>
      </c>
      <c r="G2889" s="2">
        <f t="shared" si="180"/>
        <v>46</v>
      </c>
      <c r="H2889" t="str">
        <f t="shared" si="181"/>
        <v>August</v>
      </c>
      <c r="I2889" t="str">
        <f t="shared" si="182"/>
        <v>Q3</v>
      </c>
      <c r="J2889" t="str">
        <f t="shared" si="183"/>
        <v>Large</v>
      </c>
    </row>
    <row r="2890" spans="1:10" x14ac:dyDescent="0.25">
      <c r="A2890" t="s">
        <v>36</v>
      </c>
      <c r="B2890" t="s">
        <v>29</v>
      </c>
      <c r="C2890" t="s">
        <v>16</v>
      </c>
      <c r="D2890" s="1">
        <v>45358</v>
      </c>
      <c r="E2890" s="2">
        <v>10712.76</v>
      </c>
      <c r="F2890">
        <v>11</v>
      </c>
      <c r="G2890" s="2">
        <f t="shared" si="180"/>
        <v>973.88727272727272</v>
      </c>
      <c r="H2890" t="str">
        <f t="shared" si="181"/>
        <v>March</v>
      </c>
      <c r="I2890" t="str">
        <f t="shared" si="182"/>
        <v>Q1</v>
      </c>
      <c r="J2890" t="str">
        <f t="shared" si="183"/>
        <v>Large</v>
      </c>
    </row>
    <row r="2891" spans="1:10" x14ac:dyDescent="0.25">
      <c r="A2891" t="s">
        <v>38</v>
      </c>
      <c r="B2891" t="s">
        <v>21</v>
      </c>
      <c r="C2891" t="s">
        <v>20</v>
      </c>
      <c r="D2891" s="1">
        <v>45387</v>
      </c>
      <c r="E2891" s="2">
        <v>8416.7999999999993</v>
      </c>
      <c r="F2891">
        <v>29</v>
      </c>
      <c r="G2891" s="2">
        <f t="shared" si="180"/>
        <v>290.23448275862069</v>
      </c>
      <c r="H2891" t="str">
        <f t="shared" si="181"/>
        <v>April</v>
      </c>
      <c r="I2891" t="str">
        <f t="shared" si="182"/>
        <v>Q2</v>
      </c>
      <c r="J2891" t="str">
        <f t="shared" si="183"/>
        <v>Large</v>
      </c>
    </row>
    <row r="2892" spans="1:10" x14ac:dyDescent="0.25">
      <c r="A2892" t="s">
        <v>50</v>
      </c>
      <c r="B2892" t="s">
        <v>10</v>
      </c>
      <c r="C2892" t="s">
        <v>11</v>
      </c>
      <c r="D2892" s="1">
        <v>45416</v>
      </c>
      <c r="E2892" s="2">
        <v>9986.0499999999993</v>
      </c>
      <c r="F2892">
        <v>54</v>
      </c>
      <c r="G2892" s="2">
        <f t="shared" si="180"/>
        <v>184.92685185185184</v>
      </c>
      <c r="H2892" t="str">
        <f t="shared" si="181"/>
        <v>May</v>
      </c>
      <c r="I2892" t="str">
        <f t="shared" si="182"/>
        <v>Q2</v>
      </c>
      <c r="J2892" t="str">
        <f t="shared" si="183"/>
        <v>Large</v>
      </c>
    </row>
    <row r="2893" spans="1:10" x14ac:dyDescent="0.25">
      <c r="A2893" t="s">
        <v>55</v>
      </c>
      <c r="B2893" t="s">
        <v>26</v>
      </c>
      <c r="C2893" t="s">
        <v>52</v>
      </c>
      <c r="D2893" s="1">
        <v>45295</v>
      </c>
      <c r="E2893" s="2">
        <v>15629.82</v>
      </c>
      <c r="F2893">
        <v>89</v>
      </c>
      <c r="G2893" s="2">
        <f t="shared" si="180"/>
        <v>175.61595505617979</v>
      </c>
      <c r="H2893" t="str">
        <f t="shared" si="181"/>
        <v>January</v>
      </c>
      <c r="I2893" t="str">
        <f t="shared" si="182"/>
        <v>Q1</v>
      </c>
      <c r="J2893" t="str">
        <f t="shared" si="183"/>
        <v>Large</v>
      </c>
    </row>
    <row r="2894" spans="1:10" x14ac:dyDescent="0.25">
      <c r="A2894" t="s">
        <v>33</v>
      </c>
      <c r="B2894" t="s">
        <v>15</v>
      </c>
      <c r="C2894" t="s">
        <v>56</v>
      </c>
      <c r="D2894" s="1">
        <v>45304</v>
      </c>
      <c r="E2894" s="2">
        <v>6224.33</v>
      </c>
      <c r="F2894">
        <v>100</v>
      </c>
      <c r="G2894" s="2">
        <f t="shared" si="180"/>
        <v>62.243299999999998</v>
      </c>
      <c r="H2894" t="str">
        <f t="shared" si="181"/>
        <v>January</v>
      </c>
      <c r="I2894" t="str">
        <f t="shared" si="182"/>
        <v>Q1</v>
      </c>
      <c r="J2894" t="str">
        <f t="shared" si="183"/>
        <v>Large</v>
      </c>
    </row>
    <row r="2895" spans="1:10" x14ac:dyDescent="0.25">
      <c r="A2895" t="s">
        <v>46</v>
      </c>
      <c r="B2895" t="s">
        <v>21</v>
      </c>
      <c r="C2895" t="s">
        <v>42</v>
      </c>
      <c r="D2895" s="1">
        <v>45484</v>
      </c>
      <c r="E2895" s="2">
        <v>7736.85</v>
      </c>
      <c r="F2895">
        <v>95</v>
      </c>
      <c r="G2895" s="2">
        <f t="shared" si="180"/>
        <v>81.440526315789484</v>
      </c>
      <c r="H2895" t="str">
        <f t="shared" si="181"/>
        <v>July</v>
      </c>
      <c r="I2895" t="str">
        <f t="shared" si="182"/>
        <v>Q3</v>
      </c>
      <c r="J2895" t="str">
        <f t="shared" si="183"/>
        <v>Large</v>
      </c>
    </row>
    <row r="2896" spans="1:10" x14ac:dyDescent="0.25">
      <c r="A2896" t="s">
        <v>41</v>
      </c>
      <c r="B2896" t="s">
        <v>15</v>
      </c>
      <c r="C2896" t="s">
        <v>8</v>
      </c>
      <c r="D2896" s="1">
        <v>45429</v>
      </c>
      <c r="E2896" s="2">
        <v>4860.75</v>
      </c>
      <c r="F2896">
        <v>162</v>
      </c>
      <c r="G2896" s="2">
        <f t="shared" si="180"/>
        <v>30.00462962962963</v>
      </c>
      <c r="H2896" t="str">
        <f t="shared" si="181"/>
        <v>May</v>
      </c>
      <c r="I2896" t="str">
        <f t="shared" si="182"/>
        <v>Q2</v>
      </c>
      <c r="J2896" t="str">
        <f t="shared" si="183"/>
        <v>Large</v>
      </c>
    </row>
    <row r="2897" spans="1:10" x14ac:dyDescent="0.25">
      <c r="A2897" t="s">
        <v>50</v>
      </c>
      <c r="B2897" t="s">
        <v>21</v>
      </c>
      <c r="C2897" t="s">
        <v>13</v>
      </c>
      <c r="D2897" s="1">
        <v>45494</v>
      </c>
      <c r="E2897" s="2">
        <v>1754.64</v>
      </c>
      <c r="F2897">
        <v>62</v>
      </c>
      <c r="G2897" s="2">
        <f t="shared" si="180"/>
        <v>28.300645161290323</v>
      </c>
      <c r="H2897" t="str">
        <f t="shared" si="181"/>
        <v>July</v>
      </c>
      <c r="I2897" t="str">
        <f t="shared" si="182"/>
        <v>Q3</v>
      </c>
      <c r="J2897" t="str">
        <f t="shared" si="183"/>
        <v>Large</v>
      </c>
    </row>
    <row r="2898" spans="1:10" x14ac:dyDescent="0.25">
      <c r="A2898" t="s">
        <v>38</v>
      </c>
      <c r="B2898" t="s">
        <v>29</v>
      </c>
      <c r="C2898" t="s">
        <v>35</v>
      </c>
      <c r="D2898" s="1">
        <v>45344</v>
      </c>
      <c r="E2898" s="2">
        <v>897.13</v>
      </c>
      <c r="F2898">
        <v>24</v>
      </c>
      <c r="G2898" s="2">
        <f t="shared" si="180"/>
        <v>37.380416666666669</v>
      </c>
      <c r="H2898" t="str">
        <f t="shared" si="181"/>
        <v>February</v>
      </c>
      <c r="I2898" t="str">
        <f t="shared" si="182"/>
        <v>Q1</v>
      </c>
      <c r="J2898" t="str">
        <f t="shared" si="183"/>
        <v>Large</v>
      </c>
    </row>
    <row r="2899" spans="1:10" x14ac:dyDescent="0.25">
      <c r="A2899" t="s">
        <v>14</v>
      </c>
      <c r="B2899" t="s">
        <v>10</v>
      </c>
      <c r="C2899" t="s">
        <v>18</v>
      </c>
      <c r="D2899" s="1">
        <v>45435</v>
      </c>
      <c r="E2899" s="2">
        <v>10607.29</v>
      </c>
      <c r="F2899">
        <v>182</v>
      </c>
      <c r="G2899" s="2">
        <f t="shared" si="180"/>
        <v>58.281813186813189</v>
      </c>
      <c r="H2899" t="str">
        <f t="shared" si="181"/>
        <v>May</v>
      </c>
      <c r="I2899" t="str">
        <f t="shared" si="182"/>
        <v>Q2</v>
      </c>
      <c r="J2899" t="str">
        <f t="shared" si="183"/>
        <v>Large</v>
      </c>
    </row>
    <row r="2900" spans="1:10" x14ac:dyDescent="0.25">
      <c r="A2900" t="s">
        <v>24</v>
      </c>
      <c r="B2900" t="s">
        <v>29</v>
      </c>
      <c r="C2900" t="s">
        <v>32</v>
      </c>
      <c r="D2900" s="1">
        <v>45485</v>
      </c>
      <c r="E2900" s="2">
        <v>10772</v>
      </c>
      <c r="F2900">
        <v>192</v>
      </c>
      <c r="G2900" s="2">
        <f t="shared" si="180"/>
        <v>56.104166666666664</v>
      </c>
      <c r="H2900" t="str">
        <f t="shared" si="181"/>
        <v>July</v>
      </c>
      <c r="I2900" t="str">
        <f t="shared" si="182"/>
        <v>Q3</v>
      </c>
      <c r="J2900" t="str">
        <f t="shared" si="183"/>
        <v>Large</v>
      </c>
    </row>
    <row r="2901" spans="1:10" x14ac:dyDescent="0.25">
      <c r="A2901" t="s">
        <v>14</v>
      </c>
      <c r="B2901" t="s">
        <v>7</v>
      </c>
      <c r="C2901" t="s">
        <v>27</v>
      </c>
      <c r="D2901" s="1">
        <v>45458</v>
      </c>
      <c r="E2901" s="2">
        <v>4116.96</v>
      </c>
      <c r="F2901">
        <v>203</v>
      </c>
      <c r="G2901" s="2">
        <f t="shared" si="180"/>
        <v>20.280591133004926</v>
      </c>
      <c r="H2901" t="str">
        <f t="shared" si="181"/>
        <v>June</v>
      </c>
      <c r="I2901" t="str">
        <f t="shared" si="182"/>
        <v>Q2</v>
      </c>
      <c r="J2901" t="str">
        <f t="shared" si="183"/>
        <v>Large</v>
      </c>
    </row>
    <row r="2902" spans="1:10" x14ac:dyDescent="0.25">
      <c r="A2902" t="s">
        <v>25</v>
      </c>
      <c r="B2902" t="s">
        <v>21</v>
      </c>
      <c r="C2902" t="s">
        <v>22</v>
      </c>
      <c r="D2902" s="1">
        <v>45466</v>
      </c>
      <c r="E2902" s="2">
        <v>5185.3599999999997</v>
      </c>
      <c r="F2902">
        <v>321</v>
      </c>
      <c r="G2902" s="2">
        <f t="shared" si="180"/>
        <v>16.153769470404985</v>
      </c>
      <c r="H2902" t="str">
        <f t="shared" si="181"/>
        <v>June</v>
      </c>
      <c r="I2902" t="str">
        <f t="shared" si="182"/>
        <v>Q2</v>
      </c>
      <c r="J2902" t="str">
        <f t="shared" si="183"/>
        <v>Large</v>
      </c>
    </row>
    <row r="2903" spans="1:10" x14ac:dyDescent="0.25">
      <c r="A2903" t="s">
        <v>38</v>
      </c>
      <c r="B2903" t="s">
        <v>15</v>
      </c>
      <c r="C2903" t="s">
        <v>30</v>
      </c>
      <c r="D2903" s="1">
        <v>45376</v>
      </c>
      <c r="E2903" s="2">
        <v>6974.95</v>
      </c>
      <c r="F2903">
        <v>58</v>
      </c>
      <c r="G2903" s="2">
        <f t="shared" si="180"/>
        <v>120.25775862068966</v>
      </c>
      <c r="H2903" t="str">
        <f t="shared" si="181"/>
        <v>March</v>
      </c>
      <c r="I2903" t="str">
        <f t="shared" si="182"/>
        <v>Q1</v>
      </c>
      <c r="J2903" t="str">
        <f t="shared" si="183"/>
        <v>Large</v>
      </c>
    </row>
    <row r="2904" spans="1:10" x14ac:dyDescent="0.25">
      <c r="A2904" t="s">
        <v>14</v>
      </c>
      <c r="B2904" t="s">
        <v>10</v>
      </c>
      <c r="C2904" t="s">
        <v>57</v>
      </c>
      <c r="D2904" s="1">
        <v>45477</v>
      </c>
      <c r="E2904" s="2">
        <v>99.5</v>
      </c>
      <c r="F2904">
        <v>161</v>
      </c>
      <c r="G2904" s="2">
        <f t="shared" si="180"/>
        <v>0.61801242236024845</v>
      </c>
      <c r="H2904" t="str">
        <f t="shared" si="181"/>
        <v>July</v>
      </c>
      <c r="I2904" t="str">
        <f t="shared" si="182"/>
        <v>Q3</v>
      </c>
      <c r="J2904" t="str">
        <f t="shared" si="183"/>
        <v>Small</v>
      </c>
    </row>
    <row r="2905" spans="1:10" x14ac:dyDescent="0.25">
      <c r="A2905" t="s">
        <v>48</v>
      </c>
      <c r="B2905" t="s">
        <v>7</v>
      </c>
      <c r="C2905" t="s">
        <v>44</v>
      </c>
      <c r="D2905" s="1">
        <v>45424</v>
      </c>
      <c r="E2905" s="2">
        <v>10203.469999999999</v>
      </c>
      <c r="F2905">
        <v>109</v>
      </c>
      <c r="G2905" s="2">
        <f t="shared" si="180"/>
        <v>93.609816513761459</v>
      </c>
      <c r="H2905" t="str">
        <f t="shared" si="181"/>
        <v>May</v>
      </c>
      <c r="I2905" t="str">
        <f t="shared" si="182"/>
        <v>Q2</v>
      </c>
      <c r="J2905" t="str">
        <f t="shared" si="183"/>
        <v>Large</v>
      </c>
    </row>
    <row r="2906" spans="1:10" x14ac:dyDescent="0.25">
      <c r="A2906" t="s">
        <v>50</v>
      </c>
      <c r="B2906" t="s">
        <v>21</v>
      </c>
      <c r="C2906" t="s">
        <v>51</v>
      </c>
      <c r="D2906" s="1">
        <v>45386</v>
      </c>
      <c r="E2906" s="2">
        <v>5081.5200000000004</v>
      </c>
      <c r="F2906">
        <v>148</v>
      </c>
      <c r="G2906" s="2">
        <f t="shared" si="180"/>
        <v>34.334594594594599</v>
      </c>
      <c r="H2906" t="str">
        <f t="shared" si="181"/>
        <v>April</v>
      </c>
      <c r="I2906" t="str">
        <f t="shared" si="182"/>
        <v>Q2</v>
      </c>
      <c r="J2906" t="str">
        <f t="shared" si="183"/>
        <v>Large</v>
      </c>
    </row>
    <row r="2907" spans="1:10" x14ac:dyDescent="0.25">
      <c r="A2907" t="s">
        <v>53</v>
      </c>
      <c r="B2907" t="s">
        <v>15</v>
      </c>
      <c r="C2907" t="s">
        <v>27</v>
      </c>
      <c r="D2907" s="1">
        <v>45397</v>
      </c>
      <c r="E2907" s="2">
        <v>7166.62</v>
      </c>
      <c r="F2907">
        <v>381</v>
      </c>
      <c r="G2907" s="2">
        <f t="shared" si="180"/>
        <v>18.810026246719161</v>
      </c>
      <c r="H2907" t="str">
        <f t="shared" si="181"/>
        <v>April</v>
      </c>
      <c r="I2907" t="str">
        <f t="shared" si="182"/>
        <v>Q2</v>
      </c>
      <c r="J2907" t="str">
        <f t="shared" si="183"/>
        <v>Large</v>
      </c>
    </row>
    <row r="2908" spans="1:10" x14ac:dyDescent="0.25">
      <c r="A2908" t="s">
        <v>36</v>
      </c>
      <c r="B2908" t="s">
        <v>29</v>
      </c>
      <c r="C2908" t="s">
        <v>30</v>
      </c>
      <c r="D2908" s="1">
        <v>45359</v>
      </c>
      <c r="E2908" s="2">
        <v>7026.54</v>
      </c>
      <c r="F2908">
        <v>95</v>
      </c>
      <c r="G2908" s="2">
        <f t="shared" si="180"/>
        <v>73.963578947368418</v>
      </c>
      <c r="H2908" t="str">
        <f t="shared" si="181"/>
        <v>March</v>
      </c>
      <c r="I2908" t="str">
        <f t="shared" si="182"/>
        <v>Q1</v>
      </c>
      <c r="J2908" t="str">
        <f t="shared" si="183"/>
        <v>Large</v>
      </c>
    </row>
    <row r="2909" spans="1:10" x14ac:dyDescent="0.25">
      <c r="A2909" t="s">
        <v>31</v>
      </c>
      <c r="B2909" t="s">
        <v>10</v>
      </c>
      <c r="C2909" t="s">
        <v>44</v>
      </c>
      <c r="D2909" s="1">
        <v>45308</v>
      </c>
      <c r="E2909" s="2">
        <v>8265.32</v>
      </c>
      <c r="F2909">
        <v>251</v>
      </c>
      <c r="G2909" s="2">
        <f t="shared" si="180"/>
        <v>32.929561752988043</v>
      </c>
      <c r="H2909" t="str">
        <f t="shared" si="181"/>
        <v>January</v>
      </c>
      <c r="I2909" t="str">
        <f t="shared" si="182"/>
        <v>Q1</v>
      </c>
      <c r="J2909" t="str">
        <f t="shared" si="183"/>
        <v>Large</v>
      </c>
    </row>
    <row r="2910" spans="1:10" x14ac:dyDescent="0.25">
      <c r="A2910" t="s">
        <v>46</v>
      </c>
      <c r="B2910" t="s">
        <v>10</v>
      </c>
      <c r="C2910" t="s">
        <v>8</v>
      </c>
      <c r="D2910" s="1">
        <v>45526</v>
      </c>
      <c r="E2910" s="2">
        <v>1516.19</v>
      </c>
      <c r="F2910">
        <v>53</v>
      </c>
      <c r="G2910" s="2">
        <f t="shared" si="180"/>
        <v>28.607358490566039</v>
      </c>
      <c r="H2910" t="str">
        <f t="shared" si="181"/>
        <v>August</v>
      </c>
      <c r="I2910" t="str">
        <f t="shared" si="182"/>
        <v>Q3</v>
      </c>
      <c r="J2910" t="str">
        <f t="shared" si="183"/>
        <v>Large</v>
      </c>
    </row>
    <row r="2911" spans="1:10" x14ac:dyDescent="0.25">
      <c r="A2911" t="s">
        <v>48</v>
      </c>
      <c r="B2911" t="s">
        <v>7</v>
      </c>
      <c r="C2911" t="s">
        <v>18</v>
      </c>
      <c r="D2911" s="1">
        <v>45498</v>
      </c>
      <c r="E2911" s="2">
        <v>1258.54</v>
      </c>
      <c r="F2911">
        <v>72</v>
      </c>
      <c r="G2911" s="2">
        <f t="shared" si="180"/>
        <v>17.479722222222222</v>
      </c>
      <c r="H2911" t="str">
        <f t="shared" si="181"/>
        <v>July</v>
      </c>
      <c r="I2911" t="str">
        <f t="shared" si="182"/>
        <v>Q3</v>
      </c>
      <c r="J2911" t="str">
        <f t="shared" si="183"/>
        <v>Large</v>
      </c>
    </row>
    <row r="2912" spans="1:10" x14ac:dyDescent="0.25">
      <c r="A2912" t="s">
        <v>33</v>
      </c>
      <c r="B2912" t="s">
        <v>7</v>
      </c>
      <c r="C2912" t="s">
        <v>22</v>
      </c>
      <c r="D2912" s="1">
        <v>45457</v>
      </c>
      <c r="E2912" s="2">
        <v>3506.38</v>
      </c>
      <c r="F2912">
        <v>126</v>
      </c>
      <c r="G2912" s="2">
        <f t="shared" si="180"/>
        <v>27.828412698412698</v>
      </c>
      <c r="H2912" t="str">
        <f t="shared" si="181"/>
        <v>June</v>
      </c>
      <c r="I2912" t="str">
        <f t="shared" si="182"/>
        <v>Q2</v>
      </c>
      <c r="J2912" t="str">
        <f t="shared" si="183"/>
        <v>Large</v>
      </c>
    </row>
    <row r="2913" spans="1:10" x14ac:dyDescent="0.25">
      <c r="A2913" t="s">
        <v>55</v>
      </c>
      <c r="B2913" t="s">
        <v>10</v>
      </c>
      <c r="C2913" t="s">
        <v>52</v>
      </c>
      <c r="D2913" s="1">
        <v>45387</v>
      </c>
      <c r="E2913" s="2">
        <v>10969</v>
      </c>
      <c r="F2913">
        <v>83</v>
      </c>
      <c r="G2913" s="2">
        <f t="shared" si="180"/>
        <v>132.15662650602408</v>
      </c>
      <c r="H2913" t="str">
        <f t="shared" si="181"/>
        <v>April</v>
      </c>
      <c r="I2913" t="str">
        <f t="shared" si="182"/>
        <v>Q2</v>
      </c>
      <c r="J2913" t="str">
        <f t="shared" si="183"/>
        <v>Large</v>
      </c>
    </row>
    <row r="2914" spans="1:10" x14ac:dyDescent="0.25">
      <c r="A2914" t="s">
        <v>53</v>
      </c>
      <c r="B2914" t="s">
        <v>7</v>
      </c>
      <c r="C2914" t="s">
        <v>51</v>
      </c>
      <c r="D2914" s="1">
        <v>45530</v>
      </c>
      <c r="E2914" s="2">
        <v>8442.19</v>
      </c>
      <c r="F2914">
        <v>347</v>
      </c>
      <c r="G2914" s="2">
        <f t="shared" si="180"/>
        <v>24.329077809798271</v>
      </c>
      <c r="H2914" t="str">
        <f t="shared" si="181"/>
        <v>August</v>
      </c>
      <c r="I2914" t="str">
        <f t="shared" si="182"/>
        <v>Q3</v>
      </c>
      <c r="J2914" t="str">
        <f t="shared" si="183"/>
        <v>Large</v>
      </c>
    </row>
    <row r="2915" spans="1:10" x14ac:dyDescent="0.25">
      <c r="A2915" t="s">
        <v>46</v>
      </c>
      <c r="B2915" t="s">
        <v>15</v>
      </c>
      <c r="C2915" t="s">
        <v>22</v>
      </c>
      <c r="D2915" s="1">
        <v>45507</v>
      </c>
      <c r="E2915" s="2">
        <v>11000.85</v>
      </c>
      <c r="F2915">
        <v>112</v>
      </c>
      <c r="G2915" s="2">
        <f t="shared" si="180"/>
        <v>98.221874999999997</v>
      </c>
      <c r="H2915" t="str">
        <f t="shared" si="181"/>
        <v>August</v>
      </c>
      <c r="I2915" t="str">
        <f t="shared" si="182"/>
        <v>Q3</v>
      </c>
      <c r="J2915" t="str">
        <f t="shared" si="183"/>
        <v>Large</v>
      </c>
    </row>
    <row r="2916" spans="1:10" x14ac:dyDescent="0.25">
      <c r="A2916" t="s">
        <v>12</v>
      </c>
      <c r="B2916" t="s">
        <v>29</v>
      </c>
      <c r="C2916" t="s">
        <v>44</v>
      </c>
      <c r="D2916" s="1">
        <v>45484</v>
      </c>
      <c r="E2916" s="2">
        <v>6987.59</v>
      </c>
      <c r="F2916">
        <v>4</v>
      </c>
      <c r="G2916" s="2">
        <f t="shared" si="180"/>
        <v>1746.8975</v>
      </c>
      <c r="H2916" t="str">
        <f t="shared" si="181"/>
        <v>July</v>
      </c>
      <c r="I2916" t="str">
        <f t="shared" si="182"/>
        <v>Q3</v>
      </c>
      <c r="J2916" t="str">
        <f t="shared" si="183"/>
        <v>Large</v>
      </c>
    </row>
    <row r="2917" spans="1:10" x14ac:dyDescent="0.25">
      <c r="A2917" t="s">
        <v>46</v>
      </c>
      <c r="B2917" t="s">
        <v>21</v>
      </c>
      <c r="C2917" t="s">
        <v>30</v>
      </c>
      <c r="D2917" s="1">
        <v>45362</v>
      </c>
      <c r="E2917" s="2">
        <v>3735</v>
      </c>
      <c r="F2917">
        <v>21</v>
      </c>
      <c r="G2917" s="2">
        <f t="shared" si="180"/>
        <v>177.85714285714286</v>
      </c>
      <c r="H2917" t="str">
        <f t="shared" si="181"/>
        <v>March</v>
      </c>
      <c r="I2917" t="str">
        <f t="shared" si="182"/>
        <v>Q1</v>
      </c>
      <c r="J2917" t="str">
        <f t="shared" si="183"/>
        <v>Large</v>
      </c>
    </row>
    <row r="2918" spans="1:10" x14ac:dyDescent="0.25">
      <c r="A2918" t="s">
        <v>23</v>
      </c>
      <c r="B2918" t="s">
        <v>7</v>
      </c>
      <c r="C2918" t="s">
        <v>13</v>
      </c>
      <c r="D2918" s="1">
        <v>45301</v>
      </c>
      <c r="E2918" s="2">
        <v>17346.79</v>
      </c>
      <c r="F2918">
        <v>32</v>
      </c>
      <c r="G2918" s="2">
        <f t="shared" si="180"/>
        <v>542.08718750000003</v>
      </c>
      <c r="H2918" t="str">
        <f t="shared" si="181"/>
        <v>January</v>
      </c>
      <c r="I2918" t="str">
        <f t="shared" si="182"/>
        <v>Q1</v>
      </c>
      <c r="J2918" t="str">
        <f t="shared" si="183"/>
        <v>Large</v>
      </c>
    </row>
    <row r="2919" spans="1:10" x14ac:dyDescent="0.25">
      <c r="A2919" t="s">
        <v>36</v>
      </c>
      <c r="B2919" t="s">
        <v>7</v>
      </c>
      <c r="C2919" t="s">
        <v>56</v>
      </c>
      <c r="D2919" s="1">
        <v>45386</v>
      </c>
      <c r="E2919" s="2">
        <v>16517.2</v>
      </c>
      <c r="F2919">
        <v>349</v>
      </c>
      <c r="G2919" s="2">
        <f t="shared" si="180"/>
        <v>47.327220630372494</v>
      </c>
      <c r="H2919" t="str">
        <f t="shared" si="181"/>
        <v>April</v>
      </c>
      <c r="I2919" t="str">
        <f t="shared" si="182"/>
        <v>Q2</v>
      </c>
      <c r="J2919" t="str">
        <f t="shared" si="183"/>
        <v>Large</v>
      </c>
    </row>
    <row r="2920" spans="1:10" x14ac:dyDescent="0.25">
      <c r="A2920" t="s">
        <v>31</v>
      </c>
      <c r="B2920" t="s">
        <v>15</v>
      </c>
      <c r="C2920" t="s">
        <v>22</v>
      </c>
      <c r="D2920" s="1">
        <v>45308</v>
      </c>
      <c r="E2920" s="2">
        <v>7642.94</v>
      </c>
      <c r="F2920">
        <v>778</v>
      </c>
      <c r="G2920" s="2">
        <f t="shared" si="180"/>
        <v>9.8238303341902302</v>
      </c>
      <c r="H2920" t="str">
        <f t="shared" si="181"/>
        <v>January</v>
      </c>
      <c r="I2920" t="str">
        <f t="shared" si="182"/>
        <v>Q1</v>
      </c>
      <c r="J2920" t="str">
        <f t="shared" si="183"/>
        <v>Large</v>
      </c>
    </row>
    <row r="2921" spans="1:10" x14ac:dyDescent="0.25">
      <c r="A2921" t="s">
        <v>33</v>
      </c>
      <c r="B2921" t="s">
        <v>21</v>
      </c>
      <c r="C2921" t="s">
        <v>35</v>
      </c>
      <c r="D2921" s="1">
        <v>45481</v>
      </c>
      <c r="E2921" s="2">
        <v>10337.23</v>
      </c>
      <c r="F2921">
        <v>49</v>
      </c>
      <c r="G2921" s="2">
        <f t="shared" si="180"/>
        <v>210.9638775510204</v>
      </c>
      <c r="H2921" t="str">
        <f t="shared" si="181"/>
        <v>July</v>
      </c>
      <c r="I2921" t="str">
        <f t="shared" si="182"/>
        <v>Q3</v>
      </c>
      <c r="J2921" t="str">
        <f t="shared" si="183"/>
        <v>Large</v>
      </c>
    </row>
    <row r="2922" spans="1:10" x14ac:dyDescent="0.25">
      <c r="A2922" t="s">
        <v>14</v>
      </c>
      <c r="B2922" t="s">
        <v>7</v>
      </c>
      <c r="C2922" t="s">
        <v>35</v>
      </c>
      <c r="D2922" s="1">
        <v>45394</v>
      </c>
      <c r="E2922" s="2">
        <v>1367.24</v>
      </c>
      <c r="F2922">
        <v>384</v>
      </c>
      <c r="G2922" s="2">
        <f t="shared" si="180"/>
        <v>3.5605208333333334</v>
      </c>
      <c r="H2922" t="str">
        <f t="shared" si="181"/>
        <v>April</v>
      </c>
      <c r="I2922" t="str">
        <f t="shared" si="182"/>
        <v>Q2</v>
      </c>
      <c r="J2922" t="str">
        <f t="shared" si="183"/>
        <v>Large</v>
      </c>
    </row>
    <row r="2923" spans="1:10" x14ac:dyDescent="0.25">
      <c r="A2923" t="s">
        <v>24</v>
      </c>
      <c r="B2923" t="s">
        <v>29</v>
      </c>
      <c r="C2923" t="s">
        <v>42</v>
      </c>
      <c r="D2923" s="1">
        <v>45528</v>
      </c>
      <c r="E2923" s="2">
        <v>570.58000000000004</v>
      </c>
      <c r="F2923">
        <v>191</v>
      </c>
      <c r="G2923" s="2">
        <f t="shared" si="180"/>
        <v>2.9873298429319375</v>
      </c>
      <c r="H2923" t="str">
        <f t="shared" si="181"/>
        <v>August</v>
      </c>
      <c r="I2923" t="str">
        <f t="shared" si="182"/>
        <v>Q3</v>
      </c>
      <c r="J2923" t="str">
        <f t="shared" si="183"/>
        <v>Large</v>
      </c>
    </row>
    <row r="2924" spans="1:10" x14ac:dyDescent="0.25">
      <c r="A2924" t="s">
        <v>55</v>
      </c>
      <c r="B2924" t="s">
        <v>7</v>
      </c>
      <c r="C2924" t="s">
        <v>52</v>
      </c>
      <c r="D2924" s="1">
        <v>45450</v>
      </c>
      <c r="E2924" s="2">
        <v>2012.27</v>
      </c>
      <c r="F2924">
        <v>259</v>
      </c>
      <c r="G2924" s="2">
        <f t="shared" si="180"/>
        <v>7.7693822393822396</v>
      </c>
      <c r="H2924" t="str">
        <f t="shared" si="181"/>
        <v>June</v>
      </c>
      <c r="I2924" t="str">
        <f t="shared" si="182"/>
        <v>Q2</v>
      </c>
      <c r="J2924" t="str">
        <f t="shared" si="183"/>
        <v>Large</v>
      </c>
    </row>
    <row r="2925" spans="1:10" x14ac:dyDescent="0.25">
      <c r="A2925" t="s">
        <v>19</v>
      </c>
      <c r="B2925" t="s">
        <v>29</v>
      </c>
      <c r="C2925" t="s">
        <v>47</v>
      </c>
      <c r="D2925" s="1">
        <v>45501</v>
      </c>
      <c r="E2925" s="2">
        <v>1469.24</v>
      </c>
      <c r="F2925">
        <v>29</v>
      </c>
      <c r="G2925" s="2">
        <f t="shared" si="180"/>
        <v>50.663448275862066</v>
      </c>
      <c r="H2925" t="str">
        <f t="shared" si="181"/>
        <v>July</v>
      </c>
      <c r="I2925" t="str">
        <f t="shared" si="182"/>
        <v>Q3</v>
      </c>
      <c r="J2925" t="str">
        <f t="shared" si="183"/>
        <v>Large</v>
      </c>
    </row>
    <row r="2926" spans="1:10" x14ac:dyDescent="0.25">
      <c r="A2926" t="s">
        <v>40</v>
      </c>
      <c r="B2926" t="s">
        <v>26</v>
      </c>
      <c r="C2926" t="s">
        <v>18</v>
      </c>
      <c r="D2926" s="1">
        <v>45343</v>
      </c>
      <c r="E2926" s="2">
        <v>10020.18</v>
      </c>
      <c r="F2926">
        <v>113</v>
      </c>
      <c r="G2926" s="2">
        <f t="shared" si="180"/>
        <v>88.674159292035398</v>
      </c>
      <c r="H2926" t="str">
        <f t="shared" si="181"/>
        <v>February</v>
      </c>
      <c r="I2926" t="str">
        <f t="shared" si="182"/>
        <v>Q1</v>
      </c>
      <c r="J2926" t="str">
        <f t="shared" si="183"/>
        <v>Large</v>
      </c>
    </row>
    <row r="2927" spans="1:10" x14ac:dyDescent="0.25">
      <c r="A2927" t="s">
        <v>43</v>
      </c>
      <c r="B2927" t="s">
        <v>29</v>
      </c>
      <c r="C2927" t="s">
        <v>8</v>
      </c>
      <c r="D2927" s="1">
        <v>45390</v>
      </c>
      <c r="E2927" s="2">
        <v>1914.65</v>
      </c>
      <c r="F2927">
        <v>304</v>
      </c>
      <c r="G2927" s="2">
        <f t="shared" si="180"/>
        <v>6.2981907894736846</v>
      </c>
      <c r="H2927" t="str">
        <f t="shared" si="181"/>
        <v>April</v>
      </c>
      <c r="I2927" t="str">
        <f t="shared" si="182"/>
        <v>Q2</v>
      </c>
      <c r="J2927" t="str">
        <f t="shared" si="183"/>
        <v>Large</v>
      </c>
    </row>
    <row r="2928" spans="1:10" x14ac:dyDescent="0.25">
      <c r="A2928" t="s">
        <v>23</v>
      </c>
      <c r="B2928" t="s">
        <v>7</v>
      </c>
      <c r="C2928" t="s">
        <v>45</v>
      </c>
      <c r="D2928" s="1">
        <v>45471</v>
      </c>
      <c r="E2928" s="2">
        <v>73.91</v>
      </c>
      <c r="F2928">
        <v>101</v>
      </c>
      <c r="G2928" s="2">
        <f t="shared" si="180"/>
        <v>0.73178217821782177</v>
      </c>
      <c r="H2928" t="str">
        <f t="shared" si="181"/>
        <v>June</v>
      </c>
      <c r="I2928" t="str">
        <f t="shared" si="182"/>
        <v>Q2</v>
      </c>
      <c r="J2928" t="str">
        <f t="shared" si="183"/>
        <v>Small</v>
      </c>
    </row>
    <row r="2929" spans="1:10" x14ac:dyDescent="0.25">
      <c r="A2929" t="s">
        <v>9</v>
      </c>
      <c r="B2929" t="s">
        <v>7</v>
      </c>
      <c r="C2929" t="s">
        <v>56</v>
      </c>
      <c r="D2929" s="1">
        <v>45375</v>
      </c>
      <c r="E2929" s="2">
        <v>2794.33</v>
      </c>
      <c r="F2929">
        <v>21</v>
      </c>
      <c r="G2929" s="2">
        <f t="shared" si="180"/>
        <v>133.06333333333333</v>
      </c>
      <c r="H2929" t="str">
        <f t="shared" si="181"/>
        <v>March</v>
      </c>
      <c r="I2929" t="str">
        <f t="shared" si="182"/>
        <v>Q1</v>
      </c>
      <c r="J2929" t="str">
        <f t="shared" si="183"/>
        <v>Large</v>
      </c>
    </row>
    <row r="2930" spans="1:10" x14ac:dyDescent="0.25">
      <c r="A2930" t="s">
        <v>25</v>
      </c>
      <c r="B2930" t="s">
        <v>15</v>
      </c>
      <c r="C2930" t="s">
        <v>57</v>
      </c>
      <c r="D2930" s="1">
        <v>45502</v>
      </c>
      <c r="E2930" s="2">
        <v>3192.06</v>
      </c>
      <c r="F2930">
        <v>54</v>
      </c>
      <c r="G2930" s="2">
        <f t="shared" si="180"/>
        <v>59.112222222222222</v>
      </c>
      <c r="H2930" t="str">
        <f t="shared" si="181"/>
        <v>July</v>
      </c>
      <c r="I2930" t="str">
        <f t="shared" si="182"/>
        <v>Q3</v>
      </c>
      <c r="J2930" t="str">
        <f t="shared" si="183"/>
        <v>Large</v>
      </c>
    </row>
    <row r="2931" spans="1:10" x14ac:dyDescent="0.25">
      <c r="A2931" t="s">
        <v>43</v>
      </c>
      <c r="B2931" t="s">
        <v>26</v>
      </c>
      <c r="C2931" t="s">
        <v>30</v>
      </c>
      <c r="D2931" s="1">
        <v>45437</v>
      </c>
      <c r="E2931" s="2">
        <v>2447.37</v>
      </c>
      <c r="F2931">
        <v>98</v>
      </c>
      <c r="G2931" s="2">
        <f t="shared" si="180"/>
        <v>24.97316326530612</v>
      </c>
      <c r="H2931" t="str">
        <f t="shared" si="181"/>
        <v>May</v>
      </c>
      <c r="I2931" t="str">
        <f t="shared" si="182"/>
        <v>Q2</v>
      </c>
      <c r="J2931" t="str">
        <f t="shared" si="183"/>
        <v>Large</v>
      </c>
    </row>
    <row r="2932" spans="1:10" x14ac:dyDescent="0.25">
      <c r="A2932" t="s">
        <v>12</v>
      </c>
      <c r="B2932" t="s">
        <v>15</v>
      </c>
      <c r="C2932" t="s">
        <v>51</v>
      </c>
      <c r="D2932" s="1">
        <v>45381</v>
      </c>
      <c r="E2932" s="2">
        <v>7696.46</v>
      </c>
      <c r="F2932">
        <v>313</v>
      </c>
      <c r="G2932" s="2">
        <f t="shared" si="180"/>
        <v>24.589329073482428</v>
      </c>
      <c r="H2932" t="str">
        <f t="shared" si="181"/>
        <v>March</v>
      </c>
      <c r="I2932" t="str">
        <f t="shared" si="182"/>
        <v>Q1</v>
      </c>
      <c r="J2932" t="str">
        <f t="shared" si="183"/>
        <v>Large</v>
      </c>
    </row>
    <row r="2933" spans="1:10" x14ac:dyDescent="0.25">
      <c r="A2933" t="s">
        <v>43</v>
      </c>
      <c r="B2933" t="s">
        <v>26</v>
      </c>
      <c r="C2933" t="s">
        <v>35</v>
      </c>
      <c r="D2933" s="1">
        <v>45491</v>
      </c>
      <c r="E2933" s="2">
        <v>14731.55</v>
      </c>
      <c r="F2933">
        <v>132</v>
      </c>
      <c r="G2933" s="2">
        <f t="shared" si="180"/>
        <v>111.60265151515151</v>
      </c>
      <c r="H2933" t="str">
        <f t="shared" si="181"/>
        <v>July</v>
      </c>
      <c r="I2933" t="str">
        <f t="shared" si="182"/>
        <v>Q3</v>
      </c>
      <c r="J2933" t="str">
        <f t="shared" si="183"/>
        <v>Large</v>
      </c>
    </row>
    <row r="2934" spans="1:10" x14ac:dyDescent="0.25">
      <c r="A2934" t="s">
        <v>34</v>
      </c>
      <c r="B2934" t="s">
        <v>29</v>
      </c>
      <c r="C2934" t="s">
        <v>27</v>
      </c>
      <c r="D2934" s="1">
        <v>45422</v>
      </c>
      <c r="E2934" s="2">
        <v>9321.64</v>
      </c>
      <c r="F2934">
        <v>111</v>
      </c>
      <c r="G2934" s="2">
        <f t="shared" si="180"/>
        <v>83.978738738738727</v>
      </c>
      <c r="H2934" t="str">
        <f t="shared" si="181"/>
        <v>May</v>
      </c>
      <c r="I2934" t="str">
        <f t="shared" si="182"/>
        <v>Q2</v>
      </c>
      <c r="J2934" t="str">
        <f t="shared" si="183"/>
        <v>Large</v>
      </c>
    </row>
    <row r="2935" spans="1:10" x14ac:dyDescent="0.25">
      <c r="A2935" t="s">
        <v>28</v>
      </c>
      <c r="B2935" t="s">
        <v>15</v>
      </c>
      <c r="C2935" t="s">
        <v>52</v>
      </c>
      <c r="D2935" s="1">
        <v>45369</v>
      </c>
      <c r="E2935" s="2">
        <v>18473.63</v>
      </c>
      <c r="F2935">
        <v>88</v>
      </c>
      <c r="G2935" s="2">
        <f t="shared" si="180"/>
        <v>209.92761363636365</v>
      </c>
      <c r="H2935" t="str">
        <f t="shared" si="181"/>
        <v>March</v>
      </c>
      <c r="I2935" t="str">
        <f t="shared" si="182"/>
        <v>Q1</v>
      </c>
      <c r="J2935" t="str">
        <f t="shared" si="183"/>
        <v>Large</v>
      </c>
    </row>
    <row r="2936" spans="1:10" x14ac:dyDescent="0.25">
      <c r="A2936" t="s">
        <v>55</v>
      </c>
      <c r="B2936" t="s">
        <v>10</v>
      </c>
      <c r="C2936" t="s">
        <v>57</v>
      </c>
      <c r="D2936" s="1">
        <v>45458</v>
      </c>
      <c r="E2936" s="2">
        <v>7437.55</v>
      </c>
      <c r="F2936">
        <v>54</v>
      </c>
      <c r="G2936" s="2">
        <f t="shared" si="180"/>
        <v>137.73240740740741</v>
      </c>
      <c r="H2936" t="str">
        <f t="shared" si="181"/>
        <v>June</v>
      </c>
      <c r="I2936" t="str">
        <f t="shared" si="182"/>
        <v>Q2</v>
      </c>
      <c r="J2936" t="str">
        <f t="shared" si="183"/>
        <v>Large</v>
      </c>
    </row>
    <row r="2937" spans="1:10" x14ac:dyDescent="0.25">
      <c r="A2937" t="s">
        <v>9</v>
      </c>
      <c r="B2937" t="s">
        <v>29</v>
      </c>
      <c r="C2937" t="s">
        <v>22</v>
      </c>
      <c r="D2937" s="1">
        <v>45424</v>
      </c>
      <c r="E2937" s="2">
        <v>14581.33</v>
      </c>
      <c r="F2937">
        <v>58</v>
      </c>
      <c r="G2937" s="2">
        <f t="shared" si="180"/>
        <v>251.40224137931034</v>
      </c>
      <c r="H2937" t="str">
        <f t="shared" si="181"/>
        <v>May</v>
      </c>
      <c r="I2937" t="str">
        <f t="shared" si="182"/>
        <v>Q2</v>
      </c>
      <c r="J2937" t="str">
        <f t="shared" si="183"/>
        <v>Large</v>
      </c>
    </row>
    <row r="2938" spans="1:10" x14ac:dyDescent="0.25">
      <c r="A2938" t="s">
        <v>49</v>
      </c>
      <c r="B2938" t="s">
        <v>21</v>
      </c>
      <c r="C2938" t="s">
        <v>56</v>
      </c>
      <c r="D2938" s="1">
        <v>45466</v>
      </c>
      <c r="E2938" s="2">
        <v>3389.96</v>
      </c>
      <c r="F2938">
        <v>115</v>
      </c>
      <c r="G2938" s="2">
        <f t="shared" si="180"/>
        <v>29.47791304347826</v>
      </c>
      <c r="H2938" t="str">
        <f t="shared" si="181"/>
        <v>June</v>
      </c>
      <c r="I2938" t="str">
        <f t="shared" si="182"/>
        <v>Q2</v>
      </c>
      <c r="J2938" t="str">
        <f t="shared" si="183"/>
        <v>Large</v>
      </c>
    </row>
    <row r="2939" spans="1:10" x14ac:dyDescent="0.25">
      <c r="A2939" t="s">
        <v>34</v>
      </c>
      <c r="B2939" t="s">
        <v>10</v>
      </c>
      <c r="C2939" t="s">
        <v>39</v>
      </c>
      <c r="D2939" s="1">
        <v>45403</v>
      </c>
      <c r="E2939" s="2">
        <v>3968.38</v>
      </c>
      <c r="F2939">
        <v>182</v>
      </c>
      <c r="G2939" s="2">
        <f t="shared" si="180"/>
        <v>21.804285714285715</v>
      </c>
      <c r="H2939" t="str">
        <f t="shared" si="181"/>
        <v>April</v>
      </c>
      <c r="I2939" t="str">
        <f t="shared" si="182"/>
        <v>Q2</v>
      </c>
      <c r="J2939" t="str">
        <f t="shared" si="183"/>
        <v>Large</v>
      </c>
    </row>
    <row r="2940" spans="1:10" x14ac:dyDescent="0.25">
      <c r="A2940" t="s">
        <v>12</v>
      </c>
      <c r="B2940" t="s">
        <v>15</v>
      </c>
      <c r="C2940" t="s">
        <v>47</v>
      </c>
      <c r="D2940" s="1">
        <v>45521</v>
      </c>
      <c r="E2940" s="2">
        <v>1084.26</v>
      </c>
      <c r="F2940">
        <v>120</v>
      </c>
      <c r="G2940" s="2">
        <f t="shared" si="180"/>
        <v>9.0355000000000008</v>
      </c>
      <c r="H2940" t="str">
        <f t="shared" si="181"/>
        <v>August</v>
      </c>
      <c r="I2940" t="str">
        <f t="shared" si="182"/>
        <v>Q3</v>
      </c>
      <c r="J2940" t="str">
        <f t="shared" si="183"/>
        <v>Large</v>
      </c>
    </row>
    <row r="2941" spans="1:10" x14ac:dyDescent="0.25">
      <c r="A2941" t="s">
        <v>24</v>
      </c>
      <c r="B2941" t="s">
        <v>21</v>
      </c>
      <c r="C2941" t="s">
        <v>30</v>
      </c>
      <c r="D2941" s="1">
        <v>45329</v>
      </c>
      <c r="E2941" s="2">
        <v>20690.2</v>
      </c>
      <c r="F2941">
        <v>51</v>
      </c>
      <c r="G2941" s="2">
        <f t="shared" si="180"/>
        <v>405.69019607843137</v>
      </c>
      <c r="H2941" t="str">
        <f t="shared" si="181"/>
        <v>February</v>
      </c>
      <c r="I2941" t="str">
        <f t="shared" si="182"/>
        <v>Q1</v>
      </c>
      <c r="J2941" t="str">
        <f t="shared" si="183"/>
        <v>Large</v>
      </c>
    </row>
    <row r="2942" spans="1:10" x14ac:dyDescent="0.25">
      <c r="A2942" t="s">
        <v>49</v>
      </c>
      <c r="B2942" t="s">
        <v>29</v>
      </c>
      <c r="C2942" t="s">
        <v>16</v>
      </c>
      <c r="D2942" s="1">
        <v>45368</v>
      </c>
      <c r="E2942" s="2">
        <v>8929.57</v>
      </c>
      <c r="F2942">
        <v>121</v>
      </c>
      <c r="G2942" s="2">
        <f t="shared" si="180"/>
        <v>73.798099173553723</v>
      </c>
      <c r="H2942" t="str">
        <f t="shared" si="181"/>
        <v>March</v>
      </c>
      <c r="I2942" t="str">
        <f t="shared" si="182"/>
        <v>Q1</v>
      </c>
      <c r="J2942" t="str">
        <f t="shared" si="183"/>
        <v>Large</v>
      </c>
    </row>
    <row r="2943" spans="1:10" x14ac:dyDescent="0.25">
      <c r="A2943" t="s">
        <v>14</v>
      </c>
      <c r="B2943" t="s">
        <v>10</v>
      </c>
      <c r="C2943" t="s">
        <v>56</v>
      </c>
      <c r="D2943" s="1">
        <v>45505</v>
      </c>
      <c r="E2943" s="2">
        <v>15497.27</v>
      </c>
      <c r="F2943">
        <v>85</v>
      </c>
      <c r="G2943" s="2">
        <f t="shared" si="180"/>
        <v>182.32082352941177</v>
      </c>
      <c r="H2943" t="str">
        <f t="shared" si="181"/>
        <v>August</v>
      </c>
      <c r="I2943" t="str">
        <f t="shared" si="182"/>
        <v>Q3</v>
      </c>
      <c r="J2943" t="str">
        <f t="shared" si="183"/>
        <v>Large</v>
      </c>
    </row>
    <row r="2944" spans="1:10" x14ac:dyDescent="0.25">
      <c r="A2944" t="s">
        <v>6</v>
      </c>
      <c r="B2944" t="s">
        <v>15</v>
      </c>
      <c r="C2944" t="s">
        <v>37</v>
      </c>
      <c r="D2944" s="1">
        <v>45369</v>
      </c>
      <c r="E2944" s="2">
        <v>9172.1299999999992</v>
      </c>
      <c r="F2944">
        <v>30</v>
      </c>
      <c r="G2944" s="2">
        <f t="shared" si="180"/>
        <v>305.73766666666666</v>
      </c>
      <c r="H2944" t="str">
        <f t="shared" si="181"/>
        <v>March</v>
      </c>
      <c r="I2944" t="str">
        <f t="shared" si="182"/>
        <v>Q1</v>
      </c>
      <c r="J2944" t="str">
        <f t="shared" si="183"/>
        <v>Large</v>
      </c>
    </row>
    <row r="2945" spans="1:10" x14ac:dyDescent="0.25">
      <c r="A2945" t="s">
        <v>12</v>
      </c>
      <c r="B2945" t="s">
        <v>29</v>
      </c>
      <c r="C2945" t="s">
        <v>42</v>
      </c>
      <c r="D2945" s="1">
        <v>45457</v>
      </c>
      <c r="E2945" s="2">
        <v>6093.61</v>
      </c>
      <c r="F2945">
        <v>104</v>
      </c>
      <c r="G2945" s="2">
        <f t="shared" si="180"/>
        <v>58.592403846153843</v>
      </c>
      <c r="H2945" t="str">
        <f t="shared" si="181"/>
        <v>June</v>
      </c>
      <c r="I2945" t="str">
        <f t="shared" si="182"/>
        <v>Q2</v>
      </c>
      <c r="J2945" t="str">
        <f t="shared" si="183"/>
        <v>Large</v>
      </c>
    </row>
    <row r="2946" spans="1:10" x14ac:dyDescent="0.25">
      <c r="A2946" t="s">
        <v>34</v>
      </c>
      <c r="B2946" t="s">
        <v>7</v>
      </c>
      <c r="C2946" t="s">
        <v>30</v>
      </c>
      <c r="D2946" s="1">
        <v>45404</v>
      </c>
      <c r="E2946" s="2">
        <v>9144.7900000000009</v>
      </c>
      <c r="F2946">
        <v>156</v>
      </c>
      <c r="G2946" s="2">
        <f t="shared" si="180"/>
        <v>58.620448717948726</v>
      </c>
      <c r="H2946" t="str">
        <f t="shared" si="181"/>
        <v>April</v>
      </c>
      <c r="I2946" t="str">
        <f t="shared" si="182"/>
        <v>Q2</v>
      </c>
      <c r="J2946" t="str">
        <f t="shared" si="183"/>
        <v>Large</v>
      </c>
    </row>
    <row r="2947" spans="1:10" x14ac:dyDescent="0.25">
      <c r="A2947" t="s">
        <v>33</v>
      </c>
      <c r="B2947" t="s">
        <v>21</v>
      </c>
      <c r="C2947" t="s">
        <v>30</v>
      </c>
      <c r="D2947" s="1">
        <v>45309</v>
      </c>
      <c r="E2947" s="2">
        <v>5902.91</v>
      </c>
      <c r="F2947">
        <v>31</v>
      </c>
      <c r="G2947" s="2">
        <f t="shared" ref="G2947:G3010" si="184">E2947/F2947</f>
        <v>190.41645161290322</v>
      </c>
      <c r="H2947" t="str">
        <f t="shared" ref="H2947:H3010" si="185">TEXT(D2947, "mmmm")</f>
        <v>January</v>
      </c>
      <c r="I2947" t="str">
        <f t="shared" ref="I2947:I3010" si="186">"Q" &amp; ROUNDUP(MONTH(D2947)/3,0)</f>
        <v>Q1</v>
      </c>
      <c r="J2947" t="str">
        <f t="shared" ref="J2947:J3010" si="187">IF(E2947 &gt; 500, "Large", "Small")</f>
        <v>Large</v>
      </c>
    </row>
    <row r="2948" spans="1:10" x14ac:dyDescent="0.25">
      <c r="A2948" t="s">
        <v>40</v>
      </c>
      <c r="B2948" t="s">
        <v>15</v>
      </c>
      <c r="C2948" t="s">
        <v>18</v>
      </c>
      <c r="D2948" s="1">
        <v>45530</v>
      </c>
      <c r="E2948" s="2">
        <v>3277.47</v>
      </c>
      <c r="F2948">
        <v>131</v>
      </c>
      <c r="G2948" s="2">
        <f t="shared" si="184"/>
        <v>25.018854961832059</v>
      </c>
      <c r="H2948" t="str">
        <f t="shared" si="185"/>
        <v>August</v>
      </c>
      <c r="I2948" t="str">
        <f t="shared" si="186"/>
        <v>Q3</v>
      </c>
      <c r="J2948" t="str">
        <f t="shared" si="187"/>
        <v>Large</v>
      </c>
    </row>
    <row r="2949" spans="1:10" x14ac:dyDescent="0.25">
      <c r="A2949" t="s">
        <v>19</v>
      </c>
      <c r="B2949" t="s">
        <v>21</v>
      </c>
      <c r="C2949" t="s">
        <v>42</v>
      </c>
      <c r="D2949" s="1">
        <v>45453</v>
      </c>
      <c r="E2949" s="2">
        <v>9759.5300000000007</v>
      </c>
      <c r="F2949">
        <v>424</v>
      </c>
      <c r="G2949" s="2">
        <f t="shared" si="184"/>
        <v>23.017759433962265</v>
      </c>
      <c r="H2949" t="str">
        <f t="shared" si="185"/>
        <v>June</v>
      </c>
      <c r="I2949" t="str">
        <f t="shared" si="186"/>
        <v>Q2</v>
      </c>
      <c r="J2949" t="str">
        <f t="shared" si="187"/>
        <v>Large</v>
      </c>
    </row>
    <row r="2950" spans="1:10" x14ac:dyDescent="0.25">
      <c r="A2950" t="s">
        <v>38</v>
      </c>
      <c r="B2950" t="s">
        <v>29</v>
      </c>
      <c r="C2950" t="s">
        <v>58</v>
      </c>
      <c r="D2950" s="1">
        <v>45322</v>
      </c>
      <c r="E2950" s="2">
        <v>2504.9</v>
      </c>
      <c r="F2950">
        <v>7</v>
      </c>
      <c r="G2950" s="2">
        <f t="shared" si="184"/>
        <v>357.84285714285716</v>
      </c>
      <c r="H2950" t="str">
        <f t="shared" si="185"/>
        <v>January</v>
      </c>
      <c r="I2950" t="str">
        <f t="shared" si="186"/>
        <v>Q1</v>
      </c>
      <c r="J2950" t="str">
        <f t="shared" si="187"/>
        <v>Large</v>
      </c>
    </row>
    <row r="2951" spans="1:10" x14ac:dyDescent="0.25">
      <c r="A2951" t="s">
        <v>49</v>
      </c>
      <c r="B2951" t="s">
        <v>21</v>
      </c>
      <c r="C2951" t="s">
        <v>45</v>
      </c>
      <c r="D2951" s="1">
        <v>45390</v>
      </c>
      <c r="E2951" s="2">
        <v>1527.99</v>
      </c>
      <c r="F2951">
        <v>107</v>
      </c>
      <c r="G2951" s="2">
        <f t="shared" si="184"/>
        <v>14.280280373831776</v>
      </c>
      <c r="H2951" t="str">
        <f t="shared" si="185"/>
        <v>April</v>
      </c>
      <c r="I2951" t="str">
        <f t="shared" si="186"/>
        <v>Q2</v>
      </c>
      <c r="J2951" t="str">
        <f t="shared" si="187"/>
        <v>Large</v>
      </c>
    </row>
    <row r="2952" spans="1:10" x14ac:dyDescent="0.25">
      <c r="A2952" t="s">
        <v>54</v>
      </c>
      <c r="B2952" t="s">
        <v>15</v>
      </c>
      <c r="C2952" t="s">
        <v>56</v>
      </c>
      <c r="D2952" s="1">
        <v>45450</v>
      </c>
      <c r="E2952" s="2">
        <v>3767.49</v>
      </c>
      <c r="F2952">
        <v>65</v>
      </c>
      <c r="G2952" s="2">
        <f t="shared" si="184"/>
        <v>57.96138461538461</v>
      </c>
      <c r="H2952" t="str">
        <f t="shared" si="185"/>
        <v>June</v>
      </c>
      <c r="I2952" t="str">
        <f t="shared" si="186"/>
        <v>Q2</v>
      </c>
      <c r="J2952" t="str">
        <f t="shared" si="187"/>
        <v>Large</v>
      </c>
    </row>
    <row r="2953" spans="1:10" x14ac:dyDescent="0.25">
      <c r="A2953" t="s">
        <v>25</v>
      </c>
      <c r="B2953" t="s">
        <v>15</v>
      </c>
      <c r="C2953" t="s">
        <v>11</v>
      </c>
      <c r="D2953" s="1">
        <v>45332</v>
      </c>
      <c r="E2953" s="2">
        <v>9452.18</v>
      </c>
      <c r="F2953">
        <v>42</v>
      </c>
      <c r="G2953" s="2">
        <f t="shared" si="184"/>
        <v>225.05190476190478</v>
      </c>
      <c r="H2953" t="str">
        <f t="shared" si="185"/>
        <v>February</v>
      </c>
      <c r="I2953" t="str">
        <f t="shared" si="186"/>
        <v>Q1</v>
      </c>
      <c r="J2953" t="str">
        <f t="shared" si="187"/>
        <v>Large</v>
      </c>
    </row>
    <row r="2954" spans="1:10" x14ac:dyDescent="0.25">
      <c r="A2954" t="s">
        <v>34</v>
      </c>
      <c r="B2954" t="s">
        <v>15</v>
      </c>
      <c r="C2954" t="s">
        <v>22</v>
      </c>
      <c r="D2954" s="1">
        <v>45428</v>
      </c>
      <c r="E2954" s="2">
        <v>764.63</v>
      </c>
      <c r="F2954">
        <v>441</v>
      </c>
      <c r="G2954" s="2">
        <f t="shared" si="184"/>
        <v>1.7338548752834466</v>
      </c>
      <c r="H2954" t="str">
        <f t="shared" si="185"/>
        <v>May</v>
      </c>
      <c r="I2954" t="str">
        <f t="shared" si="186"/>
        <v>Q2</v>
      </c>
      <c r="J2954" t="str">
        <f t="shared" si="187"/>
        <v>Large</v>
      </c>
    </row>
    <row r="2955" spans="1:10" x14ac:dyDescent="0.25">
      <c r="A2955" t="s">
        <v>19</v>
      </c>
      <c r="B2955" t="s">
        <v>10</v>
      </c>
      <c r="C2955" t="s">
        <v>56</v>
      </c>
      <c r="D2955" s="1">
        <v>45369</v>
      </c>
      <c r="E2955" s="2">
        <v>2432.75</v>
      </c>
      <c r="F2955">
        <v>535</v>
      </c>
      <c r="G2955" s="2">
        <f t="shared" si="184"/>
        <v>4.5471962616822426</v>
      </c>
      <c r="H2955" t="str">
        <f t="shared" si="185"/>
        <v>March</v>
      </c>
      <c r="I2955" t="str">
        <f t="shared" si="186"/>
        <v>Q1</v>
      </c>
      <c r="J2955" t="str">
        <f t="shared" si="187"/>
        <v>Large</v>
      </c>
    </row>
    <row r="2956" spans="1:10" x14ac:dyDescent="0.25">
      <c r="A2956" t="s">
        <v>9</v>
      </c>
      <c r="B2956" t="s">
        <v>15</v>
      </c>
      <c r="C2956" t="s">
        <v>22</v>
      </c>
      <c r="D2956" s="1">
        <v>45486</v>
      </c>
      <c r="E2956" s="2">
        <v>779.04</v>
      </c>
      <c r="F2956">
        <v>134</v>
      </c>
      <c r="G2956" s="2">
        <f t="shared" si="184"/>
        <v>5.8137313432835818</v>
      </c>
      <c r="H2956" t="str">
        <f t="shared" si="185"/>
        <v>July</v>
      </c>
      <c r="I2956" t="str">
        <f t="shared" si="186"/>
        <v>Q3</v>
      </c>
      <c r="J2956" t="str">
        <f t="shared" si="187"/>
        <v>Large</v>
      </c>
    </row>
    <row r="2957" spans="1:10" x14ac:dyDescent="0.25">
      <c r="A2957" t="s">
        <v>17</v>
      </c>
      <c r="B2957" t="s">
        <v>26</v>
      </c>
      <c r="C2957" t="s">
        <v>45</v>
      </c>
      <c r="D2957" s="1">
        <v>45498</v>
      </c>
      <c r="E2957" s="2">
        <v>5050.53</v>
      </c>
      <c r="F2957">
        <v>85</v>
      </c>
      <c r="G2957" s="2">
        <f t="shared" si="184"/>
        <v>59.417999999999999</v>
      </c>
      <c r="H2957" t="str">
        <f t="shared" si="185"/>
        <v>July</v>
      </c>
      <c r="I2957" t="str">
        <f t="shared" si="186"/>
        <v>Q3</v>
      </c>
      <c r="J2957" t="str">
        <f t="shared" si="187"/>
        <v>Large</v>
      </c>
    </row>
    <row r="2958" spans="1:10" x14ac:dyDescent="0.25">
      <c r="A2958" t="s">
        <v>9</v>
      </c>
      <c r="B2958" t="s">
        <v>29</v>
      </c>
      <c r="C2958" t="s">
        <v>52</v>
      </c>
      <c r="D2958" s="1">
        <v>45523</v>
      </c>
      <c r="E2958" s="2">
        <v>2727.35</v>
      </c>
      <c r="F2958">
        <v>293</v>
      </c>
      <c r="G2958" s="2">
        <f t="shared" si="184"/>
        <v>9.3083617747440268</v>
      </c>
      <c r="H2958" t="str">
        <f t="shared" si="185"/>
        <v>August</v>
      </c>
      <c r="I2958" t="str">
        <f t="shared" si="186"/>
        <v>Q3</v>
      </c>
      <c r="J2958" t="str">
        <f t="shared" si="187"/>
        <v>Large</v>
      </c>
    </row>
    <row r="2959" spans="1:10" x14ac:dyDescent="0.25">
      <c r="A2959" t="s">
        <v>31</v>
      </c>
      <c r="B2959" t="s">
        <v>29</v>
      </c>
      <c r="C2959" t="s">
        <v>58</v>
      </c>
      <c r="D2959" s="1">
        <v>45467</v>
      </c>
      <c r="E2959" s="2">
        <v>9089.2099999999991</v>
      </c>
      <c r="F2959">
        <v>602</v>
      </c>
      <c r="G2959" s="2">
        <f t="shared" si="184"/>
        <v>15.098355481727573</v>
      </c>
      <c r="H2959" t="str">
        <f t="shared" si="185"/>
        <v>June</v>
      </c>
      <c r="I2959" t="str">
        <f t="shared" si="186"/>
        <v>Q2</v>
      </c>
      <c r="J2959" t="str">
        <f t="shared" si="187"/>
        <v>Large</v>
      </c>
    </row>
    <row r="2960" spans="1:10" x14ac:dyDescent="0.25">
      <c r="A2960" t="s">
        <v>49</v>
      </c>
      <c r="B2960" t="s">
        <v>29</v>
      </c>
      <c r="C2960" t="s">
        <v>42</v>
      </c>
      <c r="D2960" s="1">
        <v>45463</v>
      </c>
      <c r="E2960" s="2">
        <v>881.49</v>
      </c>
      <c r="F2960">
        <v>152</v>
      </c>
      <c r="G2960" s="2">
        <f t="shared" si="184"/>
        <v>5.7992763157894736</v>
      </c>
      <c r="H2960" t="str">
        <f t="shared" si="185"/>
        <v>June</v>
      </c>
      <c r="I2960" t="str">
        <f t="shared" si="186"/>
        <v>Q2</v>
      </c>
      <c r="J2960" t="str">
        <f t="shared" si="187"/>
        <v>Large</v>
      </c>
    </row>
    <row r="2961" spans="1:10" x14ac:dyDescent="0.25">
      <c r="A2961" t="s">
        <v>50</v>
      </c>
      <c r="B2961" t="s">
        <v>10</v>
      </c>
      <c r="C2961" t="s">
        <v>18</v>
      </c>
      <c r="D2961" s="1">
        <v>45506</v>
      </c>
      <c r="E2961" s="2">
        <v>227.55</v>
      </c>
      <c r="F2961">
        <v>225</v>
      </c>
      <c r="G2961" s="2">
        <f t="shared" si="184"/>
        <v>1.0113333333333334</v>
      </c>
      <c r="H2961" t="str">
        <f t="shared" si="185"/>
        <v>August</v>
      </c>
      <c r="I2961" t="str">
        <f t="shared" si="186"/>
        <v>Q3</v>
      </c>
      <c r="J2961" t="str">
        <f t="shared" si="187"/>
        <v>Small</v>
      </c>
    </row>
    <row r="2962" spans="1:10" x14ac:dyDescent="0.25">
      <c r="A2962" t="s">
        <v>53</v>
      </c>
      <c r="B2962" t="s">
        <v>21</v>
      </c>
      <c r="C2962" t="s">
        <v>58</v>
      </c>
      <c r="D2962" s="1">
        <v>45344</v>
      </c>
      <c r="E2962" s="2">
        <v>14193.58</v>
      </c>
      <c r="F2962">
        <v>102</v>
      </c>
      <c r="G2962" s="2">
        <f t="shared" si="184"/>
        <v>139.15274509803922</v>
      </c>
      <c r="H2962" t="str">
        <f t="shared" si="185"/>
        <v>February</v>
      </c>
      <c r="I2962" t="str">
        <f t="shared" si="186"/>
        <v>Q1</v>
      </c>
      <c r="J2962" t="str">
        <f t="shared" si="187"/>
        <v>Large</v>
      </c>
    </row>
    <row r="2963" spans="1:10" x14ac:dyDescent="0.25">
      <c r="A2963" t="s">
        <v>28</v>
      </c>
      <c r="B2963" t="s">
        <v>21</v>
      </c>
      <c r="C2963" t="s">
        <v>27</v>
      </c>
      <c r="D2963" s="1">
        <v>45323</v>
      </c>
      <c r="E2963" s="2">
        <v>7459.88</v>
      </c>
      <c r="F2963">
        <v>23</v>
      </c>
      <c r="G2963" s="2">
        <f t="shared" si="184"/>
        <v>324.34260869565219</v>
      </c>
      <c r="H2963" t="str">
        <f t="shared" si="185"/>
        <v>February</v>
      </c>
      <c r="I2963" t="str">
        <f t="shared" si="186"/>
        <v>Q1</v>
      </c>
      <c r="J2963" t="str">
        <f t="shared" si="187"/>
        <v>Large</v>
      </c>
    </row>
    <row r="2964" spans="1:10" x14ac:dyDescent="0.25">
      <c r="A2964" t="s">
        <v>14</v>
      </c>
      <c r="B2964" t="s">
        <v>29</v>
      </c>
      <c r="C2964" t="s">
        <v>58</v>
      </c>
      <c r="D2964" s="1">
        <v>45336</v>
      </c>
      <c r="E2964" s="2">
        <v>6578.55</v>
      </c>
      <c r="F2964">
        <v>312</v>
      </c>
      <c r="G2964" s="2">
        <f t="shared" si="184"/>
        <v>21.085096153846155</v>
      </c>
      <c r="H2964" t="str">
        <f t="shared" si="185"/>
        <v>February</v>
      </c>
      <c r="I2964" t="str">
        <f t="shared" si="186"/>
        <v>Q1</v>
      </c>
      <c r="J2964" t="str">
        <f t="shared" si="187"/>
        <v>Large</v>
      </c>
    </row>
    <row r="2965" spans="1:10" x14ac:dyDescent="0.25">
      <c r="A2965" t="s">
        <v>49</v>
      </c>
      <c r="B2965" t="s">
        <v>15</v>
      </c>
      <c r="C2965" t="s">
        <v>37</v>
      </c>
      <c r="D2965" s="1">
        <v>45346</v>
      </c>
      <c r="E2965" s="2">
        <v>8975.44</v>
      </c>
      <c r="F2965">
        <v>137</v>
      </c>
      <c r="G2965" s="2">
        <f t="shared" si="184"/>
        <v>65.514160583941603</v>
      </c>
      <c r="H2965" t="str">
        <f t="shared" si="185"/>
        <v>February</v>
      </c>
      <c r="I2965" t="str">
        <f t="shared" si="186"/>
        <v>Q1</v>
      </c>
      <c r="J2965" t="str">
        <f t="shared" si="187"/>
        <v>Large</v>
      </c>
    </row>
    <row r="2966" spans="1:10" x14ac:dyDescent="0.25">
      <c r="A2966" t="s">
        <v>43</v>
      </c>
      <c r="B2966" t="s">
        <v>10</v>
      </c>
      <c r="C2966" t="s">
        <v>27</v>
      </c>
      <c r="D2966" s="1">
        <v>45369</v>
      </c>
      <c r="E2966" s="2">
        <v>852.29</v>
      </c>
      <c r="F2966">
        <v>123</v>
      </c>
      <c r="G2966" s="2">
        <f t="shared" si="184"/>
        <v>6.9291869918699183</v>
      </c>
      <c r="H2966" t="str">
        <f t="shared" si="185"/>
        <v>March</v>
      </c>
      <c r="I2966" t="str">
        <f t="shared" si="186"/>
        <v>Q1</v>
      </c>
      <c r="J2966" t="str">
        <f t="shared" si="187"/>
        <v>Large</v>
      </c>
    </row>
    <row r="2967" spans="1:10" x14ac:dyDescent="0.25">
      <c r="A2967" t="s">
        <v>40</v>
      </c>
      <c r="B2967" t="s">
        <v>7</v>
      </c>
      <c r="C2967" t="s">
        <v>30</v>
      </c>
      <c r="D2967" s="1">
        <v>45534</v>
      </c>
      <c r="E2967" s="2">
        <v>1955.2</v>
      </c>
      <c r="F2967">
        <v>250</v>
      </c>
      <c r="G2967" s="2">
        <f t="shared" si="184"/>
        <v>7.8208000000000002</v>
      </c>
      <c r="H2967" t="str">
        <f t="shared" si="185"/>
        <v>August</v>
      </c>
      <c r="I2967" t="str">
        <f t="shared" si="186"/>
        <v>Q3</v>
      </c>
      <c r="J2967" t="str">
        <f t="shared" si="187"/>
        <v>Large</v>
      </c>
    </row>
    <row r="2968" spans="1:10" x14ac:dyDescent="0.25">
      <c r="A2968" t="s">
        <v>12</v>
      </c>
      <c r="B2968" t="s">
        <v>26</v>
      </c>
      <c r="C2968" t="s">
        <v>13</v>
      </c>
      <c r="D2968" s="1">
        <v>45421</v>
      </c>
      <c r="E2968" s="2">
        <v>323.29000000000002</v>
      </c>
      <c r="F2968">
        <v>72</v>
      </c>
      <c r="G2968" s="2">
        <f t="shared" si="184"/>
        <v>4.4901388888888896</v>
      </c>
      <c r="H2968" t="str">
        <f t="shared" si="185"/>
        <v>May</v>
      </c>
      <c r="I2968" t="str">
        <f t="shared" si="186"/>
        <v>Q2</v>
      </c>
      <c r="J2968" t="str">
        <f t="shared" si="187"/>
        <v>Small</v>
      </c>
    </row>
    <row r="2969" spans="1:10" x14ac:dyDescent="0.25">
      <c r="A2969" t="s">
        <v>46</v>
      </c>
      <c r="B2969" t="s">
        <v>26</v>
      </c>
      <c r="C2969" t="s">
        <v>16</v>
      </c>
      <c r="D2969" s="1">
        <v>45309</v>
      </c>
      <c r="E2969" s="2">
        <v>542.39</v>
      </c>
      <c r="F2969">
        <v>86</v>
      </c>
      <c r="G2969" s="2">
        <f t="shared" si="184"/>
        <v>6.3068604651162792</v>
      </c>
      <c r="H2969" t="str">
        <f t="shared" si="185"/>
        <v>January</v>
      </c>
      <c r="I2969" t="str">
        <f t="shared" si="186"/>
        <v>Q1</v>
      </c>
      <c r="J2969" t="str">
        <f t="shared" si="187"/>
        <v>Large</v>
      </c>
    </row>
    <row r="2970" spans="1:10" x14ac:dyDescent="0.25">
      <c r="A2970" t="s">
        <v>38</v>
      </c>
      <c r="B2970" t="s">
        <v>10</v>
      </c>
      <c r="C2970" t="s">
        <v>44</v>
      </c>
      <c r="D2970" s="1">
        <v>45477</v>
      </c>
      <c r="E2970" s="2">
        <v>7666.62</v>
      </c>
      <c r="F2970">
        <v>347</v>
      </c>
      <c r="G2970" s="2">
        <f t="shared" si="184"/>
        <v>22.094005763688759</v>
      </c>
      <c r="H2970" t="str">
        <f t="shared" si="185"/>
        <v>July</v>
      </c>
      <c r="I2970" t="str">
        <f t="shared" si="186"/>
        <v>Q3</v>
      </c>
      <c r="J2970" t="str">
        <f t="shared" si="187"/>
        <v>Large</v>
      </c>
    </row>
    <row r="2971" spans="1:10" x14ac:dyDescent="0.25">
      <c r="A2971" t="s">
        <v>17</v>
      </c>
      <c r="B2971" t="s">
        <v>21</v>
      </c>
      <c r="C2971" t="s">
        <v>39</v>
      </c>
      <c r="D2971" s="1">
        <v>45446</v>
      </c>
      <c r="E2971" s="2">
        <v>1826.32</v>
      </c>
      <c r="F2971">
        <v>13</v>
      </c>
      <c r="G2971" s="2">
        <f t="shared" si="184"/>
        <v>140.48615384615385</v>
      </c>
      <c r="H2971" t="str">
        <f t="shared" si="185"/>
        <v>June</v>
      </c>
      <c r="I2971" t="str">
        <f t="shared" si="186"/>
        <v>Q2</v>
      </c>
      <c r="J2971" t="str">
        <f t="shared" si="187"/>
        <v>Large</v>
      </c>
    </row>
    <row r="2972" spans="1:10" x14ac:dyDescent="0.25">
      <c r="A2972" t="s">
        <v>34</v>
      </c>
      <c r="B2972" t="s">
        <v>21</v>
      </c>
      <c r="C2972" t="s">
        <v>13</v>
      </c>
      <c r="D2972" s="1">
        <v>45345</v>
      </c>
      <c r="E2972" s="2">
        <v>11510.68</v>
      </c>
      <c r="F2972">
        <v>30</v>
      </c>
      <c r="G2972" s="2">
        <f t="shared" si="184"/>
        <v>383.68933333333337</v>
      </c>
      <c r="H2972" t="str">
        <f t="shared" si="185"/>
        <v>February</v>
      </c>
      <c r="I2972" t="str">
        <f t="shared" si="186"/>
        <v>Q1</v>
      </c>
      <c r="J2972" t="str">
        <f t="shared" si="187"/>
        <v>Large</v>
      </c>
    </row>
    <row r="2973" spans="1:10" x14ac:dyDescent="0.25">
      <c r="A2973" t="s">
        <v>54</v>
      </c>
      <c r="B2973" t="s">
        <v>21</v>
      </c>
      <c r="C2973" t="s">
        <v>18</v>
      </c>
      <c r="D2973" s="1">
        <v>45421</v>
      </c>
      <c r="E2973" s="2">
        <v>12263.85</v>
      </c>
      <c r="F2973">
        <v>223</v>
      </c>
      <c r="G2973" s="2">
        <f t="shared" si="184"/>
        <v>54.994843049327358</v>
      </c>
      <c r="H2973" t="str">
        <f t="shared" si="185"/>
        <v>May</v>
      </c>
      <c r="I2973" t="str">
        <f t="shared" si="186"/>
        <v>Q2</v>
      </c>
      <c r="J2973" t="str">
        <f t="shared" si="187"/>
        <v>Large</v>
      </c>
    </row>
    <row r="2974" spans="1:10" x14ac:dyDescent="0.25">
      <c r="A2974" t="s">
        <v>49</v>
      </c>
      <c r="B2974" t="s">
        <v>10</v>
      </c>
      <c r="C2974" t="s">
        <v>58</v>
      </c>
      <c r="D2974" s="1">
        <v>45449</v>
      </c>
      <c r="E2974" s="2">
        <v>3878.6</v>
      </c>
      <c r="F2974">
        <v>108</v>
      </c>
      <c r="G2974" s="2">
        <f t="shared" si="184"/>
        <v>35.912962962962965</v>
      </c>
      <c r="H2974" t="str">
        <f t="shared" si="185"/>
        <v>June</v>
      </c>
      <c r="I2974" t="str">
        <f t="shared" si="186"/>
        <v>Q2</v>
      </c>
      <c r="J2974" t="str">
        <f t="shared" si="187"/>
        <v>Large</v>
      </c>
    </row>
    <row r="2975" spans="1:10" x14ac:dyDescent="0.25">
      <c r="A2975" t="s">
        <v>49</v>
      </c>
      <c r="B2975" t="s">
        <v>10</v>
      </c>
      <c r="C2975" t="s">
        <v>32</v>
      </c>
      <c r="D2975" s="1">
        <v>45477</v>
      </c>
      <c r="E2975" s="2">
        <v>8328.52</v>
      </c>
      <c r="F2975">
        <v>238</v>
      </c>
      <c r="G2975" s="2">
        <f t="shared" si="184"/>
        <v>34.993781512605047</v>
      </c>
      <c r="H2975" t="str">
        <f t="shared" si="185"/>
        <v>July</v>
      </c>
      <c r="I2975" t="str">
        <f t="shared" si="186"/>
        <v>Q3</v>
      </c>
      <c r="J2975" t="str">
        <f t="shared" si="187"/>
        <v>Large</v>
      </c>
    </row>
    <row r="2976" spans="1:10" x14ac:dyDescent="0.25">
      <c r="A2976" t="s">
        <v>23</v>
      </c>
      <c r="B2976" t="s">
        <v>21</v>
      </c>
      <c r="C2976" t="s">
        <v>32</v>
      </c>
      <c r="D2976" s="1">
        <v>45449</v>
      </c>
      <c r="E2976" s="2">
        <v>1666.46</v>
      </c>
      <c r="F2976">
        <v>98</v>
      </c>
      <c r="G2976" s="2">
        <f t="shared" si="184"/>
        <v>17.00469387755102</v>
      </c>
      <c r="H2976" t="str">
        <f t="shared" si="185"/>
        <v>June</v>
      </c>
      <c r="I2976" t="str">
        <f t="shared" si="186"/>
        <v>Q2</v>
      </c>
      <c r="J2976" t="str">
        <f t="shared" si="187"/>
        <v>Large</v>
      </c>
    </row>
    <row r="2977" spans="1:10" x14ac:dyDescent="0.25">
      <c r="A2977" t="s">
        <v>54</v>
      </c>
      <c r="B2977" t="s">
        <v>15</v>
      </c>
      <c r="C2977" t="s">
        <v>47</v>
      </c>
      <c r="D2977" s="1">
        <v>45425</v>
      </c>
      <c r="E2977" s="2">
        <v>1754.11</v>
      </c>
      <c r="F2977">
        <v>95</v>
      </c>
      <c r="G2977" s="2">
        <f t="shared" si="184"/>
        <v>18.464315789473684</v>
      </c>
      <c r="H2977" t="str">
        <f t="shared" si="185"/>
        <v>May</v>
      </c>
      <c r="I2977" t="str">
        <f t="shared" si="186"/>
        <v>Q2</v>
      </c>
      <c r="J2977" t="str">
        <f t="shared" si="187"/>
        <v>Large</v>
      </c>
    </row>
    <row r="2978" spans="1:10" x14ac:dyDescent="0.25">
      <c r="A2978" t="s">
        <v>46</v>
      </c>
      <c r="B2978" t="s">
        <v>21</v>
      </c>
      <c r="C2978" t="s">
        <v>35</v>
      </c>
      <c r="D2978" s="1">
        <v>45322</v>
      </c>
      <c r="E2978" s="2">
        <v>2390.6999999999998</v>
      </c>
      <c r="F2978">
        <v>274</v>
      </c>
      <c r="G2978" s="2">
        <f t="shared" si="184"/>
        <v>8.7251824817518244</v>
      </c>
      <c r="H2978" t="str">
        <f t="shared" si="185"/>
        <v>January</v>
      </c>
      <c r="I2978" t="str">
        <f t="shared" si="186"/>
        <v>Q1</v>
      </c>
      <c r="J2978" t="str">
        <f t="shared" si="187"/>
        <v>Large</v>
      </c>
    </row>
    <row r="2979" spans="1:10" x14ac:dyDescent="0.25">
      <c r="A2979" t="s">
        <v>55</v>
      </c>
      <c r="B2979" t="s">
        <v>21</v>
      </c>
      <c r="C2979" t="s">
        <v>57</v>
      </c>
      <c r="D2979" s="1">
        <v>45473</v>
      </c>
      <c r="E2979" s="2">
        <v>8546.7199999999993</v>
      </c>
      <c r="F2979">
        <v>41</v>
      </c>
      <c r="G2979" s="2">
        <f t="shared" si="184"/>
        <v>208.45658536585364</v>
      </c>
      <c r="H2979" t="str">
        <f t="shared" si="185"/>
        <v>June</v>
      </c>
      <c r="I2979" t="str">
        <f t="shared" si="186"/>
        <v>Q2</v>
      </c>
      <c r="J2979" t="str">
        <f t="shared" si="187"/>
        <v>Large</v>
      </c>
    </row>
    <row r="2980" spans="1:10" x14ac:dyDescent="0.25">
      <c r="A2980" t="s">
        <v>25</v>
      </c>
      <c r="B2980" t="s">
        <v>29</v>
      </c>
      <c r="C2980" t="s">
        <v>45</v>
      </c>
      <c r="D2980" s="1">
        <v>45529</v>
      </c>
      <c r="E2980" s="2">
        <v>4115.57</v>
      </c>
      <c r="F2980">
        <v>274</v>
      </c>
      <c r="G2980" s="2">
        <f t="shared" si="184"/>
        <v>15.020328467153284</v>
      </c>
      <c r="H2980" t="str">
        <f t="shared" si="185"/>
        <v>August</v>
      </c>
      <c r="I2980" t="str">
        <f t="shared" si="186"/>
        <v>Q3</v>
      </c>
      <c r="J2980" t="str">
        <f t="shared" si="187"/>
        <v>Large</v>
      </c>
    </row>
    <row r="2981" spans="1:10" x14ac:dyDescent="0.25">
      <c r="A2981" t="s">
        <v>12</v>
      </c>
      <c r="B2981" t="s">
        <v>21</v>
      </c>
      <c r="C2981" t="s">
        <v>16</v>
      </c>
      <c r="D2981" s="1">
        <v>45301</v>
      </c>
      <c r="E2981" s="2">
        <v>787.38</v>
      </c>
      <c r="F2981">
        <v>95</v>
      </c>
      <c r="G2981" s="2">
        <f t="shared" si="184"/>
        <v>8.2882105263157886</v>
      </c>
      <c r="H2981" t="str">
        <f t="shared" si="185"/>
        <v>January</v>
      </c>
      <c r="I2981" t="str">
        <f t="shared" si="186"/>
        <v>Q1</v>
      </c>
      <c r="J2981" t="str">
        <f t="shared" si="187"/>
        <v>Large</v>
      </c>
    </row>
    <row r="2982" spans="1:10" x14ac:dyDescent="0.25">
      <c r="A2982" t="s">
        <v>23</v>
      </c>
      <c r="B2982" t="s">
        <v>26</v>
      </c>
      <c r="C2982" t="s">
        <v>45</v>
      </c>
      <c r="D2982" s="1">
        <v>45526</v>
      </c>
      <c r="E2982" s="2">
        <v>2095.7800000000002</v>
      </c>
      <c r="F2982">
        <v>8</v>
      </c>
      <c r="G2982" s="2">
        <f t="shared" si="184"/>
        <v>261.97250000000003</v>
      </c>
      <c r="H2982" t="str">
        <f t="shared" si="185"/>
        <v>August</v>
      </c>
      <c r="I2982" t="str">
        <f t="shared" si="186"/>
        <v>Q3</v>
      </c>
      <c r="J2982" t="str">
        <f t="shared" si="187"/>
        <v>Large</v>
      </c>
    </row>
    <row r="2983" spans="1:10" x14ac:dyDescent="0.25">
      <c r="A2983" t="s">
        <v>36</v>
      </c>
      <c r="B2983" t="s">
        <v>21</v>
      </c>
      <c r="C2983" t="s">
        <v>11</v>
      </c>
      <c r="D2983" s="1">
        <v>45396</v>
      </c>
      <c r="E2983" s="2">
        <v>5220.8</v>
      </c>
      <c r="F2983">
        <v>267</v>
      </c>
      <c r="G2983" s="2">
        <f t="shared" si="184"/>
        <v>19.553558052434457</v>
      </c>
      <c r="H2983" t="str">
        <f t="shared" si="185"/>
        <v>April</v>
      </c>
      <c r="I2983" t="str">
        <f t="shared" si="186"/>
        <v>Q2</v>
      </c>
      <c r="J2983" t="str">
        <f t="shared" si="187"/>
        <v>Large</v>
      </c>
    </row>
    <row r="2984" spans="1:10" x14ac:dyDescent="0.25">
      <c r="A2984" t="s">
        <v>17</v>
      </c>
      <c r="B2984" t="s">
        <v>7</v>
      </c>
      <c r="C2984" t="s">
        <v>16</v>
      </c>
      <c r="D2984" s="1">
        <v>45443</v>
      </c>
      <c r="E2984" s="2">
        <v>11264.45</v>
      </c>
      <c r="F2984">
        <v>340</v>
      </c>
      <c r="G2984" s="2">
        <f t="shared" si="184"/>
        <v>33.130735294117649</v>
      </c>
      <c r="H2984" t="str">
        <f t="shared" si="185"/>
        <v>May</v>
      </c>
      <c r="I2984" t="str">
        <f t="shared" si="186"/>
        <v>Q2</v>
      </c>
      <c r="J2984" t="str">
        <f t="shared" si="187"/>
        <v>Large</v>
      </c>
    </row>
    <row r="2985" spans="1:10" x14ac:dyDescent="0.25">
      <c r="A2985" t="s">
        <v>17</v>
      </c>
      <c r="B2985" t="s">
        <v>7</v>
      </c>
      <c r="C2985" t="s">
        <v>51</v>
      </c>
      <c r="D2985" s="1">
        <v>45390</v>
      </c>
      <c r="E2985" s="2">
        <v>5477.33</v>
      </c>
      <c r="F2985">
        <v>341</v>
      </c>
      <c r="G2985" s="2">
        <f t="shared" si="184"/>
        <v>16.062551319648094</v>
      </c>
      <c r="H2985" t="str">
        <f t="shared" si="185"/>
        <v>April</v>
      </c>
      <c r="I2985" t="str">
        <f t="shared" si="186"/>
        <v>Q2</v>
      </c>
      <c r="J2985" t="str">
        <f t="shared" si="187"/>
        <v>Large</v>
      </c>
    </row>
    <row r="2986" spans="1:10" x14ac:dyDescent="0.25">
      <c r="A2986" t="s">
        <v>36</v>
      </c>
      <c r="B2986" t="s">
        <v>26</v>
      </c>
      <c r="C2986" t="s">
        <v>32</v>
      </c>
      <c r="D2986" s="1">
        <v>45343</v>
      </c>
      <c r="E2986" s="2">
        <v>3389</v>
      </c>
      <c r="F2986">
        <v>160</v>
      </c>
      <c r="G2986" s="2">
        <f t="shared" si="184"/>
        <v>21.181249999999999</v>
      </c>
      <c r="H2986" t="str">
        <f t="shared" si="185"/>
        <v>February</v>
      </c>
      <c r="I2986" t="str">
        <f t="shared" si="186"/>
        <v>Q1</v>
      </c>
      <c r="J2986" t="str">
        <f t="shared" si="187"/>
        <v>Large</v>
      </c>
    </row>
    <row r="2987" spans="1:10" x14ac:dyDescent="0.25">
      <c r="A2987" t="s">
        <v>48</v>
      </c>
      <c r="B2987" t="s">
        <v>15</v>
      </c>
      <c r="C2987" t="s">
        <v>45</v>
      </c>
      <c r="D2987" s="1">
        <v>45381</v>
      </c>
      <c r="E2987" s="2">
        <v>11559.52</v>
      </c>
      <c r="F2987">
        <v>413</v>
      </c>
      <c r="G2987" s="2">
        <f t="shared" si="184"/>
        <v>27.989152542372882</v>
      </c>
      <c r="H2987" t="str">
        <f t="shared" si="185"/>
        <v>March</v>
      </c>
      <c r="I2987" t="str">
        <f t="shared" si="186"/>
        <v>Q1</v>
      </c>
      <c r="J2987" t="str">
        <f t="shared" si="187"/>
        <v>Large</v>
      </c>
    </row>
    <row r="2988" spans="1:10" x14ac:dyDescent="0.25">
      <c r="A2988" t="s">
        <v>28</v>
      </c>
      <c r="B2988" t="s">
        <v>10</v>
      </c>
      <c r="C2988" t="s">
        <v>51</v>
      </c>
      <c r="D2988" s="1">
        <v>45353</v>
      </c>
      <c r="E2988" s="2">
        <v>1676.82</v>
      </c>
      <c r="F2988">
        <v>2</v>
      </c>
      <c r="G2988" s="2">
        <f t="shared" si="184"/>
        <v>838.41</v>
      </c>
      <c r="H2988" t="str">
        <f t="shared" si="185"/>
        <v>March</v>
      </c>
      <c r="I2988" t="str">
        <f t="shared" si="186"/>
        <v>Q1</v>
      </c>
      <c r="J2988" t="str">
        <f t="shared" si="187"/>
        <v>Large</v>
      </c>
    </row>
    <row r="2989" spans="1:10" x14ac:dyDescent="0.25">
      <c r="A2989" t="s">
        <v>6</v>
      </c>
      <c r="B2989" t="s">
        <v>26</v>
      </c>
      <c r="C2989" t="s">
        <v>27</v>
      </c>
      <c r="D2989" s="1">
        <v>45501</v>
      </c>
      <c r="E2989" s="2">
        <v>437.48</v>
      </c>
      <c r="F2989">
        <v>174</v>
      </c>
      <c r="G2989" s="2">
        <f t="shared" si="184"/>
        <v>2.5142528735632186</v>
      </c>
      <c r="H2989" t="str">
        <f t="shared" si="185"/>
        <v>July</v>
      </c>
      <c r="I2989" t="str">
        <f t="shared" si="186"/>
        <v>Q3</v>
      </c>
      <c r="J2989" t="str">
        <f t="shared" si="187"/>
        <v>Small</v>
      </c>
    </row>
    <row r="2990" spans="1:10" x14ac:dyDescent="0.25">
      <c r="A2990" t="s">
        <v>41</v>
      </c>
      <c r="B2990" t="s">
        <v>21</v>
      </c>
      <c r="C2990" t="s">
        <v>58</v>
      </c>
      <c r="D2990" s="1">
        <v>45375</v>
      </c>
      <c r="E2990" s="2">
        <v>8487.6299999999992</v>
      </c>
      <c r="F2990">
        <v>40</v>
      </c>
      <c r="G2990" s="2">
        <f t="shared" si="184"/>
        <v>212.19074999999998</v>
      </c>
      <c r="H2990" t="str">
        <f t="shared" si="185"/>
        <v>March</v>
      </c>
      <c r="I2990" t="str">
        <f t="shared" si="186"/>
        <v>Q1</v>
      </c>
      <c r="J2990" t="str">
        <f t="shared" si="187"/>
        <v>Large</v>
      </c>
    </row>
    <row r="2991" spans="1:10" x14ac:dyDescent="0.25">
      <c r="A2991" t="s">
        <v>38</v>
      </c>
      <c r="B2991" t="s">
        <v>15</v>
      </c>
      <c r="C2991" t="s">
        <v>20</v>
      </c>
      <c r="D2991" s="1">
        <v>45515</v>
      </c>
      <c r="E2991" s="2">
        <v>71.989999999999995</v>
      </c>
      <c r="F2991">
        <v>101</v>
      </c>
      <c r="G2991" s="2">
        <f t="shared" si="184"/>
        <v>0.71277227722772274</v>
      </c>
      <c r="H2991" t="str">
        <f t="shared" si="185"/>
        <v>August</v>
      </c>
      <c r="I2991" t="str">
        <f t="shared" si="186"/>
        <v>Q3</v>
      </c>
      <c r="J2991" t="str">
        <f t="shared" si="187"/>
        <v>Small</v>
      </c>
    </row>
    <row r="2992" spans="1:10" x14ac:dyDescent="0.25">
      <c r="A2992" t="s">
        <v>40</v>
      </c>
      <c r="B2992" t="s">
        <v>7</v>
      </c>
      <c r="C2992" t="s">
        <v>47</v>
      </c>
      <c r="D2992" s="1">
        <v>45429</v>
      </c>
      <c r="E2992" s="2">
        <v>9863.6200000000008</v>
      </c>
      <c r="F2992">
        <v>167</v>
      </c>
      <c r="G2992" s="2">
        <f t="shared" si="184"/>
        <v>59.063592814371262</v>
      </c>
      <c r="H2992" t="str">
        <f t="shared" si="185"/>
        <v>May</v>
      </c>
      <c r="I2992" t="str">
        <f t="shared" si="186"/>
        <v>Q2</v>
      </c>
      <c r="J2992" t="str">
        <f t="shared" si="187"/>
        <v>Large</v>
      </c>
    </row>
    <row r="2993" spans="1:10" x14ac:dyDescent="0.25">
      <c r="A2993" t="s">
        <v>41</v>
      </c>
      <c r="B2993" t="s">
        <v>29</v>
      </c>
      <c r="C2993" t="s">
        <v>52</v>
      </c>
      <c r="D2993" s="1">
        <v>45430</v>
      </c>
      <c r="E2993" s="2">
        <v>3468.53</v>
      </c>
      <c r="F2993">
        <v>166</v>
      </c>
      <c r="G2993" s="2">
        <f t="shared" si="184"/>
        <v>20.894759036144581</v>
      </c>
      <c r="H2993" t="str">
        <f t="shared" si="185"/>
        <v>May</v>
      </c>
      <c r="I2993" t="str">
        <f t="shared" si="186"/>
        <v>Q2</v>
      </c>
      <c r="J2993" t="str">
        <f t="shared" si="187"/>
        <v>Large</v>
      </c>
    </row>
    <row r="2994" spans="1:10" x14ac:dyDescent="0.25">
      <c r="A2994" t="s">
        <v>36</v>
      </c>
      <c r="B2994" t="s">
        <v>7</v>
      </c>
      <c r="C2994" t="s">
        <v>13</v>
      </c>
      <c r="D2994" s="1">
        <v>45521</v>
      </c>
      <c r="E2994" s="2">
        <v>6770.35</v>
      </c>
      <c r="F2994">
        <v>173</v>
      </c>
      <c r="G2994" s="2">
        <f t="shared" si="184"/>
        <v>39.1349710982659</v>
      </c>
      <c r="H2994" t="str">
        <f t="shared" si="185"/>
        <v>August</v>
      </c>
      <c r="I2994" t="str">
        <f t="shared" si="186"/>
        <v>Q3</v>
      </c>
      <c r="J2994" t="str">
        <f t="shared" si="187"/>
        <v>Large</v>
      </c>
    </row>
    <row r="2995" spans="1:10" x14ac:dyDescent="0.25">
      <c r="A2995" t="s">
        <v>55</v>
      </c>
      <c r="B2995" t="s">
        <v>21</v>
      </c>
      <c r="C2995" t="s">
        <v>30</v>
      </c>
      <c r="D2995" s="1">
        <v>45386</v>
      </c>
      <c r="E2995" s="2">
        <v>564.14</v>
      </c>
      <c r="F2995">
        <v>50</v>
      </c>
      <c r="G2995" s="2">
        <f t="shared" si="184"/>
        <v>11.2828</v>
      </c>
      <c r="H2995" t="str">
        <f t="shared" si="185"/>
        <v>April</v>
      </c>
      <c r="I2995" t="str">
        <f t="shared" si="186"/>
        <v>Q2</v>
      </c>
      <c r="J2995" t="str">
        <f t="shared" si="187"/>
        <v>Large</v>
      </c>
    </row>
    <row r="2996" spans="1:10" x14ac:dyDescent="0.25">
      <c r="A2996" t="s">
        <v>23</v>
      </c>
      <c r="B2996" t="s">
        <v>10</v>
      </c>
      <c r="C2996" t="s">
        <v>11</v>
      </c>
      <c r="D2996" s="1">
        <v>45513</v>
      </c>
      <c r="E2996" s="2">
        <v>21044.07</v>
      </c>
      <c r="F2996">
        <v>210</v>
      </c>
      <c r="G2996" s="2">
        <f t="shared" si="184"/>
        <v>100.20985714285715</v>
      </c>
      <c r="H2996" t="str">
        <f t="shared" si="185"/>
        <v>August</v>
      </c>
      <c r="I2996" t="str">
        <f t="shared" si="186"/>
        <v>Q3</v>
      </c>
      <c r="J2996" t="str">
        <f t="shared" si="187"/>
        <v>Large</v>
      </c>
    </row>
    <row r="2997" spans="1:10" x14ac:dyDescent="0.25">
      <c r="A2997" t="s">
        <v>23</v>
      </c>
      <c r="B2997" t="s">
        <v>21</v>
      </c>
      <c r="C2997" t="s">
        <v>35</v>
      </c>
      <c r="D2997" s="1">
        <v>45308</v>
      </c>
      <c r="E2997" s="2">
        <v>677.38</v>
      </c>
      <c r="F2997">
        <v>327</v>
      </c>
      <c r="G2997" s="2">
        <f t="shared" si="184"/>
        <v>2.0714984709480122</v>
      </c>
      <c r="H2997" t="str">
        <f t="shared" si="185"/>
        <v>January</v>
      </c>
      <c r="I2997" t="str">
        <f t="shared" si="186"/>
        <v>Q1</v>
      </c>
      <c r="J2997" t="str">
        <f t="shared" si="187"/>
        <v>Large</v>
      </c>
    </row>
    <row r="2998" spans="1:10" x14ac:dyDescent="0.25">
      <c r="A2998" t="s">
        <v>48</v>
      </c>
      <c r="B2998" t="s">
        <v>29</v>
      </c>
      <c r="C2998" t="s">
        <v>44</v>
      </c>
      <c r="D2998" s="1">
        <v>45336</v>
      </c>
      <c r="E2998" s="2">
        <v>4368.01</v>
      </c>
      <c r="F2998">
        <v>29</v>
      </c>
      <c r="G2998" s="2">
        <f t="shared" si="184"/>
        <v>150.62103448275863</v>
      </c>
      <c r="H2998" t="str">
        <f t="shared" si="185"/>
        <v>February</v>
      </c>
      <c r="I2998" t="str">
        <f t="shared" si="186"/>
        <v>Q1</v>
      </c>
      <c r="J2998" t="str">
        <f t="shared" si="187"/>
        <v>Large</v>
      </c>
    </row>
    <row r="2999" spans="1:10" x14ac:dyDescent="0.25">
      <c r="A2999" t="s">
        <v>12</v>
      </c>
      <c r="B2999" t="s">
        <v>21</v>
      </c>
      <c r="C2999" t="s">
        <v>27</v>
      </c>
      <c r="D2999" s="1">
        <v>45428</v>
      </c>
      <c r="E2999" s="2">
        <v>9866.2000000000007</v>
      </c>
      <c r="F2999">
        <v>306</v>
      </c>
      <c r="G2999" s="2">
        <f t="shared" si="184"/>
        <v>32.242483660130723</v>
      </c>
      <c r="H2999" t="str">
        <f t="shared" si="185"/>
        <v>May</v>
      </c>
      <c r="I2999" t="str">
        <f t="shared" si="186"/>
        <v>Q2</v>
      </c>
      <c r="J2999" t="str">
        <f t="shared" si="187"/>
        <v>Large</v>
      </c>
    </row>
    <row r="3000" spans="1:10" x14ac:dyDescent="0.25">
      <c r="A3000" t="s">
        <v>55</v>
      </c>
      <c r="B3000" t="s">
        <v>29</v>
      </c>
      <c r="C3000" t="s">
        <v>16</v>
      </c>
      <c r="D3000" s="1">
        <v>45367</v>
      </c>
      <c r="E3000" s="2">
        <v>10723.86</v>
      </c>
      <c r="F3000">
        <v>125</v>
      </c>
      <c r="G3000" s="2">
        <f t="shared" si="184"/>
        <v>85.790880000000001</v>
      </c>
      <c r="H3000" t="str">
        <f t="shared" si="185"/>
        <v>March</v>
      </c>
      <c r="I3000" t="str">
        <f t="shared" si="186"/>
        <v>Q1</v>
      </c>
      <c r="J3000" t="str">
        <f t="shared" si="187"/>
        <v>Large</v>
      </c>
    </row>
    <row r="3001" spans="1:10" x14ac:dyDescent="0.25">
      <c r="A3001" t="s">
        <v>40</v>
      </c>
      <c r="B3001" t="s">
        <v>29</v>
      </c>
      <c r="C3001" t="s">
        <v>58</v>
      </c>
      <c r="D3001" s="1">
        <v>45322</v>
      </c>
      <c r="E3001" s="2">
        <v>5443.42</v>
      </c>
      <c r="F3001">
        <v>284</v>
      </c>
      <c r="G3001" s="2">
        <f t="shared" si="184"/>
        <v>19.166971830985915</v>
      </c>
      <c r="H3001" t="str">
        <f t="shared" si="185"/>
        <v>January</v>
      </c>
      <c r="I3001" t="str">
        <f t="shared" si="186"/>
        <v>Q1</v>
      </c>
      <c r="J3001" t="str">
        <f t="shared" si="187"/>
        <v>Large</v>
      </c>
    </row>
    <row r="3002" spans="1:10" x14ac:dyDescent="0.25">
      <c r="A3002" t="s">
        <v>25</v>
      </c>
      <c r="B3002" t="s">
        <v>29</v>
      </c>
      <c r="C3002" t="s">
        <v>35</v>
      </c>
      <c r="D3002" s="1">
        <v>45361</v>
      </c>
      <c r="E3002" s="2">
        <v>1312.35</v>
      </c>
      <c r="F3002">
        <v>200</v>
      </c>
      <c r="G3002" s="2">
        <f t="shared" si="184"/>
        <v>6.56175</v>
      </c>
      <c r="H3002" t="str">
        <f t="shared" si="185"/>
        <v>March</v>
      </c>
      <c r="I3002" t="str">
        <f t="shared" si="186"/>
        <v>Q1</v>
      </c>
      <c r="J3002" t="str">
        <f t="shared" si="187"/>
        <v>Large</v>
      </c>
    </row>
    <row r="3003" spans="1:10" x14ac:dyDescent="0.25">
      <c r="A3003" t="s">
        <v>17</v>
      </c>
      <c r="B3003" t="s">
        <v>7</v>
      </c>
      <c r="C3003" t="s">
        <v>35</v>
      </c>
      <c r="D3003" s="1">
        <v>45473</v>
      </c>
      <c r="E3003" s="2">
        <v>8471.68</v>
      </c>
      <c r="F3003">
        <v>162</v>
      </c>
      <c r="G3003" s="2">
        <f t="shared" si="184"/>
        <v>52.294320987654324</v>
      </c>
      <c r="H3003" t="str">
        <f t="shared" si="185"/>
        <v>June</v>
      </c>
      <c r="I3003" t="str">
        <f t="shared" si="186"/>
        <v>Q2</v>
      </c>
      <c r="J3003" t="str">
        <f t="shared" si="187"/>
        <v>Large</v>
      </c>
    </row>
    <row r="3004" spans="1:10" x14ac:dyDescent="0.25">
      <c r="A3004" t="s">
        <v>9</v>
      </c>
      <c r="B3004" t="s">
        <v>21</v>
      </c>
      <c r="C3004" t="s">
        <v>30</v>
      </c>
      <c r="D3004" s="1">
        <v>45352</v>
      </c>
      <c r="E3004" s="2">
        <v>5774.6</v>
      </c>
      <c r="F3004">
        <v>178</v>
      </c>
      <c r="G3004" s="2">
        <f t="shared" si="184"/>
        <v>32.441573033707868</v>
      </c>
      <c r="H3004" t="str">
        <f t="shared" si="185"/>
        <v>March</v>
      </c>
      <c r="I3004" t="str">
        <f t="shared" si="186"/>
        <v>Q1</v>
      </c>
      <c r="J3004" t="str">
        <f t="shared" si="187"/>
        <v>Large</v>
      </c>
    </row>
    <row r="3005" spans="1:10" x14ac:dyDescent="0.25">
      <c r="A3005" t="s">
        <v>28</v>
      </c>
      <c r="B3005" t="s">
        <v>7</v>
      </c>
      <c r="C3005" t="s">
        <v>32</v>
      </c>
      <c r="D3005" s="1">
        <v>45439</v>
      </c>
      <c r="E3005" s="2">
        <v>3780.02</v>
      </c>
      <c r="F3005">
        <v>97</v>
      </c>
      <c r="G3005" s="2">
        <f t="shared" si="184"/>
        <v>38.969278350515467</v>
      </c>
      <c r="H3005" t="str">
        <f t="shared" si="185"/>
        <v>May</v>
      </c>
      <c r="I3005" t="str">
        <f t="shared" si="186"/>
        <v>Q2</v>
      </c>
      <c r="J3005" t="str">
        <f t="shared" si="187"/>
        <v>Large</v>
      </c>
    </row>
    <row r="3006" spans="1:10" x14ac:dyDescent="0.25">
      <c r="A3006" t="s">
        <v>17</v>
      </c>
      <c r="B3006" t="s">
        <v>7</v>
      </c>
      <c r="C3006" t="s">
        <v>37</v>
      </c>
      <c r="D3006" s="1">
        <v>45484</v>
      </c>
      <c r="E3006" s="2">
        <v>6831.03</v>
      </c>
      <c r="F3006">
        <v>243</v>
      </c>
      <c r="G3006" s="2">
        <f t="shared" si="184"/>
        <v>28.111234567901235</v>
      </c>
      <c r="H3006" t="str">
        <f t="shared" si="185"/>
        <v>July</v>
      </c>
      <c r="I3006" t="str">
        <f t="shared" si="186"/>
        <v>Q3</v>
      </c>
      <c r="J3006" t="str">
        <f t="shared" si="187"/>
        <v>Large</v>
      </c>
    </row>
    <row r="3007" spans="1:10" x14ac:dyDescent="0.25">
      <c r="A3007" t="s">
        <v>31</v>
      </c>
      <c r="B3007" t="s">
        <v>21</v>
      </c>
      <c r="C3007" t="s">
        <v>8</v>
      </c>
      <c r="D3007" s="1">
        <v>45353</v>
      </c>
      <c r="E3007" s="2">
        <v>4834.51</v>
      </c>
      <c r="F3007">
        <v>63</v>
      </c>
      <c r="G3007" s="2">
        <f t="shared" si="184"/>
        <v>76.738253968253971</v>
      </c>
      <c r="H3007" t="str">
        <f t="shared" si="185"/>
        <v>March</v>
      </c>
      <c r="I3007" t="str">
        <f t="shared" si="186"/>
        <v>Q1</v>
      </c>
      <c r="J3007" t="str">
        <f t="shared" si="187"/>
        <v>Large</v>
      </c>
    </row>
    <row r="3008" spans="1:10" x14ac:dyDescent="0.25">
      <c r="A3008" t="s">
        <v>6</v>
      </c>
      <c r="B3008" t="s">
        <v>26</v>
      </c>
      <c r="C3008" t="s">
        <v>51</v>
      </c>
      <c r="D3008" s="1">
        <v>45355</v>
      </c>
      <c r="E3008" s="2">
        <v>8119.65</v>
      </c>
      <c r="F3008">
        <v>143</v>
      </c>
      <c r="G3008" s="2">
        <f t="shared" si="184"/>
        <v>56.780769230769231</v>
      </c>
      <c r="H3008" t="str">
        <f t="shared" si="185"/>
        <v>March</v>
      </c>
      <c r="I3008" t="str">
        <f t="shared" si="186"/>
        <v>Q1</v>
      </c>
      <c r="J3008" t="str">
        <f t="shared" si="187"/>
        <v>Large</v>
      </c>
    </row>
    <row r="3009" spans="1:10" x14ac:dyDescent="0.25">
      <c r="A3009" t="s">
        <v>49</v>
      </c>
      <c r="B3009" t="s">
        <v>7</v>
      </c>
      <c r="C3009" t="s">
        <v>11</v>
      </c>
      <c r="D3009" s="1">
        <v>45466</v>
      </c>
      <c r="E3009" s="2">
        <v>4811.88</v>
      </c>
      <c r="F3009">
        <v>242</v>
      </c>
      <c r="G3009" s="2">
        <f t="shared" si="184"/>
        <v>19.883801652892561</v>
      </c>
      <c r="H3009" t="str">
        <f t="shared" si="185"/>
        <v>June</v>
      </c>
      <c r="I3009" t="str">
        <f t="shared" si="186"/>
        <v>Q2</v>
      </c>
      <c r="J3009" t="str">
        <f t="shared" si="187"/>
        <v>Large</v>
      </c>
    </row>
    <row r="3010" spans="1:10" x14ac:dyDescent="0.25">
      <c r="A3010" t="s">
        <v>49</v>
      </c>
      <c r="B3010" t="s">
        <v>26</v>
      </c>
      <c r="C3010" t="s">
        <v>47</v>
      </c>
      <c r="D3010" s="1">
        <v>45318</v>
      </c>
      <c r="E3010" s="2">
        <v>5930.01</v>
      </c>
      <c r="F3010">
        <v>252</v>
      </c>
      <c r="G3010" s="2">
        <f t="shared" si="184"/>
        <v>23.531785714285714</v>
      </c>
      <c r="H3010" t="str">
        <f t="shared" si="185"/>
        <v>January</v>
      </c>
      <c r="I3010" t="str">
        <f t="shared" si="186"/>
        <v>Q1</v>
      </c>
      <c r="J3010" t="str">
        <f t="shared" si="187"/>
        <v>Large</v>
      </c>
    </row>
    <row r="3011" spans="1:10" x14ac:dyDescent="0.25">
      <c r="A3011" t="s">
        <v>33</v>
      </c>
      <c r="B3011" t="s">
        <v>29</v>
      </c>
      <c r="C3011" t="s">
        <v>27</v>
      </c>
      <c r="D3011" s="1">
        <v>45305</v>
      </c>
      <c r="E3011" s="2">
        <v>3040.05</v>
      </c>
      <c r="F3011">
        <v>426</v>
      </c>
      <c r="G3011" s="2">
        <f t="shared" ref="G3011:G3074" si="188">E3011/F3011</f>
        <v>7.1362676056338028</v>
      </c>
      <c r="H3011" t="str">
        <f t="shared" ref="H3011:H3074" si="189">TEXT(D3011, "mmmm")</f>
        <v>January</v>
      </c>
      <c r="I3011" t="str">
        <f t="shared" ref="I3011:I3074" si="190">"Q" &amp; ROUNDUP(MONTH(D3011)/3,0)</f>
        <v>Q1</v>
      </c>
      <c r="J3011" t="str">
        <f t="shared" ref="J3011:J3074" si="191">IF(E3011 &gt; 500, "Large", "Small")</f>
        <v>Large</v>
      </c>
    </row>
    <row r="3012" spans="1:10" x14ac:dyDescent="0.25">
      <c r="A3012" t="s">
        <v>43</v>
      </c>
      <c r="B3012" t="s">
        <v>10</v>
      </c>
      <c r="C3012" t="s">
        <v>42</v>
      </c>
      <c r="D3012" s="1">
        <v>45502</v>
      </c>
      <c r="E3012" s="2">
        <v>1126.8699999999999</v>
      </c>
      <c r="F3012">
        <v>23</v>
      </c>
      <c r="G3012" s="2">
        <f t="shared" si="188"/>
        <v>48.994347826086951</v>
      </c>
      <c r="H3012" t="str">
        <f t="shared" si="189"/>
        <v>July</v>
      </c>
      <c r="I3012" t="str">
        <f t="shared" si="190"/>
        <v>Q3</v>
      </c>
      <c r="J3012" t="str">
        <f t="shared" si="191"/>
        <v>Large</v>
      </c>
    </row>
    <row r="3013" spans="1:10" x14ac:dyDescent="0.25">
      <c r="A3013" t="s">
        <v>23</v>
      </c>
      <c r="B3013" t="s">
        <v>29</v>
      </c>
      <c r="C3013" t="s">
        <v>16</v>
      </c>
      <c r="D3013" s="1">
        <v>45425</v>
      </c>
      <c r="E3013" s="2">
        <v>6051.65</v>
      </c>
      <c r="F3013">
        <v>490</v>
      </c>
      <c r="G3013" s="2">
        <f t="shared" si="188"/>
        <v>12.350306122448979</v>
      </c>
      <c r="H3013" t="str">
        <f t="shared" si="189"/>
        <v>May</v>
      </c>
      <c r="I3013" t="str">
        <f t="shared" si="190"/>
        <v>Q2</v>
      </c>
      <c r="J3013" t="str">
        <f t="shared" si="191"/>
        <v>Large</v>
      </c>
    </row>
    <row r="3014" spans="1:10" x14ac:dyDescent="0.25">
      <c r="A3014" t="s">
        <v>25</v>
      </c>
      <c r="B3014" t="s">
        <v>29</v>
      </c>
      <c r="C3014" t="s">
        <v>56</v>
      </c>
      <c r="D3014" s="1">
        <v>45325</v>
      </c>
      <c r="E3014" s="2">
        <v>12279.35</v>
      </c>
      <c r="F3014">
        <v>162</v>
      </c>
      <c r="G3014" s="2">
        <f t="shared" si="188"/>
        <v>75.798456790123453</v>
      </c>
      <c r="H3014" t="str">
        <f t="shared" si="189"/>
        <v>February</v>
      </c>
      <c r="I3014" t="str">
        <f t="shared" si="190"/>
        <v>Q1</v>
      </c>
      <c r="J3014" t="str">
        <f t="shared" si="191"/>
        <v>Large</v>
      </c>
    </row>
    <row r="3015" spans="1:10" x14ac:dyDescent="0.25">
      <c r="A3015" t="s">
        <v>23</v>
      </c>
      <c r="B3015" t="s">
        <v>10</v>
      </c>
      <c r="C3015" t="s">
        <v>16</v>
      </c>
      <c r="D3015" s="1">
        <v>45439</v>
      </c>
      <c r="E3015" s="2">
        <v>7091.66</v>
      </c>
      <c r="F3015">
        <v>28</v>
      </c>
      <c r="G3015" s="2">
        <f t="shared" si="188"/>
        <v>253.27357142857142</v>
      </c>
      <c r="H3015" t="str">
        <f t="shared" si="189"/>
        <v>May</v>
      </c>
      <c r="I3015" t="str">
        <f t="shared" si="190"/>
        <v>Q2</v>
      </c>
      <c r="J3015" t="str">
        <f t="shared" si="191"/>
        <v>Large</v>
      </c>
    </row>
    <row r="3016" spans="1:10" x14ac:dyDescent="0.25">
      <c r="A3016" t="s">
        <v>14</v>
      </c>
      <c r="B3016" t="s">
        <v>15</v>
      </c>
      <c r="C3016" t="s">
        <v>32</v>
      </c>
      <c r="D3016" s="1">
        <v>45340</v>
      </c>
      <c r="E3016" s="2">
        <v>3160.97</v>
      </c>
      <c r="F3016">
        <v>25</v>
      </c>
      <c r="G3016" s="2">
        <f t="shared" si="188"/>
        <v>126.43879999999999</v>
      </c>
      <c r="H3016" t="str">
        <f t="shared" si="189"/>
        <v>February</v>
      </c>
      <c r="I3016" t="str">
        <f t="shared" si="190"/>
        <v>Q1</v>
      </c>
      <c r="J3016" t="str">
        <f t="shared" si="191"/>
        <v>Large</v>
      </c>
    </row>
    <row r="3017" spans="1:10" x14ac:dyDescent="0.25">
      <c r="A3017" t="s">
        <v>23</v>
      </c>
      <c r="B3017" t="s">
        <v>10</v>
      </c>
      <c r="C3017" t="s">
        <v>39</v>
      </c>
      <c r="D3017" s="1">
        <v>45319</v>
      </c>
      <c r="E3017" s="2">
        <v>1408.28</v>
      </c>
      <c r="F3017">
        <v>35</v>
      </c>
      <c r="G3017" s="2">
        <f t="shared" si="188"/>
        <v>40.23657142857143</v>
      </c>
      <c r="H3017" t="str">
        <f t="shared" si="189"/>
        <v>January</v>
      </c>
      <c r="I3017" t="str">
        <f t="shared" si="190"/>
        <v>Q1</v>
      </c>
      <c r="J3017" t="str">
        <f t="shared" si="191"/>
        <v>Large</v>
      </c>
    </row>
    <row r="3018" spans="1:10" x14ac:dyDescent="0.25">
      <c r="A3018" t="s">
        <v>9</v>
      </c>
      <c r="B3018" t="s">
        <v>7</v>
      </c>
      <c r="C3018" t="s">
        <v>30</v>
      </c>
      <c r="D3018" s="1">
        <v>45472</v>
      </c>
      <c r="E3018" s="2">
        <v>5776.61</v>
      </c>
      <c r="F3018">
        <v>114</v>
      </c>
      <c r="G3018" s="2">
        <f t="shared" si="188"/>
        <v>50.672017543859646</v>
      </c>
      <c r="H3018" t="str">
        <f t="shared" si="189"/>
        <v>June</v>
      </c>
      <c r="I3018" t="str">
        <f t="shared" si="190"/>
        <v>Q2</v>
      </c>
      <c r="J3018" t="str">
        <f t="shared" si="191"/>
        <v>Large</v>
      </c>
    </row>
    <row r="3019" spans="1:10" x14ac:dyDescent="0.25">
      <c r="A3019" t="s">
        <v>46</v>
      </c>
      <c r="B3019" t="s">
        <v>10</v>
      </c>
      <c r="C3019" t="s">
        <v>57</v>
      </c>
      <c r="D3019" s="1">
        <v>45304</v>
      </c>
      <c r="E3019" s="2">
        <v>4890.59</v>
      </c>
      <c r="F3019">
        <v>274</v>
      </c>
      <c r="G3019" s="2">
        <f t="shared" si="188"/>
        <v>17.848868613138688</v>
      </c>
      <c r="H3019" t="str">
        <f t="shared" si="189"/>
        <v>January</v>
      </c>
      <c r="I3019" t="str">
        <f t="shared" si="190"/>
        <v>Q1</v>
      </c>
      <c r="J3019" t="str">
        <f t="shared" si="191"/>
        <v>Large</v>
      </c>
    </row>
    <row r="3020" spans="1:10" x14ac:dyDescent="0.25">
      <c r="A3020" t="s">
        <v>6</v>
      </c>
      <c r="B3020" t="s">
        <v>7</v>
      </c>
      <c r="C3020" t="s">
        <v>20</v>
      </c>
      <c r="D3020" s="1">
        <v>45470</v>
      </c>
      <c r="E3020" s="2">
        <v>2048.13</v>
      </c>
      <c r="F3020">
        <v>172</v>
      </c>
      <c r="G3020" s="2">
        <f t="shared" si="188"/>
        <v>11.907732558139536</v>
      </c>
      <c r="H3020" t="str">
        <f t="shared" si="189"/>
        <v>June</v>
      </c>
      <c r="I3020" t="str">
        <f t="shared" si="190"/>
        <v>Q2</v>
      </c>
      <c r="J3020" t="str">
        <f t="shared" si="191"/>
        <v>Large</v>
      </c>
    </row>
    <row r="3021" spans="1:10" x14ac:dyDescent="0.25">
      <c r="A3021" t="s">
        <v>25</v>
      </c>
      <c r="B3021" t="s">
        <v>29</v>
      </c>
      <c r="C3021" t="s">
        <v>44</v>
      </c>
      <c r="D3021" s="1">
        <v>45380</v>
      </c>
      <c r="E3021" s="2">
        <v>4590.46</v>
      </c>
      <c r="F3021">
        <v>1</v>
      </c>
      <c r="G3021" s="2">
        <f t="shared" si="188"/>
        <v>4590.46</v>
      </c>
      <c r="H3021" t="str">
        <f t="shared" si="189"/>
        <v>March</v>
      </c>
      <c r="I3021" t="str">
        <f t="shared" si="190"/>
        <v>Q1</v>
      </c>
      <c r="J3021" t="str">
        <f t="shared" si="191"/>
        <v>Large</v>
      </c>
    </row>
    <row r="3022" spans="1:10" x14ac:dyDescent="0.25">
      <c r="A3022" t="s">
        <v>19</v>
      </c>
      <c r="B3022" t="s">
        <v>10</v>
      </c>
      <c r="C3022" t="s">
        <v>35</v>
      </c>
      <c r="D3022" s="1">
        <v>45446</v>
      </c>
      <c r="E3022" s="2">
        <v>8665.99</v>
      </c>
      <c r="F3022">
        <v>162</v>
      </c>
      <c r="G3022" s="2">
        <f t="shared" si="188"/>
        <v>53.493765432098762</v>
      </c>
      <c r="H3022" t="str">
        <f t="shared" si="189"/>
        <v>June</v>
      </c>
      <c r="I3022" t="str">
        <f t="shared" si="190"/>
        <v>Q2</v>
      </c>
      <c r="J3022" t="str">
        <f t="shared" si="191"/>
        <v>Large</v>
      </c>
    </row>
    <row r="3023" spans="1:10" x14ac:dyDescent="0.25">
      <c r="A3023" t="s">
        <v>28</v>
      </c>
      <c r="B3023" t="s">
        <v>29</v>
      </c>
      <c r="C3023" t="s">
        <v>16</v>
      </c>
      <c r="D3023" s="1">
        <v>45372</v>
      </c>
      <c r="E3023" s="2">
        <v>2202.46</v>
      </c>
      <c r="F3023">
        <v>97</v>
      </c>
      <c r="G3023" s="2">
        <f t="shared" si="188"/>
        <v>22.70577319587629</v>
      </c>
      <c r="H3023" t="str">
        <f t="shared" si="189"/>
        <v>March</v>
      </c>
      <c r="I3023" t="str">
        <f t="shared" si="190"/>
        <v>Q1</v>
      </c>
      <c r="J3023" t="str">
        <f t="shared" si="191"/>
        <v>Large</v>
      </c>
    </row>
    <row r="3024" spans="1:10" x14ac:dyDescent="0.25">
      <c r="A3024" t="s">
        <v>28</v>
      </c>
      <c r="B3024" t="s">
        <v>10</v>
      </c>
      <c r="C3024" t="s">
        <v>30</v>
      </c>
      <c r="D3024" s="1">
        <v>45394</v>
      </c>
      <c r="E3024" s="2">
        <v>11720.11</v>
      </c>
      <c r="F3024">
        <v>48</v>
      </c>
      <c r="G3024" s="2">
        <f t="shared" si="188"/>
        <v>244.16895833333334</v>
      </c>
      <c r="H3024" t="str">
        <f t="shared" si="189"/>
        <v>April</v>
      </c>
      <c r="I3024" t="str">
        <f t="shared" si="190"/>
        <v>Q2</v>
      </c>
      <c r="J3024" t="str">
        <f t="shared" si="191"/>
        <v>Large</v>
      </c>
    </row>
    <row r="3025" spans="1:10" x14ac:dyDescent="0.25">
      <c r="A3025" t="s">
        <v>24</v>
      </c>
      <c r="B3025" t="s">
        <v>15</v>
      </c>
      <c r="C3025" t="s">
        <v>51</v>
      </c>
      <c r="D3025" s="1">
        <v>45310</v>
      </c>
      <c r="E3025" s="2">
        <v>7884.86</v>
      </c>
      <c r="F3025">
        <v>266</v>
      </c>
      <c r="G3025" s="2">
        <f t="shared" si="188"/>
        <v>29.642330827067667</v>
      </c>
      <c r="H3025" t="str">
        <f t="shared" si="189"/>
        <v>January</v>
      </c>
      <c r="I3025" t="str">
        <f t="shared" si="190"/>
        <v>Q1</v>
      </c>
      <c r="J3025" t="str">
        <f t="shared" si="191"/>
        <v>Large</v>
      </c>
    </row>
    <row r="3026" spans="1:10" x14ac:dyDescent="0.25">
      <c r="A3026" t="s">
        <v>31</v>
      </c>
      <c r="B3026" t="s">
        <v>7</v>
      </c>
      <c r="C3026" t="s">
        <v>22</v>
      </c>
      <c r="D3026" s="1">
        <v>45388</v>
      </c>
      <c r="E3026" s="2">
        <v>3857.88</v>
      </c>
      <c r="F3026">
        <v>303</v>
      </c>
      <c r="G3026" s="2">
        <f t="shared" si="188"/>
        <v>12.732277227722772</v>
      </c>
      <c r="H3026" t="str">
        <f t="shared" si="189"/>
        <v>April</v>
      </c>
      <c r="I3026" t="str">
        <f t="shared" si="190"/>
        <v>Q2</v>
      </c>
      <c r="J3026" t="str">
        <f t="shared" si="191"/>
        <v>Large</v>
      </c>
    </row>
    <row r="3027" spans="1:10" x14ac:dyDescent="0.25">
      <c r="A3027" t="s">
        <v>41</v>
      </c>
      <c r="B3027" t="s">
        <v>15</v>
      </c>
      <c r="C3027" t="s">
        <v>22</v>
      </c>
      <c r="D3027" s="1">
        <v>45506</v>
      </c>
      <c r="E3027" s="2">
        <v>10123.959999999999</v>
      </c>
      <c r="F3027">
        <v>84</v>
      </c>
      <c r="G3027" s="2">
        <f t="shared" si="188"/>
        <v>120.52333333333333</v>
      </c>
      <c r="H3027" t="str">
        <f t="shared" si="189"/>
        <v>August</v>
      </c>
      <c r="I3027" t="str">
        <f t="shared" si="190"/>
        <v>Q3</v>
      </c>
      <c r="J3027" t="str">
        <f t="shared" si="191"/>
        <v>Large</v>
      </c>
    </row>
    <row r="3028" spans="1:10" x14ac:dyDescent="0.25">
      <c r="A3028" t="s">
        <v>12</v>
      </c>
      <c r="B3028" t="s">
        <v>15</v>
      </c>
      <c r="C3028" t="s">
        <v>30</v>
      </c>
      <c r="D3028" s="1">
        <v>45394</v>
      </c>
      <c r="E3028" s="2">
        <v>8170.88</v>
      </c>
      <c r="F3028">
        <v>137</v>
      </c>
      <c r="G3028" s="2">
        <f t="shared" si="188"/>
        <v>59.641459854014599</v>
      </c>
      <c r="H3028" t="str">
        <f t="shared" si="189"/>
        <v>April</v>
      </c>
      <c r="I3028" t="str">
        <f t="shared" si="190"/>
        <v>Q2</v>
      </c>
      <c r="J3028" t="str">
        <f t="shared" si="191"/>
        <v>Large</v>
      </c>
    </row>
    <row r="3029" spans="1:10" x14ac:dyDescent="0.25">
      <c r="A3029" t="s">
        <v>17</v>
      </c>
      <c r="B3029" t="s">
        <v>10</v>
      </c>
      <c r="C3029" t="s">
        <v>32</v>
      </c>
      <c r="D3029" s="1">
        <v>45494</v>
      </c>
      <c r="E3029" s="2">
        <v>19390.61</v>
      </c>
      <c r="F3029">
        <v>141</v>
      </c>
      <c r="G3029" s="2">
        <f t="shared" si="188"/>
        <v>137.52205673758866</v>
      </c>
      <c r="H3029" t="str">
        <f t="shared" si="189"/>
        <v>July</v>
      </c>
      <c r="I3029" t="str">
        <f t="shared" si="190"/>
        <v>Q3</v>
      </c>
      <c r="J3029" t="str">
        <f t="shared" si="191"/>
        <v>Large</v>
      </c>
    </row>
    <row r="3030" spans="1:10" x14ac:dyDescent="0.25">
      <c r="A3030" t="s">
        <v>9</v>
      </c>
      <c r="B3030" t="s">
        <v>21</v>
      </c>
      <c r="C3030" t="s">
        <v>56</v>
      </c>
      <c r="D3030" s="1">
        <v>45373</v>
      </c>
      <c r="E3030" s="2">
        <v>10197.43</v>
      </c>
      <c r="F3030">
        <v>24</v>
      </c>
      <c r="G3030" s="2">
        <f t="shared" si="188"/>
        <v>424.89291666666668</v>
      </c>
      <c r="H3030" t="str">
        <f t="shared" si="189"/>
        <v>March</v>
      </c>
      <c r="I3030" t="str">
        <f t="shared" si="190"/>
        <v>Q1</v>
      </c>
      <c r="J3030" t="str">
        <f t="shared" si="191"/>
        <v>Large</v>
      </c>
    </row>
    <row r="3031" spans="1:10" x14ac:dyDescent="0.25">
      <c r="A3031" t="s">
        <v>40</v>
      </c>
      <c r="B3031" t="s">
        <v>10</v>
      </c>
      <c r="C3031" t="s">
        <v>13</v>
      </c>
      <c r="D3031" s="1">
        <v>45421</v>
      </c>
      <c r="E3031" s="2">
        <v>5188.18</v>
      </c>
      <c r="F3031">
        <v>5</v>
      </c>
      <c r="G3031" s="2">
        <f t="shared" si="188"/>
        <v>1037.636</v>
      </c>
      <c r="H3031" t="str">
        <f t="shared" si="189"/>
        <v>May</v>
      </c>
      <c r="I3031" t="str">
        <f t="shared" si="190"/>
        <v>Q2</v>
      </c>
      <c r="J3031" t="str">
        <f t="shared" si="191"/>
        <v>Large</v>
      </c>
    </row>
    <row r="3032" spans="1:10" x14ac:dyDescent="0.25">
      <c r="A3032" t="s">
        <v>48</v>
      </c>
      <c r="B3032" t="s">
        <v>15</v>
      </c>
      <c r="C3032" t="s">
        <v>56</v>
      </c>
      <c r="D3032" s="1">
        <v>45513</v>
      </c>
      <c r="E3032" s="2">
        <v>350.27</v>
      </c>
      <c r="F3032">
        <v>117</v>
      </c>
      <c r="G3032" s="2">
        <f t="shared" si="188"/>
        <v>2.9937606837606836</v>
      </c>
      <c r="H3032" t="str">
        <f t="shared" si="189"/>
        <v>August</v>
      </c>
      <c r="I3032" t="str">
        <f t="shared" si="190"/>
        <v>Q3</v>
      </c>
      <c r="J3032" t="str">
        <f t="shared" si="191"/>
        <v>Small</v>
      </c>
    </row>
    <row r="3033" spans="1:10" x14ac:dyDescent="0.25">
      <c r="A3033" t="s">
        <v>53</v>
      </c>
      <c r="B3033" t="s">
        <v>29</v>
      </c>
      <c r="C3033" t="s">
        <v>52</v>
      </c>
      <c r="D3033" s="1">
        <v>45493</v>
      </c>
      <c r="E3033" s="2">
        <v>3766.32</v>
      </c>
      <c r="F3033">
        <v>300</v>
      </c>
      <c r="G3033" s="2">
        <f t="shared" si="188"/>
        <v>12.554400000000001</v>
      </c>
      <c r="H3033" t="str">
        <f t="shared" si="189"/>
        <v>July</v>
      </c>
      <c r="I3033" t="str">
        <f t="shared" si="190"/>
        <v>Q3</v>
      </c>
      <c r="J3033" t="str">
        <f t="shared" si="191"/>
        <v>Large</v>
      </c>
    </row>
    <row r="3034" spans="1:10" x14ac:dyDescent="0.25">
      <c r="A3034" t="s">
        <v>23</v>
      </c>
      <c r="B3034" t="s">
        <v>10</v>
      </c>
      <c r="C3034" t="s">
        <v>58</v>
      </c>
      <c r="D3034" s="1">
        <v>45396</v>
      </c>
      <c r="E3034" s="2">
        <v>4888.37</v>
      </c>
      <c r="F3034">
        <v>435</v>
      </c>
      <c r="G3034" s="2">
        <f t="shared" si="188"/>
        <v>11.237632183908046</v>
      </c>
      <c r="H3034" t="str">
        <f t="shared" si="189"/>
        <v>April</v>
      </c>
      <c r="I3034" t="str">
        <f t="shared" si="190"/>
        <v>Q2</v>
      </c>
      <c r="J3034" t="str">
        <f t="shared" si="191"/>
        <v>Large</v>
      </c>
    </row>
    <row r="3035" spans="1:10" x14ac:dyDescent="0.25">
      <c r="A3035" t="s">
        <v>6</v>
      </c>
      <c r="B3035" t="s">
        <v>29</v>
      </c>
      <c r="C3035" t="s">
        <v>44</v>
      </c>
      <c r="D3035" s="1">
        <v>45316</v>
      </c>
      <c r="E3035" s="2">
        <v>5230.3599999999997</v>
      </c>
      <c r="F3035">
        <v>142</v>
      </c>
      <c r="G3035" s="2">
        <f t="shared" si="188"/>
        <v>36.833521126760559</v>
      </c>
      <c r="H3035" t="str">
        <f t="shared" si="189"/>
        <v>January</v>
      </c>
      <c r="I3035" t="str">
        <f t="shared" si="190"/>
        <v>Q1</v>
      </c>
      <c r="J3035" t="str">
        <f t="shared" si="191"/>
        <v>Large</v>
      </c>
    </row>
    <row r="3036" spans="1:10" x14ac:dyDescent="0.25">
      <c r="A3036" t="s">
        <v>48</v>
      </c>
      <c r="B3036" t="s">
        <v>15</v>
      </c>
      <c r="C3036" t="s">
        <v>47</v>
      </c>
      <c r="D3036" s="1">
        <v>45407</v>
      </c>
      <c r="E3036" s="2">
        <v>3790.18</v>
      </c>
      <c r="F3036">
        <v>168</v>
      </c>
      <c r="G3036" s="2">
        <f t="shared" si="188"/>
        <v>22.560595238095239</v>
      </c>
      <c r="H3036" t="str">
        <f t="shared" si="189"/>
        <v>April</v>
      </c>
      <c r="I3036" t="str">
        <f t="shared" si="190"/>
        <v>Q2</v>
      </c>
      <c r="J3036" t="str">
        <f t="shared" si="191"/>
        <v>Large</v>
      </c>
    </row>
    <row r="3037" spans="1:10" x14ac:dyDescent="0.25">
      <c r="A3037" t="s">
        <v>54</v>
      </c>
      <c r="B3037" t="s">
        <v>29</v>
      </c>
      <c r="C3037" t="s">
        <v>20</v>
      </c>
      <c r="D3037" s="1">
        <v>45308</v>
      </c>
      <c r="E3037" s="2">
        <v>302.18</v>
      </c>
      <c r="F3037">
        <v>233</v>
      </c>
      <c r="G3037" s="2">
        <f t="shared" si="188"/>
        <v>1.2969098712446352</v>
      </c>
      <c r="H3037" t="str">
        <f t="shared" si="189"/>
        <v>January</v>
      </c>
      <c r="I3037" t="str">
        <f t="shared" si="190"/>
        <v>Q1</v>
      </c>
      <c r="J3037" t="str">
        <f t="shared" si="191"/>
        <v>Small</v>
      </c>
    </row>
    <row r="3038" spans="1:10" x14ac:dyDescent="0.25">
      <c r="A3038" t="s">
        <v>31</v>
      </c>
      <c r="B3038" t="s">
        <v>26</v>
      </c>
      <c r="C3038" t="s">
        <v>30</v>
      </c>
      <c r="D3038" s="1">
        <v>45519</v>
      </c>
      <c r="E3038" s="2">
        <v>1017.17</v>
      </c>
      <c r="F3038">
        <v>123</v>
      </c>
      <c r="G3038" s="2">
        <f t="shared" si="188"/>
        <v>8.2696747967479673</v>
      </c>
      <c r="H3038" t="str">
        <f t="shared" si="189"/>
        <v>August</v>
      </c>
      <c r="I3038" t="str">
        <f t="shared" si="190"/>
        <v>Q3</v>
      </c>
      <c r="J3038" t="str">
        <f t="shared" si="191"/>
        <v>Large</v>
      </c>
    </row>
    <row r="3039" spans="1:10" x14ac:dyDescent="0.25">
      <c r="A3039" t="s">
        <v>31</v>
      </c>
      <c r="B3039" t="s">
        <v>29</v>
      </c>
      <c r="C3039" t="s">
        <v>42</v>
      </c>
      <c r="D3039" s="1">
        <v>45445</v>
      </c>
      <c r="E3039" s="2">
        <v>241.36</v>
      </c>
      <c r="F3039">
        <v>17</v>
      </c>
      <c r="G3039" s="2">
        <f t="shared" si="188"/>
        <v>14.197647058823531</v>
      </c>
      <c r="H3039" t="str">
        <f t="shared" si="189"/>
        <v>June</v>
      </c>
      <c r="I3039" t="str">
        <f t="shared" si="190"/>
        <v>Q2</v>
      </c>
      <c r="J3039" t="str">
        <f t="shared" si="191"/>
        <v>Small</v>
      </c>
    </row>
    <row r="3040" spans="1:10" x14ac:dyDescent="0.25">
      <c r="A3040" t="s">
        <v>19</v>
      </c>
      <c r="B3040" t="s">
        <v>26</v>
      </c>
      <c r="C3040" t="s">
        <v>11</v>
      </c>
      <c r="D3040" s="1">
        <v>45473</v>
      </c>
      <c r="E3040" s="2">
        <v>8347.2999999999993</v>
      </c>
      <c r="F3040">
        <v>138</v>
      </c>
      <c r="G3040" s="2">
        <f t="shared" si="188"/>
        <v>60.487681159420283</v>
      </c>
      <c r="H3040" t="str">
        <f t="shared" si="189"/>
        <v>June</v>
      </c>
      <c r="I3040" t="str">
        <f t="shared" si="190"/>
        <v>Q2</v>
      </c>
      <c r="J3040" t="str">
        <f t="shared" si="191"/>
        <v>Large</v>
      </c>
    </row>
    <row r="3041" spans="1:10" x14ac:dyDescent="0.25">
      <c r="A3041" t="s">
        <v>54</v>
      </c>
      <c r="B3041" t="s">
        <v>21</v>
      </c>
      <c r="C3041" t="s">
        <v>51</v>
      </c>
      <c r="D3041" s="1">
        <v>45332</v>
      </c>
      <c r="E3041" s="2">
        <v>6291.74</v>
      </c>
      <c r="F3041">
        <v>88</v>
      </c>
      <c r="G3041" s="2">
        <f t="shared" si="188"/>
        <v>71.497045454545457</v>
      </c>
      <c r="H3041" t="str">
        <f t="shared" si="189"/>
        <v>February</v>
      </c>
      <c r="I3041" t="str">
        <f t="shared" si="190"/>
        <v>Q1</v>
      </c>
      <c r="J3041" t="str">
        <f t="shared" si="191"/>
        <v>Large</v>
      </c>
    </row>
    <row r="3042" spans="1:10" x14ac:dyDescent="0.25">
      <c r="A3042" t="s">
        <v>33</v>
      </c>
      <c r="B3042" t="s">
        <v>29</v>
      </c>
      <c r="C3042" t="s">
        <v>57</v>
      </c>
      <c r="D3042" s="1">
        <v>45345</v>
      </c>
      <c r="E3042" s="2">
        <v>1543.77</v>
      </c>
      <c r="F3042">
        <v>674</v>
      </c>
      <c r="G3042" s="2">
        <f t="shared" si="188"/>
        <v>2.290459940652819</v>
      </c>
      <c r="H3042" t="str">
        <f t="shared" si="189"/>
        <v>February</v>
      </c>
      <c r="I3042" t="str">
        <f t="shared" si="190"/>
        <v>Q1</v>
      </c>
      <c r="J3042" t="str">
        <f t="shared" si="191"/>
        <v>Large</v>
      </c>
    </row>
    <row r="3043" spans="1:10" x14ac:dyDescent="0.25">
      <c r="A3043" t="s">
        <v>43</v>
      </c>
      <c r="B3043" t="s">
        <v>10</v>
      </c>
      <c r="C3043" t="s">
        <v>35</v>
      </c>
      <c r="D3043" s="1">
        <v>45318</v>
      </c>
      <c r="E3043" s="2">
        <v>9744.5</v>
      </c>
      <c r="F3043">
        <v>225</v>
      </c>
      <c r="G3043" s="2">
        <f t="shared" si="188"/>
        <v>43.308888888888887</v>
      </c>
      <c r="H3043" t="str">
        <f t="shared" si="189"/>
        <v>January</v>
      </c>
      <c r="I3043" t="str">
        <f t="shared" si="190"/>
        <v>Q1</v>
      </c>
      <c r="J3043" t="str">
        <f t="shared" si="191"/>
        <v>Large</v>
      </c>
    </row>
    <row r="3044" spans="1:10" x14ac:dyDescent="0.25">
      <c r="A3044" t="s">
        <v>50</v>
      </c>
      <c r="B3044" t="s">
        <v>7</v>
      </c>
      <c r="C3044" t="s">
        <v>8</v>
      </c>
      <c r="D3044" s="1">
        <v>45438</v>
      </c>
      <c r="E3044" s="2">
        <v>5414.75</v>
      </c>
      <c r="F3044">
        <v>325</v>
      </c>
      <c r="G3044" s="2">
        <f t="shared" si="188"/>
        <v>16.66076923076923</v>
      </c>
      <c r="H3044" t="str">
        <f t="shared" si="189"/>
        <v>May</v>
      </c>
      <c r="I3044" t="str">
        <f t="shared" si="190"/>
        <v>Q2</v>
      </c>
      <c r="J3044" t="str">
        <f t="shared" si="191"/>
        <v>Large</v>
      </c>
    </row>
    <row r="3045" spans="1:10" x14ac:dyDescent="0.25">
      <c r="A3045" t="s">
        <v>23</v>
      </c>
      <c r="B3045" t="s">
        <v>26</v>
      </c>
      <c r="C3045" t="s">
        <v>58</v>
      </c>
      <c r="D3045" s="1">
        <v>45396</v>
      </c>
      <c r="E3045" s="2">
        <v>1898.07</v>
      </c>
      <c r="F3045">
        <v>22</v>
      </c>
      <c r="G3045" s="2">
        <f t="shared" si="188"/>
        <v>86.275909090909082</v>
      </c>
      <c r="H3045" t="str">
        <f t="shared" si="189"/>
        <v>April</v>
      </c>
      <c r="I3045" t="str">
        <f t="shared" si="190"/>
        <v>Q2</v>
      </c>
      <c r="J3045" t="str">
        <f t="shared" si="191"/>
        <v>Large</v>
      </c>
    </row>
    <row r="3046" spans="1:10" x14ac:dyDescent="0.25">
      <c r="A3046" t="s">
        <v>53</v>
      </c>
      <c r="B3046" t="s">
        <v>15</v>
      </c>
      <c r="C3046" t="s">
        <v>18</v>
      </c>
      <c r="D3046" s="1">
        <v>45505</v>
      </c>
      <c r="E3046" s="2">
        <v>4911.08</v>
      </c>
      <c r="F3046">
        <v>163</v>
      </c>
      <c r="G3046" s="2">
        <f t="shared" si="188"/>
        <v>30.129325153374232</v>
      </c>
      <c r="H3046" t="str">
        <f t="shared" si="189"/>
        <v>August</v>
      </c>
      <c r="I3046" t="str">
        <f t="shared" si="190"/>
        <v>Q3</v>
      </c>
      <c r="J3046" t="str">
        <f t="shared" si="191"/>
        <v>Large</v>
      </c>
    </row>
    <row r="3047" spans="1:10" x14ac:dyDescent="0.25">
      <c r="A3047" t="s">
        <v>28</v>
      </c>
      <c r="B3047" t="s">
        <v>15</v>
      </c>
      <c r="C3047" t="s">
        <v>30</v>
      </c>
      <c r="D3047" s="1">
        <v>45526</v>
      </c>
      <c r="E3047" s="2">
        <v>11293.17</v>
      </c>
      <c r="F3047">
        <v>219</v>
      </c>
      <c r="G3047" s="2">
        <f t="shared" si="188"/>
        <v>51.566986301369866</v>
      </c>
      <c r="H3047" t="str">
        <f t="shared" si="189"/>
        <v>August</v>
      </c>
      <c r="I3047" t="str">
        <f t="shared" si="190"/>
        <v>Q3</v>
      </c>
      <c r="J3047" t="str">
        <f t="shared" si="191"/>
        <v>Large</v>
      </c>
    </row>
    <row r="3048" spans="1:10" x14ac:dyDescent="0.25">
      <c r="A3048" t="s">
        <v>33</v>
      </c>
      <c r="B3048" t="s">
        <v>10</v>
      </c>
      <c r="C3048" t="s">
        <v>18</v>
      </c>
      <c r="D3048" s="1">
        <v>45495</v>
      </c>
      <c r="E3048" s="2">
        <v>12398.37</v>
      </c>
      <c r="F3048">
        <v>161</v>
      </c>
      <c r="G3048" s="2">
        <f t="shared" si="188"/>
        <v>77.008509316770187</v>
      </c>
      <c r="H3048" t="str">
        <f t="shared" si="189"/>
        <v>July</v>
      </c>
      <c r="I3048" t="str">
        <f t="shared" si="190"/>
        <v>Q3</v>
      </c>
      <c r="J3048" t="str">
        <f t="shared" si="191"/>
        <v>Large</v>
      </c>
    </row>
    <row r="3049" spans="1:10" x14ac:dyDescent="0.25">
      <c r="A3049" t="s">
        <v>40</v>
      </c>
      <c r="B3049" t="s">
        <v>26</v>
      </c>
      <c r="C3049" t="s">
        <v>42</v>
      </c>
      <c r="D3049" s="1">
        <v>45410</v>
      </c>
      <c r="E3049" s="2">
        <v>1508.57</v>
      </c>
      <c r="F3049">
        <v>28</v>
      </c>
      <c r="G3049" s="2">
        <f t="shared" si="188"/>
        <v>53.877499999999998</v>
      </c>
      <c r="H3049" t="str">
        <f t="shared" si="189"/>
        <v>April</v>
      </c>
      <c r="I3049" t="str">
        <f t="shared" si="190"/>
        <v>Q2</v>
      </c>
      <c r="J3049" t="str">
        <f t="shared" si="191"/>
        <v>Large</v>
      </c>
    </row>
    <row r="3050" spans="1:10" x14ac:dyDescent="0.25">
      <c r="A3050" t="s">
        <v>49</v>
      </c>
      <c r="B3050" t="s">
        <v>15</v>
      </c>
      <c r="C3050" t="s">
        <v>47</v>
      </c>
      <c r="D3050" s="1">
        <v>45442</v>
      </c>
      <c r="E3050" s="2">
        <v>5869.09</v>
      </c>
      <c r="F3050">
        <v>354</v>
      </c>
      <c r="G3050" s="2">
        <f t="shared" si="188"/>
        <v>16.579350282485876</v>
      </c>
      <c r="H3050" t="str">
        <f t="shared" si="189"/>
        <v>May</v>
      </c>
      <c r="I3050" t="str">
        <f t="shared" si="190"/>
        <v>Q2</v>
      </c>
      <c r="J3050" t="str">
        <f t="shared" si="191"/>
        <v>Large</v>
      </c>
    </row>
    <row r="3051" spans="1:10" x14ac:dyDescent="0.25">
      <c r="A3051" t="s">
        <v>55</v>
      </c>
      <c r="B3051" t="s">
        <v>26</v>
      </c>
      <c r="C3051" t="s">
        <v>37</v>
      </c>
      <c r="D3051" s="1">
        <v>45494</v>
      </c>
      <c r="E3051" s="2">
        <v>2770.47</v>
      </c>
      <c r="F3051">
        <v>159</v>
      </c>
      <c r="G3051" s="2">
        <f t="shared" si="188"/>
        <v>17.424339622641508</v>
      </c>
      <c r="H3051" t="str">
        <f t="shared" si="189"/>
        <v>July</v>
      </c>
      <c r="I3051" t="str">
        <f t="shared" si="190"/>
        <v>Q3</v>
      </c>
      <c r="J3051" t="str">
        <f t="shared" si="191"/>
        <v>Large</v>
      </c>
    </row>
    <row r="3052" spans="1:10" x14ac:dyDescent="0.25">
      <c r="A3052" t="s">
        <v>14</v>
      </c>
      <c r="B3052" t="s">
        <v>7</v>
      </c>
      <c r="C3052" t="s">
        <v>57</v>
      </c>
      <c r="D3052" s="1">
        <v>45506</v>
      </c>
      <c r="E3052" s="2">
        <v>3541.73</v>
      </c>
      <c r="F3052">
        <v>494</v>
      </c>
      <c r="G3052" s="2">
        <f t="shared" si="188"/>
        <v>7.1694939271255063</v>
      </c>
      <c r="H3052" t="str">
        <f t="shared" si="189"/>
        <v>August</v>
      </c>
      <c r="I3052" t="str">
        <f t="shared" si="190"/>
        <v>Q3</v>
      </c>
      <c r="J3052" t="str">
        <f t="shared" si="191"/>
        <v>Large</v>
      </c>
    </row>
    <row r="3053" spans="1:10" x14ac:dyDescent="0.25">
      <c r="A3053" t="s">
        <v>23</v>
      </c>
      <c r="B3053" t="s">
        <v>21</v>
      </c>
      <c r="C3053" t="s">
        <v>58</v>
      </c>
      <c r="D3053" s="1">
        <v>45458</v>
      </c>
      <c r="E3053" s="2">
        <v>7624.41</v>
      </c>
      <c r="F3053">
        <v>139</v>
      </c>
      <c r="G3053" s="2">
        <f t="shared" si="188"/>
        <v>54.851870503597119</v>
      </c>
      <c r="H3053" t="str">
        <f t="shared" si="189"/>
        <v>June</v>
      </c>
      <c r="I3053" t="str">
        <f t="shared" si="190"/>
        <v>Q2</v>
      </c>
      <c r="J3053" t="str">
        <f t="shared" si="191"/>
        <v>Large</v>
      </c>
    </row>
    <row r="3054" spans="1:10" x14ac:dyDescent="0.25">
      <c r="A3054" t="s">
        <v>17</v>
      </c>
      <c r="B3054" t="s">
        <v>10</v>
      </c>
      <c r="C3054" t="s">
        <v>11</v>
      </c>
      <c r="D3054" s="1">
        <v>45478</v>
      </c>
      <c r="E3054" s="2">
        <v>9928.42</v>
      </c>
      <c r="F3054">
        <v>130</v>
      </c>
      <c r="G3054" s="2">
        <f t="shared" si="188"/>
        <v>76.372461538461536</v>
      </c>
      <c r="H3054" t="str">
        <f t="shared" si="189"/>
        <v>July</v>
      </c>
      <c r="I3054" t="str">
        <f t="shared" si="190"/>
        <v>Q3</v>
      </c>
      <c r="J3054" t="str">
        <f t="shared" si="191"/>
        <v>Large</v>
      </c>
    </row>
    <row r="3055" spans="1:10" x14ac:dyDescent="0.25">
      <c r="A3055" t="s">
        <v>41</v>
      </c>
      <c r="B3055" t="s">
        <v>21</v>
      </c>
      <c r="C3055" t="s">
        <v>16</v>
      </c>
      <c r="D3055" s="1">
        <v>45394</v>
      </c>
      <c r="E3055" s="2">
        <v>7.67</v>
      </c>
      <c r="F3055">
        <v>548</v>
      </c>
      <c r="G3055" s="2">
        <f t="shared" si="188"/>
        <v>1.3996350364963503E-2</v>
      </c>
      <c r="H3055" t="str">
        <f t="shared" si="189"/>
        <v>April</v>
      </c>
      <c r="I3055" t="str">
        <f t="shared" si="190"/>
        <v>Q2</v>
      </c>
      <c r="J3055" t="str">
        <f t="shared" si="191"/>
        <v>Small</v>
      </c>
    </row>
    <row r="3056" spans="1:10" x14ac:dyDescent="0.25">
      <c r="A3056" t="s">
        <v>12</v>
      </c>
      <c r="B3056" t="s">
        <v>15</v>
      </c>
      <c r="C3056" t="s">
        <v>58</v>
      </c>
      <c r="D3056" s="1">
        <v>45522</v>
      </c>
      <c r="E3056" s="2">
        <v>1624.86</v>
      </c>
      <c r="F3056">
        <v>103</v>
      </c>
      <c r="G3056" s="2">
        <f t="shared" si="188"/>
        <v>15.775339805825242</v>
      </c>
      <c r="H3056" t="str">
        <f t="shared" si="189"/>
        <v>August</v>
      </c>
      <c r="I3056" t="str">
        <f t="shared" si="190"/>
        <v>Q3</v>
      </c>
      <c r="J3056" t="str">
        <f t="shared" si="191"/>
        <v>Large</v>
      </c>
    </row>
    <row r="3057" spans="1:10" x14ac:dyDescent="0.25">
      <c r="A3057" t="s">
        <v>14</v>
      </c>
      <c r="B3057" t="s">
        <v>7</v>
      </c>
      <c r="C3057" t="s">
        <v>22</v>
      </c>
      <c r="D3057" s="1">
        <v>45303</v>
      </c>
      <c r="E3057" s="2">
        <v>6301.56</v>
      </c>
      <c r="F3057">
        <v>287</v>
      </c>
      <c r="G3057" s="2">
        <f t="shared" si="188"/>
        <v>21.956655052264811</v>
      </c>
      <c r="H3057" t="str">
        <f t="shared" si="189"/>
        <v>January</v>
      </c>
      <c r="I3057" t="str">
        <f t="shared" si="190"/>
        <v>Q1</v>
      </c>
      <c r="J3057" t="str">
        <f t="shared" si="191"/>
        <v>Large</v>
      </c>
    </row>
    <row r="3058" spans="1:10" x14ac:dyDescent="0.25">
      <c r="A3058" t="s">
        <v>19</v>
      </c>
      <c r="B3058" t="s">
        <v>29</v>
      </c>
      <c r="C3058" t="s">
        <v>44</v>
      </c>
      <c r="D3058" s="1">
        <v>45515</v>
      </c>
      <c r="E3058" s="2">
        <v>8578.4</v>
      </c>
      <c r="F3058">
        <v>15</v>
      </c>
      <c r="G3058" s="2">
        <f t="shared" si="188"/>
        <v>571.89333333333332</v>
      </c>
      <c r="H3058" t="str">
        <f t="shared" si="189"/>
        <v>August</v>
      </c>
      <c r="I3058" t="str">
        <f t="shared" si="190"/>
        <v>Q3</v>
      </c>
      <c r="J3058" t="str">
        <f t="shared" si="191"/>
        <v>Large</v>
      </c>
    </row>
    <row r="3059" spans="1:10" x14ac:dyDescent="0.25">
      <c r="A3059" t="s">
        <v>6</v>
      </c>
      <c r="B3059" t="s">
        <v>15</v>
      </c>
      <c r="C3059" t="s">
        <v>39</v>
      </c>
      <c r="D3059" s="1">
        <v>45304</v>
      </c>
      <c r="E3059" s="2">
        <v>5573.57</v>
      </c>
      <c r="F3059">
        <v>372</v>
      </c>
      <c r="G3059" s="2">
        <f t="shared" si="188"/>
        <v>14.982715053763441</v>
      </c>
      <c r="H3059" t="str">
        <f t="shared" si="189"/>
        <v>January</v>
      </c>
      <c r="I3059" t="str">
        <f t="shared" si="190"/>
        <v>Q1</v>
      </c>
      <c r="J3059" t="str">
        <f t="shared" si="191"/>
        <v>Large</v>
      </c>
    </row>
    <row r="3060" spans="1:10" x14ac:dyDescent="0.25">
      <c r="A3060" t="s">
        <v>40</v>
      </c>
      <c r="B3060" t="s">
        <v>7</v>
      </c>
      <c r="C3060" t="s">
        <v>56</v>
      </c>
      <c r="D3060" s="1">
        <v>45411</v>
      </c>
      <c r="E3060" s="2">
        <v>3465.68</v>
      </c>
      <c r="F3060">
        <v>133</v>
      </c>
      <c r="G3060" s="2">
        <f t="shared" si="188"/>
        <v>26.057744360902255</v>
      </c>
      <c r="H3060" t="str">
        <f t="shared" si="189"/>
        <v>April</v>
      </c>
      <c r="I3060" t="str">
        <f t="shared" si="190"/>
        <v>Q2</v>
      </c>
      <c r="J3060" t="str">
        <f t="shared" si="191"/>
        <v>Large</v>
      </c>
    </row>
    <row r="3061" spans="1:10" x14ac:dyDescent="0.25">
      <c r="A3061" t="s">
        <v>24</v>
      </c>
      <c r="B3061" t="s">
        <v>21</v>
      </c>
      <c r="C3061" t="s">
        <v>20</v>
      </c>
      <c r="D3061" s="1">
        <v>45480</v>
      </c>
      <c r="E3061" s="2">
        <v>1245.9100000000001</v>
      </c>
      <c r="F3061">
        <v>90</v>
      </c>
      <c r="G3061" s="2">
        <f t="shared" si="188"/>
        <v>13.843444444444446</v>
      </c>
      <c r="H3061" t="str">
        <f t="shared" si="189"/>
        <v>July</v>
      </c>
      <c r="I3061" t="str">
        <f t="shared" si="190"/>
        <v>Q3</v>
      </c>
      <c r="J3061" t="str">
        <f t="shared" si="191"/>
        <v>Large</v>
      </c>
    </row>
    <row r="3062" spans="1:10" x14ac:dyDescent="0.25">
      <c r="A3062" t="s">
        <v>53</v>
      </c>
      <c r="B3062" t="s">
        <v>21</v>
      </c>
      <c r="C3062" t="s">
        <v>8</v>
      </c>
      <c r="D3062" s="1">
        <v>45362</v>
      </c>
      <c r="E3062" s="2">
        <v>8888.61</v>
      </c>
      <c r="F3062">
        <v>4</v>
      </c>
      <c r="G3062" s="2">
        <f t="shared" si="188"/>
        <v>2222.1525000000001</v>
      </c>
      <c r="H3062" t="str">
        <f t="shared" si="189"/>
        <v>March</v>
      </c>
      <c r="I3062" t="str">
        <f t="shared" si="190"/>
        <v>Q1</v>
      </c>
      <c r="J3062" t="str">
        <f t="shared" si="191"/>
        <v>Large</v>
      </c>
    </row>
    <row r="3063" spans="1:10" x14ac:dyDescent="0.25">
      <c r="A3063" t="s">
        <v>53</v>
      </c>
      <c r="B3063" t="s">
        <v>7</v>
      </c>
      <c r="C3063" t="s">
        <v>58</v>
      </c>
      <c r="D3063" s="1">
        <v>45338</v>
      </c>
      <c r="E3063" s="2">
        <v>5931.82</v>
      </c>
      <c r="F3063">
        <v>243</v>
      </c>
      <c r="G3063" s="2">
        <f t="shared" si="188"/>
        <v>24.410781893004113</v>
      </c>
      <c r="H3063" t="str">
        <f t="shared" si="189"/>
        <v>February</v>
      </c>
      <c r="I3063" t="str">
        <f t="shared" si="190"/>
        <v>Q1</v>
      </c>
      <c r="J3063" t="str">
        <f t="shared" si="191"/>
        <v>Large</v>
      </c>
    </row>
    <row r="3064" spans="1:10" x14ac:dyDescent="0.25">
      <c r="A3064" t="s">
        <v>25</v>
      </c>
      <c r="B3064" t="s">
        <v>15</v>
      </c>
      <c r="C3064" t="s">
        <v>35</v>
      </c>
      <c r="D3064" s="1">
        <v>45298</v>
      </c>
      <c r="E3064" s="2">
        <v>2620.66</v>
      </c>
      <c r="F3064">
        <v>34</v>
      </c>
      <c r="G3064" s="2">
        <f t="shared" si="188"/>
        <v>77.078235294117647</v>
      </c>
      <c r="H3064" t="str">
        <f t="shared" si="189"/>
        <v>January</v>
      </c>
      <c r="I3064" t="str">
        <f t="shared" si="190"/>
        <v>Q1</v>
      </c>
      <c r="J3064" t="str">
        <f t="shared" si="191"/>
        <v>Large</v>
      </c>
    </row>
    <row r="3065" spans="1:10" x14ac:dyDescent="0.25">
      <c r="A3065" t="s">
        <v>34</v>
      </c>
      <c r="B3065" t="s">
        <v>21</v>
      </c>
      <c r="C3065" t="s">
        <v>32</v>
      </c>
      <c r="D3065" s="1">
        <v>45303</v>
      </c>
      <c r="E3065" s="2">
        <v>1284.3699999999999</v>
      </c>
      <c r="F3065">
        <v>560</v>
      </c>
      <c r="G3065" s="2">
        <f t="shared" si="188"/>
        <v>2.2935178571428572</v>
      </c>
      <c r="H3065" t="str">
        <f t="shared" si="189"/>
        <v>January</v>
      </c>
      <c r="I3065" t="str">
        <f t="shared" si="190"/>
        <v>Q1</v>
      </c>
      <c r="J3065" t="str">
        <f t="shared" si="191"/>
        <v>Large</v>
      </c>
    </row>
    <row r="3066" spans="1:10" x14ac:dyDescent="0.25">
      <c r="A3066" t="s">
        <v>34</v>
      </c>
      <c r="B3066" t="s">
        <v>10</v>
      </c>
      <c r="C3066" t="s">
        <v>30</v>
      </c>
      <c r="D3066" s="1">
        <v>45452</v>
      </c>
      <c r="E3066" s="2">
        <v>11033.61</v>
      </c>
      <c r="F3066">
        <v>155</v>
      </c>
      <c r="G3066" s="2">
        <f t="shared" si="188"/>
        <v>71.18458064516129</v>
      </c>
      <c r="H3066" t="str">
        <f t="shared" si="189"/>
        <v>June</v>
      </c>
      <c r="I3066" t="str">
        <f t="shared" si="190"/>
        <v>Q2</v>
      </c>
      <c r="J3066" t="str">
        <f t="shared" si="191"/>
        <v>Large</v>
      </c>
    </row>
    <row r="3067" spans="1:10" x14ac:dyDescent="0.25">
      <c r="A3067" t="s">
        <v>48</v>
      </c>
      <c r="B3067" t="s">
        <v>10</v>
      </c>
      <c r="C3067" t="s">
        <v>30</v>
      </c>
      <c r="D3067" s="1">
        <v>45428</v>
      </c>
      <c r="E3067" s="2">
        <v>2413.0500000000002</v>
      </c>
      <c r="F3067">
        <v>82</v>
      </c>
      <c r="G3067" s="2">
        <f t="shared" si="188"/>
        <v>29.427439024390246</v>
      </c>
      <c r="H3067" t="str">
        <f t="shared" si="189"/>
        <v>May</v>
      </c>
      <c r="I3067" t="str">
        <f t="shared" si="190"/>
        <v>Q2</v>
      </c>
      <c r="J3067" t="str">
        <f t="shared" si="191"/>
        <v>Large</v>
      </c>
    </row>
    <row r="3068" spans="1:10" x14ac:dyDescent="0.25">
      <c r="A3068" t="s">
        <v>12</v>
      </c>
      <c r="B3068" t="s">
        <v>7</v>
      </c>
      <c r="C3068" t="s">
        <v>11</v>
      </c>
      <c r="D3068" s="1">
        <v>45466</v>
      </c>
      <c r="E3068" s="2">
        <v>13136.08</v>
      </c>
      <c r="F3068">
        <v>90</v>
      </c>
      <c r="G3068" s="2">
        <f t="shared" si="188"/>
        <v>145.95644444444446</v>
      </c>
      <c r="H3068" t="str">
        <f t="shared" si="189"/>
        <v>June</v>
      </c>
      <c r="I3068" t="str">
        <f t="shared" si="190"/>
        <v>Q2</v>
      </c>
      <c r="J3068" t="str">
        <f t="shared" si="191"/>
        <v>Large</v>
      </c>
    </row>
    <row r="3069" spans="1:10" x14ac:dyDescent="0.25">
      <c r="A3069" t="s">
        <v>36</v>
      </c>
      <c r="B3069" t="s">
        <v>7</v>
      </c>
      <c r="C3069" t="s">
        <v>51</v>
      </c>
      <c r="D3069" s="1">
        <v>45319</v>
      </c>
      <c r="E3069" s="2">
        <v>14297.82</v>
      </c>
      <c r="F3069">
        <v>211</v>
      </c>
      <c r="G3069" s="2">
        <f t="shared" si="188"/>
        <v>67.762180094786729</v>
      </c>
      <c r="H3069" t="str">
        <f t="shared" si="189"/>
        <v>January</v>
      </c>
      <c r="I3069" t="str">
        <f t="shared" si="190"/>
        <v>Q1</v>
      </c>
      <c r="J3069" t="str">
        <f t="shared" si="191"/>
        <v>Large</v>
      </c>
    </row>
    <row r="3070" spans="1:10" x14ac:dyDescent="0.25">
      <c r="A3070" t="s">
        <v>54</v>
      </c>
      <c r="B3070" t="s">
        <v>7</v>
      </c>
      <c r="C3070" t="s">
        <v>8</v>
      </c>
      <c r="D3070" s="1">
        <v>45487</v>
      </c>
      <c r="E3070" s="2">
        <v>2837.65</v>
      </c>
      <c r="F3070">
        <v>212</v>
      </c>
      <c r="G3070" s="2">
        <f t="shared" si="188"/>
        <v>13.385141509433963</v>
      </c>
      <c r="H3070" t="str">
        <f t="shared" si="189"/>
        <v>July</v>
      </c>
      <c r="I3070" t="str">
        <f t="shared" si="190"/>
        <v>Q3</v>
      </c>
      <c r="J3070" t="str">
        <f t="shared" si="191"/>
        <v>Large</v>
      </c>
    </row>
    <row r="3071" spans="1:10" x14ac:dyDescent="0.25">
      <c r="A3071" t="s">
        <v>25</v>
      </c>
      <c r="B3071" t="s">
        <v>29</v>
      </c>
      <c r="C3071" t="s">
        <v>32</v>
      </c>
      <c r="D3071" s="1">
        <v>45400</v>
      </c>
      <c r="E3071" s="2">
        <v>7496.03</v>
      </c>
      <c r="F3071">
        <v>259</v>
      </c>
      <c r="G3071" s="2">
        <f t="shared" si="188"/>
        <v>28.942200772200771</v>
      </c>
      <c r="H3071" t="str">
        <f t="shared" si="189"/>
        <v>April</v>
      </c>
      <c r="I3071" t="str">
        <f t="shared" si="190"/>
        <v>Q2</v>
      </c>
      <c r="J3071" t="str">
        <f t="shared" si="191"/>
        <v>Large</v>
      </c>
    </row>
    <row r="3072" spans="1:10" x14ac:dyDescent="0.25">
      <c r="A3072" t="s">
        <v>17</v>
      </c>
      <c r="B3072" t="s">
        <v>26</v>
      </c>
      <c r="C3072" t="s">
        <v>37</v>
      </c>
      <c r="D3072" s="1">
        <v>45457</v>
      </c>
      <c r="E3072" s="2">
        <v>1815.29</v>
      </c>
      <c r="F3072">
        <v>79</v>
      </c>
      <c r="G3072" s="2">
        <f t="shared" si="188"/>
        <v>22.978354430379746</v>
      </c>
      <c r="H3072" t="str">
        <f t="shared" si="189"/>
        <v>June</v>
      </c>
      <c r="I3072" t="str">
        <f t="shared" si="190"/>
        <v>Q2</v>
      </c>
      <c r="J3072" t="str">
        <f t="shared" si="191"/>
        <v>Large</v>
      </c>
    </row>
    <row r="3073" spans="1:10" x14ac:dyDescent="0.25">
      <c r="A3073" t="s">
        <v>17</v>
      </c>
      <c r="B3073" t="s">
        <v>7</v>
      </c>
      <c r="C3073" t="s">
        <v>27</v>
      </c>
      <c r="D3073" s="1">
        <v>45397</v>
      </c>
      <c r="E3073" s="2">
        <v>8250.0300000000007</v>
      </c>
      <c r="F3073">
        <v>228</v>
      </c>
      <c r="G3073" s="2">
        <f t="shared" si="188"/>
        <v>36.184342105263163</v>
      </c>
      <c r="H3073" t="str">
        <f t="shared" si="189"/>
        <v>April</v>
      </c>
      <c r="I3073" t="str">
        <f t="shared" si="190"/>
        <v>Q2</v>
      </c>
      <c r="J3073" t="str">
        <f t="shared" si="191"/>
        <v>Large</v>
      </c>
    </row>
    <row r="3074" spans="1:10" x14ac:dyDescent="0.25">
      <c r="A3074" t="s">
        <v>38</v>
      </c>
      <c r="B3074" t="s">
        <v>29</v>
      </c>
      <c r="C3074" t="s">
        <v>13</v>
      </c>
      <c r="D3074" s="1">
        <v>45431</v>
      </c>
      <c r="E3074" s="2">
        <v>5605.82</v>
      </c>
      <c r="F3074">
        <v>64</v>
      </c>
      <c r="G3074" s="2">
        <f t="shared" si="188"/>
        <v>87.590937499999995</v>
      </c>
      <c r="H3074" t="str">
        <f t="shared" si="189"/>
        <v>May</v>
      </c>
      <c r="I3074" t="str">
        <f t="shared" si="190"/>
        <v>Q2</v>
      </c>
      <c r="J3074" t="str">
        <f t="shared" si="191"/>
        <v>Large</v>
      </c>
    </row>
    <row r="3075" spans="1:10" x14ac:dyDescent="0.25">
      <c r="A3075" t="s">
        <v>12</v>
      </c>
      <c r="B3075" t="s">
        <v>10</v>
      </c>
      <c r="C3075" t="s">
        <v>44</v>
      </c>
      <c r="D3075" s="1">
        <v>45395</v>
      </c>
      <c r="E3075" s="2">
        <v>1563.39</v>
      </c>
      <c r="F3075">
        <v>179</v>
      </c>
      <c r="G3075" s="2">
        <f t="shared" ref="G3075:G3138" si="192">E3075/F3075</f>
        <v>8.7340223463687163</v>
      </c>
      <c r="H3075" t="str">
        <f t="shared" ref="H3075:H3138" si="193">TEXT(D3075, "mmmm")</f>
        <v>April</v>
      </c>
      <c r="I3075" t="str">
        <f t="shared" ref="I3075:I3138" si="194">"Q" &amp; ROUNDUP(MONTH(D3075)/3,0)</f>
        <v>Q2</v>
      </c>
      <c r="J3075" t="str">
        <f t="shared" ref="J3075:J3138" si="195">IF(E3075 &gt; 500, "Large", "Small")</f>
        <v>Large</v>
      </c>
    </row>
    <row r="3076" spans="1:10" x14ac:dyDescent="0.25">
      <c r="A3076" t="s">
        <v>40</v>
      </c>
      <c r="B3076" t="s">
        <v>29</v>
      </c>
      <c r="C3076" t="s">
        <v>52</v>
      </c>
      <c r="D3076" s="1">
        <v>45519</v>
      </c>
      <c r="E3076" s="2">
        <v>3997.02</v>
      </c>
      <c r="F3076">
        <v>411</v>
      </c>
      <c r="G3076" s="2">
        <f t="shared" si="192"/>
        <v>9.7251094890510945</v>
      </c>
      <c r="H3076" t="str">
        <f t="shared" si="193"/>
        <v>August</v>
      </c>
      <c r="I3076" t="str">
        <f t="shared" si="194"/>
        <v>Q3</v>
      </c>
      <c r="J3076" t="str">
        <f t="shared" si="195"/>
        <v>Large</v>
      </c>
    </row>
    <row r="3077" spans="1:10" x14ac:dyDescent="0.25">
      <c r="A3077" t="s">
        <v>46</v>
      </c>
      <c r="B3077" t="s">
        <v>10</v>
      </c>
      <c r="C3077" t="s">
        <v>52</v>
      </c>
      <c r="D3077" s="1">
        <v>45526</v>
      </c>
      <c r="E3077" s="2">
        <v>3284.22</v>
      </c>
      <c r="F3077">
        <v>230</v>
      </c>
      <c r="G3077" s="2">
        <f t="shared" si="192"/>
        <v>14.279217391304346</v>
      </c>
      <c r="H3077" t="str">
        <f t="shared" si="193"/>
        <v>August</v>
      </c>
      <c r="I3077" t="str">
        <f t="shared" si="194"/>
        <v>Q3</v>
      </c>
      <c r="J3077" t="str">
        <f t="shared" si="195"/>
        <v>Large</v>
      </c>
    </row>
    <row r="3078" spans="1:10" x14ac:dyDescent="0.25">
      <c r="A3078" t="s">
        <v>46</v>
      </c>
      <c r="B3078" t="s">
        <v>21</v>
      </c>
      <c r="C3078" t="s">
        <v>56</v>
      </c>
      <c r="D3078" s="1">
        <v>45404</v>
      </c>
      <c r="E3078" s="2">
        <v>4609.67</v>
      </c>
      <c r="F3078">
        <v>58</v>
      </c>
      <c r="G3078" s="2">
        <f t="shared" si="192"/>
        <v>79.477068965517248</v>
      </c>
      <c r="H3078" t="str">
        <f t="shared" si="193"/>
        <v>April</v>
      </c>
      <c r="I3078" t="str">
        <f t="shared" si="194"/>
        <v>Q2</v>
      </c>
      <c r="J3078" t="str">
        <f t="shared" si="195"/>
        <v>Large</v>
      </c>
    </row>
    <row r="3079" spans="1:10" x14ac:dyDescent="0.25">
      <c r="A3079" t="s">
        <v>41</v>
      </c>
      <c r="B3079" t="s">
        <v>7</v>
      </c>
      <c r="C3079" t="s">
        <v>52</v>
      </c>
      <c r="D3079" s="1">
        <v>45507</v>
      </c>
      <c r="E3079" s="2">
        <v>9412.06</v>
      </c>
      <c r="F3079">
        <v>123</v>
      </c>
      <c r="G3079" s="2">
        <f t="shared" si="192"/>
        <v>76.520813008130077</v>
      </c>
      <c r="H3079" t="str">
        <f t="shared" si="193"/>
        <v>August</v>
      </c>
      <c r="I3079" t="str">
        <f t="shared" si="194"/>
        <v>Q3</v>
      </c>
      <c r="J3079" t="str">
        <f t="shared" si="195"/>
        <v>Large</v>
      </c>
    </row>
    <row r="3080" spans="1:10" x14ac:dyDescent="0.25">
      <c r="A3080" t="s">
        <v>43</v>
      </c>
      <c r="B3080" t="s">
        <v>21</v>
      </c>
      <c r="C3080" t="s">
        <v>35</v>
      </c>
      <c r="D3080" s="1">
        <v>45295</v>
      </c>
      <c r="E3080" s="2">
        <v>427.36</v>
      </c>
      <c r="F3080">
        <v>249</v>
      </c>
      <c r="G3080" s="2">
        <f t="shared" si="192"/>
        <v>1.7163052208835341</v>
      </c>
      <c r="H3080" t="str">
        <f t="shared" si="193"/>
        <v>January</v>
      </c>
      <c r="I3080" t="str">
        <f t="shared" si="194"/>
        <v>Q1</v>
      </c>
      <c r="J3080" t="str">
        <f t="shared" si="195"/>
        <v>Small</v>
      </c>
    </row>
    <row r="3081" spans="1:10" x14ac:dyDescent="0.25">
      <c r="A3081" t="s">
        <v>49</v>
      </c>
      <c r="B3081" t="s">
        <v>29</v>
      </c>
      <c r="C3081" t="s">
        <v>20</v>
      </c>
      <c r="D3081" s="1">
        <v>45304</v>
      </c>
      <c r="E3081" s="2">
        <v>19449.02</v>
      </c>
      <c r="F3081">
        <v>204</v>
      </c>
      <c r="G3081" s="2">
        <f t="shared" si="192"/>
        <v>95.338333333333338</v>
      </c>
      <c r="H3081" t="str">
        <f t="shared" si="193"/>
        <v>January</v>
      </c>
      <c r="I3081" t="str">
        <f t="shared" si="194"/>
        <v>Q1</v>
      </c>
      <c r="J3081" t="str">
        <f t="shared" si="195"/>
        <v>Large</v>
      </c>
    </row>
    <row r="3082" spans="1:10" x14ac:dyDescent="0.25">
      <c r="A3082" t="s">
        <v>9</v>
      </c>
      <c r="B3082" t="s">
        <v>15</v>
      </c>
      <c r="C3082" t="s">
        <v>56</v>
      </c>
      <c r="D3082" s="1">
        <v>45423</v>
      </c>
      <c r="E3082" s="2">
        <v>14122.44</v>
      </c>
      <c r="F3082">
        <v>32</v>
      </c>
      <c r="G3082" s="2">
        <f t="shared" si="192"/>
        <v>441.32625000000002</v>
      </c>
      <c r="H3082" t="str">
        <f t="shared" si="193"/>
        <v>May</v>
      </c>
      <c r="I3082" t="str">
        <f t="shared" si="194"/>
        <v>Q2</v>
      </c>
      <c r="J3082" t="str">
        <f t="shared" si="195"/>
        <v>Large</v>
      </c>
    </row>
    <row r="3083" spans="1:10" x14ac:dyDescent="0.25">
      <c r="A3083" t="s">
        <v>40</v>
      </c>
      <c r="B3083" t="s">
        <v>21</v>
      </c>
      <c r="C3083" t="s">
        <v>13</v>
      </c>
      <c r="D3083" s="1">
        <v>45338</v>
      </c>
      <c r="E3083" s="2">
        <v>2257.14</v>
      </c>
      <c r="F3083">
        <v>231</v>
      </c>
      <c r="G3083" s="2">
        <f t="shared" si="192"/>
        <v>9.7711688311688309</v>
      </c>
      <c r="H3083" t="str">
        <f t="shared" si="193"/>
        <v>February</v>
      </c>
      <c r="I3083" t="str">
        <f t="shared" si="194"/>
        <v>Q1</v>
      </c>
      <c r="J3083" t="str">
        <f t="shared" si="195"/>
        <v>Large</v>
      </c>
    </row>
    <row r="3084" spans="1:10" x14ac:dyDescent="0.25">
      <c r="A3084" t="s">
        <v>41</v>
      </c>
      <c r="B3084" t="s">
        <v>7</v>
      </c>
      <c r="C3084" t="s">
        <v>57</v>
      </c>
      <c r="D3084" s="1">
        <v>45432</v>
      </c>
      <c r="E3084" s="2">
        <v>11334.21</v>
      </c>
      <c r="F3084">
        <v>72</v>
      </c>
      <c r="G3084" s="2">
        <f t="shared" si="192"/>
        <v>157.41958333333332</v>
      </c>
      <c r="H3084" t="str">
        <f t="shared" si="193"/>
        <v>May</v>
      </c>
      <c r="I3084" t="str">
        <f t="shared" si="194"/>
        <v>Q2</v>
      </c>
      <c r="J3084" t="str">
        <f t="shared" si="195"/>
        <v>Large</v>
      </c>
    </row>
    <row r="3085" spans="1:10" x14ac:dyDescent="0.25">
      <c r="A3085" t="s">
        <v>6</v>
      </c>
      <c r="B3085" t="s">
        <v>7</v>
      </c>
      <c r="C3085" t="s">
        <v>32</v>
      </c>
      <c r="D3085" s="1">
        <v>45325</v>
      </c>
      <c r="E3085" s="2">
        <v>7865.93</v>
      </c>
      <c r="F3085">
        <v>436</v>
      </c>
      <c r="G3085" s="2">
        <f t="shared" si="192"/>
        <v>18.041123853211008</v>
      </c>
      <c r="H3085" t="str">
        <f t="shared" si="193"/>
        <v>February</v>
      </c>
      <c r="I3085" t="str">
        <f t="shared" si="194"/>
        <v>Q1</v>
      </c>
      <c r="J3085" t="str">
        <f t="shared" si="195"/>
        <v>Large</v>
      </c>
    </row>
    <row r="3086" spans="1:10" x14ac:dyDescent="0.25">
      <c r="A3086" t="s">
        <v>34</v>
      </c>
      <c r="B3086" t="s">
        <v>10</v>
      </c>
      <c r="C3086" t="s">
        <v>45</v>
      </c>
      <c r="D3086" s="1">
        <v>45418</v>
      </c>
      <c r="E3086" s="2">
        <v>11462.32</v>
      </c>
      <c r="F3086">
        <v>172</v>
      </c>
      <c r="G3086" s="2">
        <f t="shared" si="192"/>
        <v>66.641395348837207</v>
      </c>
      <c r="H3086" t="str">
        <f t="shared" si="193"/>
        <v>May</v>
      </c>
      <c r="I3086" t="str">
        <f t="shared" si="194"/>
        <v>Q2</v>
      </c>
      <c r="J3086" t="str">
        <f t="shared" si="195"/>
        <v>Large</v>
      </c>
    </row>
    <row r="3087" spans="1:10" x14ac:dyDescent="0.25">
      <c r="A3087" t="s">
        <v>19</v>
      </c>
      <c r="B3087" t="s">
        <v>7</v>
      </c>
      <c r="C3087" t="s">
        <v>52</v>
      </c>
      <c r="D3087" s="1">
        <v>45473</v>
      </c>
      <c r="E3087" s="2">
        <v>6154.53</v>
      </c>
      <c r="F3087">
        <v>132</v>
      </c>
      <c r="G3087" s="2">
        <f t="shared" si="192"/>
        <v>46.625227272727273</v>
      </c>
      <c r="H3087" t="str">
        <f t="shared" si="193"/>
        <v>June</v>
      </c>
      <c r="I3087" t="str">
        <f t="shared" si="194"/>
        <v>Q2</v>
      </c>
      <c r="J3087" t="str">
        <f t="shared" si="195"/>
        <v>Large</v>
      </c>
    </row>
    <row r="3088" spans="1:10" x14ac:dyDescent="0.25">
      <c r="A3088" t="s">
        <v>19</v>
      </c>
      <c r="B3088" t="s">
        <v>7</v>
      </c>
      <c r="C3088" t="s">
        <v>16</v>
      </c>
      <c r="D3088" s="1">
        <v>45373</v>
      </c>
      <c r="E3088" s="2">
        <v>867.5</v>
      </c>
      <c r="F3088">
        <v>143</v>
      </c>
      <c r="G3088" s="2">
        <f t="shared" si="192"/>
        <v>6.0664335664335667</v>
      </c>
      <c r="H3088" t="str">
        <f t="shared" si="193"/>
        <v>March</v>
      </c>
      <c r="I3088" t="str">
        <f t="shared" si="194"/>
        <v>Q1</v>
      </c>
      <c r="J3088" t="str">
        <f t="shared" si="195"/>
        <v>Large</v>
      </c>
    </row>
    <row r="3089" spans="1:10" x14ac:dyDescent="0.25">
      <c r="A3089" t="s">
        <v>50</v>
      </c>
      <c r="B3089" t="s">
        <v>29</v>
      </c>
      <c r="C3089" t="s">
        <v>27</v>
      </c>
      <c r="D3089" s="1">
        <v>45339</v>
      </c>
      <c r="E3089" s="2">
        <v>9056.1</v>
      </c>
      <c r="F3089">
        <v>58</v>
      </c>
      <c r="G3089" s="2">
        <f t="shared" si="192"/>
        <v>156.1396551724138</v>
      </c>
      <c r="H3089" t="str">
        <f t="shared" si="193"/>
        <v>February</v>
      </c>
      <c r="I3089" t="str">
        <f t="shared" si="194"/>
        <v>Q1</v>
      </c>
      <c r="J3089" t="str">
        <f t="shared" si="195"/>
        <v>Large</v>
      </c>
    </row>
    <row r="3090" spans="1:10" x14ac:dyDescent="0.25">
      <c r="A3090" t="s">
        <v>6</v>
      </c>
      <c r="B3090" t="s">
        <v>7</v>
      </c>
      <c r="C3090" t="s">
        <v>11</v>
      </c>
      <c r="D3090" s="1">
        <v>45480</v>
      </c>
      <c r="E3090" s="2">
        <v>6569.4</v>
      </c>
      <c r="F3090">
        <v>66</v>
      </c>
      <c r="G3090" s="2">
        <f t="shared" si="192"/>
        <v>99.536363636363632</v>
      </c>
      <c r="H3090" t="str">
        <f t="shared" si="193"/>
        <v>July</v>
      </c>
      <c r="I3090" t="str">
        <f t="shared" si="194"/>
        <v>Q3</v>
      </c>
      <c r="J3090" t="str">
        <f t="shared" si="195"/>
        <v>Large</v>
      </c>
    </row>
    <row r="3091" spans="1:10" x14ac:dyDescent="0.25">
      <c r="A3091" t="s">
        <v>17</v>
      </c>
      <c r="B3091" t="s">
        <v>7</v>
      </c>
      <c r="C3091" t="s">
        <v>58</v>
      </c>
      <c r="D3091" s="1">
        <v>45367</v>
      </c>
      <c r="E3091" s="2">
        <v>7431</v>
      </c>
      <c r="F3091">
        <v>180</v>
      </c>
      <c r="G3091" s="2">
        <f t="shared" si="192"/>
        <v>41.283333333333331</v>
      </c>
      <c r="H3091" t="str">
        <f t="shared" si="193"/>
        <v>March</v>
      </c>
      <c r="I3091" t="str">
        <f t="shared" si="194"/>
        <v>Q1</v>
      </c>
      <c r="J3091" t="str">
        <f t="shared" si="195"/>
        <v>Large</v>
      </c>
    </row>
    <row r="3092" spans="1:10" x14ac:dyDescent="0.25">
      <c r="A3092" t="s">
        <v>49</v>
      </c>
      <c r="B3092" t="s">
        <v>7</v>
      </c>
      <c r="C3092" t="s">
        <v>18</v>
      </c>
      <c r="D3092" s="1">
        <v>45516</v>
      </c>
      <c r="E3092" s="2">
        <v>3672.65</v>
      </c>
      <c r="F3092">
        <v>124</v>
      </c>
      <c r="G3092" s="2">
        <f t="shared" si="192"/>
        <v>29.618145161290322</v>
      </c>
      <c r="H3092" t="str">
        <f t="shared" si="193"/>
        <v>August</v>
      </c>
      <c r="I3092" t="str">
        <f t="shared" si="194"/>
        <v>Q3</v>
      </c>
      <c r="J3092" t="str">
        <f t="shared" si="195"/>
        <v>Large</v>
      </c>
    </row>
    <row r="3093" spans="1:10" x14ac:dyDescent="0.25">
      <c r="A3093" t="s">
        <v>12</v>
      </c>
      <c r="B3093" t="s">
        <v>21</v>
      </c>
      <c r="C3093" t="s">
        <v>20</v>
      </c>
      <c r="D3093" s="1">
        <v>45312</v>
      </c>
      <c r="E3093" s="2">
        <v>6464.8</v>
      </c>
      <c r="F3093">
        <v>189</v>
      </c>
      <c r="G3093" s="2">
        <f t="shared" si="192"/>
        <v>34.205291005291009</v>
      </c>
      <c r="H3093" t="str">
        <f t="shared" si="193"/>
        <v>January</v>
      </c>
      <c r="I3093" t="str">
        <f t="shared" si="194"/>
        <v>Q1</v>
      </c>
      <c r="J3093" t="str">
        <f t="shared" si="195"/>
        <v>Large</v>
      </c>
    </row>
    <row r="3094" spans="1:10" x14ac:dyDescent="0.25">
      <c r="A3094" t="s">
        <v>17</v>
      </c>
      <c r="B3094" t="s">
        <v>15</v>
      </c>
      <c r="C3094" t="s">
        <v>22</v>
      </c>
      <c r="D3094" s="1">
        <v>45418</v>
      </c>
      <c r="E3094" s="2">
        <v>813.58</v>
      </c>
      <c r="F3094">
        <v>163</v>
      </c>
      <c r="G3094" s="2">
        <f t="shared" si="192"/>
        <v>4.9912883435582822</v>
      </c>
      <c r="H3094" t="str">
        <f t="shared" si="193"/>
        <v>May</v>
      </c>
      <c r="I3094" t="str">
        <f t="shared" si="194"/>
        <v>Q2</v>
      </c>
      <c r="J3094" t="str">
        <f t="shared" si="195"/>
        <v>Large</v>
      </c>
    </row>
    <row r="3095" spans="1:10" x14ac:dyDescent="0.25">
      <c r="A3095" t="s">
        <v>17</v>
      </c>
      <c r="B3095" t="s">
        <v>29</v>
      </c>
      <c r="C3095" t="s">
        <v>22</v>
      </c>
      <c r="D3095" s="1">
        <v>45467</v>
      </c>
      <c r="E3095" s="2">
        <v>7301.81</v>
      </c>
      <c r="F3095">
        <v>134</v>
      </c>
      <c r="G3095" s="2">
        <f t="shared" si="192"/>
        <v>54.491119402985078</v>
      </c>
      <c r="H3095" t="str">
        <f t="shared" si="193"/>
        <v>June</v>
      </c>
      <c r="I3095" t="str">
        <f t="shared" si="194"/>
        <v>Q2</v>
      </c>
      <c r="J3095" t="str">
        <f t="shared" si="195"/>
        <v>Large</v>
      </c>
    </row>
    <row r="3096" spans="1:10" x14ac:dyDescent="0.25">
      <c r="A3096" t="s">
        <v>25</v>
      </c>
      <c r="B3096" t="s">
        <v>26</v>
      </c>
      <c r="C3096" t="s">
        <v>44</v>
      </c>
      <c r="D3096" s="1">
        <v>45417</v>
      </c>
      <c r="E3096" s="2">
        <v>8523.42</v>
      </c>
      <c r="F3096">
        <v>171</v>
      </c>
      <c r="G3096" s="2">
        <f t="shared" si="192"/>
        <v>49.84456140350877</v>
      </c>
      <c r="H3096" t="str">
        <f t="shared" si="193"/>
        <v>May</v>
      </c>
      <c r="I3096" t="str">
        <f t="shared" si="194"/>
        <v>Q2</v>
      </c>
      <c r="J3096" t="str">
        <f t="shared" si="195"/>
        <v>Large</v>
      </c>
    </row>
    <row r="3097" spans="1:10" x14ac:dyDescent="0.25">
      <c r="A3097" t="s">
        <v>24</v>
      </c>
      <c r="B3097" t="s">
        <v>21</v>
      </c>
      <c r="C3097" t="s">
        <v>18</v>
      </c>
      <c r="D3097" s="1">
        <v>45376</v>
      </c>
      <c r="E3097" s="2">
        <v>3822.64</v>
      </c>
      <c r="F3097">
        <v>85</v>
      </c>
      <c r="G3097" s="2">
        <f t="shared" si="192"/>
        <v>44.972235294117645</v>
      </c>
      <c r="H3097" t="str">
        <f t="shared" si="193"/>
        <v>March</v>
      </c>
      <c r="I3097" t="str">
        <f t="shared" si="194"/>
        <v>Q1</v>
      </c>
      <c r="J3097" t="str">
        <f t="shared" si="195"/>
        <v>Large</v>
      </c>
    </row>
    <row r="3098" spans="1:10" x14ac:dyDescent="0.25">
      <c r="A3098" t="s">
        <v>38</v>
      </c>
      <c r="B3098" t="s">
        <v>15</v>
      </c>
      <c r="C3098" t="s">
        <v>57</v>
      </c>
      <c r="D3098" s="1">
        <v>45336</v>
      </c>
      <c r="E3098" s="2">
        <v>10219.39</v>
      </c>
      <c r="F3098">
        <v>139</v>
      </c>
      <c r="G3098" s="2">
        <f t="shared" si="192"/>
        <v>73.520791366906465</v>
      </c>
      <c r="H3098" t="str">
        <f t="shared" si="193"/>
        <v>February</v>
      </c>
      <c r="I3098" t="str">
        <f t="shared" si="194"/>
        <v>Q1</v>
      </c>
      <c r="J3098" t="str">
        <f t="shared" si="195"/>
        <v>Large</v>
      </c>
    </row>
    <row r="3099" spans="1:10" x14ac:dyDescent="0.25">
      <c r="A3099" t="s">
        <v>38</v>
      </c>
      <c r="B3099" t="s">
        <v>21</v>
      </c>
      <c r="C3099" t="s">
        <v>11</v>
      </c>
      <c r="D3099" s="1">
        <v>45424</v>
      </c>
      <c r="E3099" s="2">
        <v>5798.43</v>
      </c>
      <c r="F3099">
        <v>206</v>
      </c>
      <c r="G3099" s="2">
        <f t="shared" si="192"/>
        <v>28.147718446601942</v>
      </c>
      <c r="H3099" t="str">
        <f t="shared" si="193"/>
        <v>May</v>
      </c>
      <c r="I3099" t="str">
        <f t="shared" si="194"/>
        <v>Q2</v>
      </c>
      <c r="J3099" t="str">
        <f t="shared" si="195"/>
        <v>Large</v>
      </c>
    </row>
    <row r="3100" spans="1:10" x14ac:dyDescent="0.25">
      <c r="A3100" t="s">
        <v>25</v>
      </c>
      <c r="B3100" t="s">
        <v>21</v>
      </c>
      <c r="C3100" t="s">
        <v>16</v>
      </c>
      <c r="D3100" s="1">
        <v>45316</v>
      </c>
      <c r="E3100" s="2">
        <v>4487.01</v>
      </c>
      <c r="F3100">
        <v>184</v>
      </c>
      <c r="G3100" s="2">
        <f t="shared" si="192"/>
        <v>24.385923913043481</v>
      </c>
      <c r="H3100" t="str">
        <f t="shared" si="193"/>
        <v>January</v>
      </c>
      <c r="I3100" t="str">
        <f t="shared" si="194"/>
        <v>Q1</v>
      </c>
      <c r="J3100" t="str">
        <f t="shared" si="195"/>
        <v>Large</v>
      </c>
    </row>
    <row r="3101" spans="1:10" x14ac:dyDescent="0.25">
      <c r="A3101" t="s">
        <v>55</v>
      </c>
      <c r="B3101" t="s">
        <v>7</v>
      </c>
      <c r="C3101" t="s">
        <v>11</v>
      </c>
      <c r="D3101" s="1">
        <v>45471</v>
      </c>
      <c r="E3101" s="2">
        <v>17237.669999999998</v>
      </c>
      <c r="F3101">
        <v>13</v>
      </c>
      <c r="G3101" s="2">
        <f t="shared" si="192"/>
        <v>1325.9746153846152</v>
      </c>
      <c r="H3101" t="str">
        <f t="shared" si="193"/>
        <v>June</v>
      </c>
      <c r="I3101" t="str">
        <f t="shared" si="194"/>
        <v>Q2</v>
      </c>
      <c r="J3101" t="str">
        <f t="shared" si="195"/>
        <v>Large</v>
      </c>
    </row>
    <row r="3102" spans="1:10" x14ac:dyDescent="0.25">
      <c r="A3102" t="s">
        <v>43</v>
      </c>
      <c r="B3102" t="s">
        <v>15</v>
      </c>
      <c r="C3102" t="s">
        <v>32</v>
      </c>
      <c r="D3102" s="1">
        <v>45486</v>
      </c>
      <c r="E3102" s="2">
        <v>7497.22</v>
      </c>
      <c r="F3102">
        <v>184</v>
      </c>
      <c r="G3102" s="2">
        <f t="shared" si="192"/>
        <v>40.745760869565217</v>
      </c>
      <c r="H3102" t="str">
        <f t="shared" si="193"/>
        <v>July</v>
      </c>
      <c r="I3102" t="str">
        <f t="shared" si="194"/>
        <v>Q3</v>
      </c>
      <c r="J3102" t="str">
        <f t="shared" si="195"/>
        <v>Large</v>
      </c>
    </row>
    <row r="3103" spans="1:10" x14ac:dyDescent="0.25">
      <c r="A3103" t="s">
        <v>36</v>
      </c>
      <c r="B3103" t="s">
        <v>26</v>
      </c>
      <c r="C3103" t="s">
        <v>37</v>
      </c>
      <c r="D3103" s="1">
        <v>45428</v>
      </c>
      <c r="E3103" s="2">
        <v>3034.06</v>
      </c>
      <c r="F3103">
        <v>245</v>
      </c>
      <c r="G3103" s="2">
        <f t="shared" si="192"/>
        <v>12.383918367346938</v>
      </c>
      <c r="H3103" t="str">
        <f t="shared" si="193"/>
        <v>May</v>
      </c>
      <c r="I3103" t="str">
        <f t="shared" si="194"/>
        <v>Q2</v>
      </c>
      <c r="J3103" t="str">
        <f t="shared" si="195"/>
        <v>Large</v>
      </c>
    </row>
    <row r="3104" spans="1:10" x14ac:dyDescent="0.25">
      <c r="A3104" t="s">
        <v>14</v>
      </c>
      <c r="B3104" t="s">
        <v>10</v>
      </c>
      <c r="C3104" t="s">
        <v>20</v>
      </c>
      <c r="D3104" s="1">
        <v>45365</v>
      </c>
      <c r="E3104" s="2">
        <v>6795.06</v>
      </c>
      <c r="F3104">
        <v>177</v>
      </c>
      <c r="G3104" s="2">
        <f t="shared" si="192"/>
        <v>38.390169491525427</v>
      </c>
      <c r="H3104" t="str">
        <f t="shared" si="193"/>
        <v>March</v>
      </c>
      <c r="I3104" t="str">
        <f t="shared" si="194"/>
        <v>Q1</v>
      </c>
      <c r="J3104" t="str">
        <f t="shared" si="195"/>
        <v>Large</v>
      </c>
    </row>
    <row r="3105" spans="1:10" x14ac:dyDescent="0.25">
      <c r="A3105" t="s">
        <v>19</v>
      </c>
      <c r="B3105" t="s">
        <v>26</v>
      </c>
      <c r="C3105" t="s">
        <v>20</v>
      </c>
      <c r="D3105" s="1">
        <v>45519</v>
      </c>
      <c r="E3105" s="2">
        <v>4273.09</v>
      </c>
      <c r="F3105">
        <v>280</v>
      </c>
      <c r="G3105" s="2">
        <f t="shared" si="192"/>
        <v>15.261035714285715</v>
      </c>
      <c r="H3105" t="str">
        <f t="shared" si="193"/>
        <v>August</v>
      </c>
      <c r="I3105" t="str">
        <f t="shared" si="194"/>
        <v>Q3</v>
      </c>
      <c r="J3105" t="str">
        <f t="shared" si="195"/>
        <v>Large</v>
      </c>
    </row>
    <row r="3106" spans="1:10" x14ac:dyDescent="0.25">
      <c r="A3106" t="s">
        <v>55</v>
      </c>
      <c r="B3106" t="s">
        <v>10</v>
      </c>
      <c r="C3106" t="s">
        <v>27</v>
      </c>
      <c r="D3106" s="1">
        <v>45338</v>
      </c>
      <c r="E3106" s="2">
        <v>1412.6</v>
      </c>
      <c r="F3106">
        <v>278</v>
      </c>
      <c r="G3106" s="2">
        <f t="shared" si="192"/>
        <v>5.0812949640287766</v>
      </c>
      <c r="H3106" t="str">
        <f t="shared" si="193"/>
        <v>February</v>
      </c>
      <c r="I3106" t="str">
        <f t="shared" si="194"/>
        <v>Q1</v>
      </c>
      <c r="J3106" t="str">
        <f t="shared" si="195"/>
        <v>Large</v>
      </c>
    </row>
    <row r="3107" spans="1:10" x14ac:dyDescent="0.25">
      <c r="A3107" t="s">
        <v>28</v>
      </c>
      <c r="B3107" t="s">
        <v>7</v>
      </c>
      <c r="C3107" t="s">
        <v>45</v>
      </c>
      <c r="D3107" s="1">
        <v>45458</v>
      </c>
      <c r="E3107" s="2">
        <v>9852.89</v>
      </c>
      <c r="F3107">
        <v>43</v>
      </c>
      <c r="G3107" s="2">
        <f t="shared" si="192"/>
        <v>229.13697674418603</v>
      </c>
      <c r="H3107" t="str">
        <f t="shared" si="193"/>
        <v>June</v>
      </c>
      <c r="I3107" t="str">
        <f t="shared" si="194"/>
        <v>Q2</v>
      </c>
      <c r="J3107" t="str">
        <f t="shared" si="195"/>
        <v>Large</v>
      </c>
    </row>
    <row r="3108" spans="1:10" x14ac:dyDescent="0.25">
      <c r="A3108" t="s">
        <v>25</v>
      </c>
      <c r="B3108" t="s">
        <v>15</v>
      </c>
      <c r="C3108" t="s">
        <v>51</v>
      </c>
      <c r="D3108" s="1">
        <v>45439</v>
      </c>
      <c r="E3108" s="2">
        <v>10744.23</v>
      </c>
      <c r="F3108">
        <v>105</v>
      </c>
      <c r="G3108" s="2">
        <f t="shared" si="192"/>
        <v>102.32599999999999</v>
      </c>
      <c r="H3108" t="str">
        <f t="shared" si="193"/>
        <v>May</v>
      </c>
      <c r="I3108" t="str">
        <f t="shared" si="194"/>
        <v>Q2</v>
      </c>
      <c r="J3108" t="str">
        <f t="shared" si="195"/>
        <v>Large</v>
      </c>
    </row>
    <row r="3109" spans="1:10" x14ac:dyDescent="0.25">
      <c r="A3109" t="s">
        <v>46</v>
      </c>
      <c r="B3109" t="s">
        <v>26</v>
      </c>
      <c r="C3109" t="s">
        <v>32</v>
      </c>
      <c r="D3109" s="1">
        <v>45457</v>
      </c>
      <c r="E3109" s="2">
        <v>1213.6300000000001</v>
      </c>
      <c r="F3109">
        <v>101</v>
      </c>
      <c r="G3109" s="2">
        <f t="shared" si="192"/>
        <v>12.016138613861386</v>
      </c>
      <c r="H3109" t="str">
        <f t="shared" si="193"/>
        <v>June</v>
      </c>
      <c r="I3109" t="str">
        <f t="shared" si="194"/>
        <v>Q2</v>
      </c>
      <c r="J3109" t="str">
        <f t="shared" si="195"/>
        <v>Large</v>
      </c>
    </row>
    <row r="3110" spans="1:10" x14ac:dyDescent="0.25">
      <c r="A3110" t="s">
        <v>46</v>
      </c>
      <c r="B3110" t="s">
        <v>10</v>
      </c>
      <c r="C3110" t="s">
        <v>30</v>
      </c>
      <c r="D3110" s="1">
        <v>45347</v>
      </c>
      <c r="E3110" s="2">
        <v>4263.93</v>
      </c>
      <c r="F3110">
        <v>80</v>
      </c>
      <c r="G3110" s="2">
        <f t="shared" si="192"/>
        <v>53.299125000000004</v>
      </c>
      <c r="H3110" t="str">
        <f t="shared" si="193"/>
        <v>February</v>
      </c>
      <c r="I3110" t="str">
        <f t="shared" si="194"/>
        <v>Q1</v>
      </c>
      <c r="J3110" t="str">
        <f t="shared" si="195"/>
        <v>Large</v>
      </c>
    </row>
    <row r="3111" spans="1:10" x14ac:dyDescent="0.25">
      <c r="A3111" t="s">
        <v>46</v>
      </c>
      <c r="B3111" t="s">
        <v>10</v>
      </c>
      <c r="C3111" t="s">
        <v>20</v>
      </c>
      <c r="D3111" s="1">
        <v>45508</v>
      </c>
      <c r="E3111" s="2">
        <v>13808.46</v>
      </c>
      <c r="F3111">
        <v>270</v>
      </c>
      <c r="G3111" s="2">
        <f t="shared" si="192"/>
        <v>51.142444444444443</v>
      </c>
      <c r="H3111" t="str">
        <f t="shared" si="193"/>
        <v>August</v>
      </c>
      <c r="I3111" t="str">
        <f t="shared" si="194"/>
        <v>Q3</v>
      </c>
      <c r="J3111" t="str">
        <f t="shared" si="195"/>
        <v>Large</v>
      </c>
    </row>
    <row r="3112" spans="1:10" x14ac:dyDescent="0.25">
      <c r="A3112" t="s">
        <v>49</v>
      </c>
      <c r="B3112" t="s">
        <v>10</v>
      </c>
      <c r="C3112" t="s">
        <v>18</v>
      </c>
      <c r="D3112" s="1">
        <v>45471</v>
      </c>
      <c r="E3112" s="2">
        <v>2411.9299999999998</v>
      </c>
      <c r="F3112">
        <v>248</v>
      </c>
      <c r="G3112" s="2">
        <f t="shared" si="192"/>
        <v>9.7255241935483863</v>
      </c>
      <c r="H3112" t="str">
        <f t="shared" si="193"/>
        <v>June</v>
      </c>
      <c r="I3112" t="str">
        <f t="shared" si="194"/>
        <v>Q2</v>
      </c>
      <c r="J3112" t="str">
        <f t="shared" si="195"/>
        <v>Large</v>
      </c>
    </row>
    <row r="3113" spans="1:10" x14ac:dyDescent="0.25">
      <c r="A3113" t="s">
        <v>19</v>
      </c>
      <c r="B3113" t="s">
        <v>29</v>
      </c>
      <c r="C3113" t="s">
        <v>39</v>
      </c>
      <c r="D3113" s="1">
        <v>45387</v>
      </c>
      <c r="E3113" s="2">
        <v>14603.41</v>
      </c>
      <c r="F3113">
        <v>12</v>
      </c>
      <c r="G3113" s="2">
        <f t="shared" si="192"/>
        <v>1216.9508333333333</v>
      </c>
      <c r="H3113" t="str">
        <f t="shared" si="193"/>
        <v>April</v>
      </c>
      <c r="I3113" t="str">
        <f t="shared" si="194"/>
        <v>Q2</v>
      </c>
      <c r="J3113" t="str">
        <f t="shared" si="195"/>
        <v>Large</v>
      </c>
    </row>
    <row r="3114" spans="1:10" x14ac:dyDescent="0.25">
      <c r="A3114" t="s">
        <v>53</v>
      </c>
      <c r="B3114" t="s">
        <v>29</v>
      </c>
      <c r="C3114" t="s">
        <v>13</v>
      </c>
      <c r="D3114" s="1">
        <v>45478</v>
      </c>
      <c r="E3114" s="2">
        <v>17813.77</v>
      </c>
      <c r="F3114">
        <v>120</v>
      </c>
      <c r="G3114" s="2">
        <f t="shared" si="192"/>
        <v>148.44808333333333</v>
      </c>
      <c r="H3114" t="str">
        <f t="shared" si="193"/>
        <v>July</v>
      </c>
      <c r="I3114" t="str">
        <f t="shared" si="194"/>
        <v>Q3</v>
      </c>
      <c r="J3114" t="str">
        <f t="shared" si="195"/>
        <v>Large</v>
      </c>
    </row>
    <row r="3115" spans="1:10" x14ac:dyDescent="0.25">
      <c r="A3115" t="s">
        <v>41</v>
      </c>
      <c r="B3115" t="s">
        <v>21</v>
      </c>
      <c r="C3115" t="s">
        <v>30</v>
      </c>
      <c r="D3115" s="1">
        <v>45311</v>
      </c>
      <c r="E3115" s="2">
        <v>14346.28</v>
      </c>
      <c r="F3115">
        <v>48</v>
      </c>
      <c r="G3115" s="2">
        <f t="shared" si="192"/>
        <v>298.88083333333333</v>
      </c>
      <c r="H3115" t="str">
        <f t="shared" si="193"/>
        <v>January</v>
      </c>
      <c r="I3115" t="str">
        <f t="shared" si="194"/>
        <v>Q1</v>
      </c>
      <c r="J3115" t="str">
        <f t="shared" si="195"/>
        <v>Large</v>
      </c>
    </row>
    <row r="3116" spans="1:10" x14ac:dyDescent="0.25">
      <c r="A3116" t="s">
        <v>55</v>
      </c>
      <c r="B3116" t="s">
        <v>21</v>
      </c>
      <c r="C3116" t="s">
        <v>32</v>
      </c>
      <c r="D3116" s="1">
        <v>45338</v>
      </c>
      <c r="E3116" s="2">
        <v>10009.51</v>
      </c>
      <c r="F3116">
        <v>144</v>
      </c>
      <c r="G3116" s="2">
        <f t="shared" si="192"/>
        <v>69.510486111111106</v>
      </c>
      <c r="H3116" t="str">
        <f t="shared" si="193"/>
        <v>February</v>
      </c>
      <c r="I3116" t="str">
        <f t="shared" si="194"/>
        <v>Q1</v>
      </c>
      <c r="J3116" t="str">
        <f t="shared" si="195"/>
        <v>Large</v>
      </c>
    </row>
    <row r="3117" spans="1:10" x14ac:dyDescent="0.25">
      <c r="A3117" t="s">
        <v>38</v>
      </c>
      <c r="B3117" t="s">
        <v>7</v>
      </c>
      <c r="C3117" t="s">
        <v>32</v>
      </c>
      <c r="D3117" s="1">
        <v>45485</v>
      </c>
      <c r="E3117" s="2">
        <v>494.27</v>
      </c>
      <c r="F3117">
        <v>186</v>
      </c>
      <c r="G3117" s="2">
        <f t="shared" si="192"/>
        <v>2.6573655913978493</v>
      </c>
      <c r="H3117" t="str">
        <f t="shared" si="193"/>
        <v>July</v>
      </c>
      <c r="I3117" t="str">
        <f t="shared" si="194"/>
        <v>Q3</v>
      </c>
      <c r="J3117" t="str">
        <f t="shared" si="195"/>
        <v>Small</v>
      </c>
    </row>
    <row r="3118" spans="1:10" x14ac:dyDescent="0.25">
      <c r="A3118" t="s">
        <v>49</v>
      </c>
      <c r="B3118" t="s">
        <v>10</v>
      </c>
      <c r="C3118" t="s">
        <v>51</v>
      </c>
      <c r="D3118" s="1">
        <v>45459</v>
      </c>
      <c r="E3118" s="2">
        <v>9118.67</v>
      </c>
      <c r="F3118">
        <v>253</v>
      </c>
      <c r="G3118" s="2">
        <f t="shared" si="192"/>
        <v>36.042173913043477</v>
      </c>
      <c r="H3118" t="str">
        <f t="shared" si="193"/>
        <v>June</v>
      </c>
      <c r="I3118" t="str">
        <f t="shared" si="194"/>
        <v>Q2</v>
      </c>
      <c r="J3118" t="str">
        <f t="shared" si="195"/>
        <v>Large</v>
      </c>
    </row>
    <row r="3119" spans="1:10" x14ac:dyDescent="0.25">
      <c r="A3119" t="s">
        <v>54</v>
      </c>
      <c r="B3119" t="s">
        <v>15</v>
      </c>
      <c r="C3119" t="s">
        <v>52</v>
      </c>
      <c r="D3119" s="1">
        <v>45395</v>
      </c>
      <c r="E3119" s="2">
        <v>1751.26</v>
      </c>
      <c r="F3119">
        <v>293</v>
      </c>
      <c r="G3119" s="2">
        <f t="shared" si="192"/>
        <v>5.9769965870307171</v>
      </c>
      <c r="H3119" t="str">
        <f t="shared" si="193"/>
        <v>April</v>
      </c>
      <c r="I3119" t="str">
        <f t="shared" si="194"/>
        <v>Q2</v>
      </c>
      <c r="J3119" t="str">
        <f t="shared" si="195"/>
        <v>Large</v>
      </c>
    </row>
    <row r="3120" spans="1:10" x14ac:dyDescent="0.25">
      <c r="A3120" t="s">
        <v>41</v>
      </c>
      <c r="B3120" t="s">
        <v>7</v>
      </c>
      <c r="C3120" t="s">
        <v>22</v>
      </c>
      <c r="D3120" s="1">
        <v>45343</v>
      </c>
      <c r="E3120" s="2">
        <v>3402.47</v>
      </c>
      <c r="F3120">
        <v>69</v>
      </c>
      <c r="G3120" s="2">
        <f t="shared" si="192"/>
        <v>49.311159420289854</v>
      </c>
      <c r="H3120" t="str">
        <f t="shared" si="193"/>
        <v>February</v>
      </c>
      <c r="I3120" t="str">
        <f t="shared" si="194"/>
        <v>Q1</v>
      </c>
      <c r="J3120" t="str">
        <f t="shared" si="195"/>
        <v>Large</v>
      </c>
    </row>
    <row r="3121" spans="1:10" x14ac:dyDescent="0.25">
      <c r="A3121" t="s">
        <v>36</v>
      </c>
      <c r="B3121" t="s">
        <v>29</v>
      </c>
      <c r="C3121" t="s">
        <v>52</v>
      </c>
      <c r="D3121" s="1">
        <v>45423</v>
      </c>
      <c r="E3121" s="2">
        <v>6841.28</v>
      </c>
      <c r="F3121">
        <v>237</v>
      </c>
      <c r="G3121" s="2">
        <f t="shared" si="192"/>
        <v>28.866160337552742</v>
      </c>
      <c r="H3121" t="str">
        <f t="shared" si="193"/>
        <v>May</v>
      </c>
      <c r="I3121" t="str">
        <f t="shared" si="194"/>
        <v>Q2</v>
      </c>
      <c r="J3121" t="str">
        <f t="shared" si="195"/>
        <v>Large</v>
      </c>
    </row>
    <row r="3122" spans="1:10" x14ac:dyDescent="0.25">
      <c r="A3122" t="s">
        <v>55</v>
      </c>
      <c r="B3122" t="s">
        <v>10</v>
      </c>
      <c r="C3122" t="s">
        <v>22</v>
      </c>
      <c r="D3122" s="1">
        <v>45397</v>
      </c>
      <c r="E3122" s="2">
        <v>12584.46</v>
      </c>
      <c r="F3122">
        <v>328</v>
      </c>
      <c r="G3122" s="2">
        <f t="shared" si="192"/>
        <v>38.367256097560976</v>
      </c>
      <c r="H3122" t="str">
        <f t="shared" si="193"/>
        <v>April</v>
      </c>
      <c r="I3122" t="str">
        <f t="shared" si="194"/>
        <v>Q2</v>
      </c>
      <c r="J3122" t="str">
        <f t="shared" si="195"/>
        <v>Large</v>
      </c>
    </row>
    <row r="3123" spans="1:10" x14ac:dyDescent="0.25">
      <c r="A3123" t="s">
        <v>17</v>
      </c>
      <c r="B3123" t="s">
        <v>29</v>
      </c>
      <c r="C3123" t="s">
        <v>13</v>
      </c>
      <c r="D3123" s="1">
        <v>45450</v>
      </c>
      <c r="E3123" s="2">
        <v>14291.3</v>
      </c>
      <c r="F3123">
        <v>179</v>
      </c>
      <c r="G3123" s="2">
        <f t="shared" si="192"/>
        <v>79.839664804469265</v>
      </c>
      <c r="H3123" t="str">
        <f t="shared" si="193"/>
        <v>June</v>
      </c>
      <c r="I3123" t="str">
        <f t="shared" si="194"/>
        <v>Q2</v>
      </c>
      <c r="J3123" t="str">
        <f t="shared" si="195"/>
        <v>Large</v>
      </c>
    </row>
    <row r="3124" spans="1:10" x14ac:dyDescent="0.25">
      <c r="A3124" t="s">
        <v>17</v>
      </c>
      <c r="B3124" t="s">
        <v>7</v>
      </c>
      <c r="C3124" t="s">
        <v>44</v>
      </c>
      <c r="D3124" s="1">
        <v>45470</v>
      </c>
      <c r="E3124" s="2">
        <v>1998.41</v>
      </c>
      <c r="F3124">
        <v>303</v>
      </c>
      <c r="G3124" s="2">
        <f t="shared" si="192"/>
        <v>6.5954125412541256</v>
      </c>
      <c r="H3124" t="str">
        <f t="shared" si="193"/>
        <v>June</v>
      </c>
      <c r="I3124" t="str">
        <f t="shared" si="194"/>
        <v>Q2</v>
      </c>
      <c r="J3124" t="str">
        <f t="shared" si="195"/>
        <v>Large</v>
      </c>
    </row>
    <row r="3125" spans="1:10" x14ac:dyDescent="0.25">
      <c r="A3125" t="s">
        <v>25</v>
      </c>
      <c r="B3125" t="s">
        <v>10</v>
      </c>
      <c r="C3125" t="s">
        <v>20</v>
      </c>
      <c r="D3125" s="1">
        <v>45502</v>
      </c>
      <c r="E3125" s="2">
        <v>9558.06</v>
      </c>
      <c r="F3125">
        <v>117</v>
      </c>
      <c r="G3125" s="2">
        <f t="shared" si="192"/>
        <v>81.692820512820504</v>
      </c>
      <c r="H3125" t="str">
        <f t="shared" si="193"/>
        <v>July</v>
      </c>
      <c r="I3125" t="str">
        <f t="shared" si="194"/>
        <v>Q3</v>
      </c>
      <c r="J3125" t="str">
        <f t="shared" si="195"/>
        <v>Large</v>
      </c>
    </row>
    <row r="3126" spans="1:10" x14ac:dyDescent="0.25">
      <c r="A3126" t="s">
        <v>46</v>
      </c>
      <c r="B3126" t="s">
        <v>29</v>
      </c>
      <c r="C3126" t="s">
        <v>16</v>
      </c>
      <c r="D3126" s="1">
        <v>45445</v>
      </c>
      <c r="E3126" s="2">
        <v>5594.84</v>
      </c>
      <c r="F3126">
        <v>174</v>
      </c>
      <c r="G3126" s="2">
        <f t="shared" si="192"/>
        <v>32.154252873563216</v>
      </c>
      <c r="H3126" t="str">
        <f t="shared" si="193"/>
        <v>June</v>
      </c>
      <c r="I3126" t="str">
        <f t="shared" si="194"/>
        <v>Q2</v>
      </c>
      <c r="J3126" t="str">
        <f t="shared" si="195"/>
        <v>Large</v>
      </c>
    </row>
    <row r="3127" spans="1:10" x14ac:dyDescent="0.25">
      <c r="A3127" t="s">
        <v>24</v>
      </c>
      <c r="B3127" t="s">
        <v>10</v>
      </c>
      <c r="C3127" t="s">
        <v>8</v>
      </c>
      <c r="D3127" s="1">
        <v>45317</v>
      </c>
      <c r="E3127" s="2">
        <v>16520.75</v>
      </c>
      <c r="F3127">
        <v>84</v>
      </c>
      <c r="G3127" s="2">
        <f t="shared" si="192"/>
        <v>196.67559523809524</v>
      </c>
      <c r="H3127" t="str">
        <f t="shared" si="193"/>
        <v>January</v>
      </c>
      <c r="I3127" t="str">
        <f t="shared" si="194"/>
        <v>Q1</v>
      </c>
      <c r="J3127" t="str">
        <f t="shared" si="195"/>
        <v>Large</v>
      </c>
    </row>
    <row r="3128" spans="1:10" x14ac:dyDescent="0.25">
      <c r="A3128" t="s">
        <v>24</v>
      </c>
      <c r="B3128" t="s">
        <v>29</v>
      </c>
      <c r="C3128" t="s">
        <v>18</v>
      </c>
      <c r="D3128" s="1">
        <v>45353</v>
      </c>
      <c r="E3128" s="2">
        <v>5545.62</v>
      </c>
      <c r="F3128">
        <v>139</v>
      </c>
      <c r="G3128" s="2">
        <f t="shared" si="192"/>
        <v>39.896546762589928</v>
      </c>
      <c r="H3128" t="str">
        <f t="shared" si="193"/>
        <v>March</v>
      </c>
      <c r="I3128" t="str">
        <f t="shared" si="194"/>
        <v>Q1</v>
      </c>
      <c r="J3128" t="str">
        <f t="shared" si="195"/>
        <v>Large</v>
      </c>
    </row>
    <row r="3129" spans="1:10" x14ac:dyDescent="0.25">
      <c r="A3129" t="s">
        <v>9</v>
      </c>
      <c r="B3129" t="s">
        <v>15</v>
      </c>
      <c r="C3129" t="s">
        <v>58</v>
      </c>
      <c r="D3129" s="1">
        <v>45301</v>
      </c>
      <c r="E3129" s="2">
        <v>8260.58</v>
      </c>
      <c r="F3129">
        <v>108</v>
      </c>
      <c r="G3129" s="2">
        <f t="shared" si="192"/>
        <v>76.486851851851853</v>
      </c>
      <c r="H3129" t="str">
        <f t="shared" si="193"/>
        <v>January</v>
      </c>
      <c r="I3129" t="str">
        <f t="shared" si="194"/>
        <v>Q1</v>
      </c>
      <c r="J3129" t="str">
        <f t="shared" si="195"/>
        <v>Large</v>
      </c>
    </row>
    <row r="3130" spans="1:10" x14ac:dyDescent="0.25">
      <c r="A3130" t="s">
        <v>34</v>
      </c>
      <c r="B3130" t="s">
        <v>26</v>
      </c>
      <c r="C3130" t="s">
        <v>58</v>
      </c>
      <c r="D3130" s="1">
        <v>45470</v>
      </c>
      <c r="E3130" s="2">
        <v>2636.16</v>
      </c>
      <c r="F3130">
        <v>110</v>
      </c>
      <c r="G3130" s="2">
        <f t="shared" si="192"/>
        <v>23.965090909090907</v>
      </c>
      <c r="H3130" t="str">
        <f t="shared" si="193"/>
        <v>June</v>
      </c>
      <c r="I3130" t="str">
        <f t="shared" si="194"/>
        <v>Q2</v>
      </c>
      <c r="J3130" t="str">
        <f t="shared" si="195"/>
        <v>Large</v>
      </c>
    </row>
    <row r="3131" spans="1:10" x14ac:dyDescent="0.25">
      <c r="A3131" t="s">
        <v>25</v>
      </c>
      <c r="B3131" t="s">
        <v>29</v>
      </c>
      <c r="C3131" t="s">
        <v>27</v>
      </c>
      <c r="D3131" s="1">
        <v>45473</v>
      </c>
      <c r="E3131" s="2">
        <v>8285.3799999999992</v>
      </c>
      <c r="F3131">
        <v>18</v>
      </c>
      <c r="G3131" s="2">
        <f t="shared" si="192"/>
        <v>460.29888888888883</v>
      </c>
      <c r="H3131" t="str">
        <f t="shared" si="193"/>
        <v>June</v>
      </c>
      <c r="I3131" t="str">
        <f t="shared" si="194"/>
        <v>Q2</v>
      </c>
      <c r="J3131" t="str">
        <f t="shared" si="195"/>
        <v>Large</v>
      </c>
    </row>
    <row r="3132" spans="1:10" x14ac:dyDescent="0.25">
      <c r="A3132" t="s">
        <v>36</v>
      </c>
      <c r="B3132" t="s">
        <v>15</v>
      </c>
      <c r="C3132" t="s">
        <v>11</v>
      </c>
      <c r="D3132" s="1">
        <v>45481</v>
      </c>
      <c r="E3132" s="2">
        <v>4590</v>
      </c>
      <c r="F3132">
        <v>78</v>
      </c>
      <c r="G3132" s="2">
        <f t="shared" si="192"/>
        <v>58.846153846153847</v>
      </c>
      <c r="H3132" t="str">
        <f t="shared" si="193"/>
        <v>July</v>
      </c>
      <c r="I3132" t="str">
        <f t="shared" si="194"/>
        <v>Q3</v>
      </c>
      <c r="J3132" t="str">
        <f t="shared" si="195"/>
        <v>Large</v>
      </c>
    </row>
    <row r="3133" spans="1:10" x14ac:dyDescent="0.25">
      <c r="A3133" t="s">
        <v>17</v>
      </c>
      <c r="B3133" t="s">
        <v>10</v>
      </c>
      <c r="C3133" t="s">
        <v>39</v>
      </c>
      <c r="D3133" s="1">
        <v>45451</v>
      </c>
      <c r="E3133" s="2">
        <v>13189.14</v>
      </c>
      <c r="F3133">
        <v>95</v>
      </c>
      <c r="G3133" s="2">
        <f t="shared" si="192"/>
        <v>138.83305263157894</v>
      </c>
      <c r="H3133" t="str">
        <f t="shared" si="193"/>
        <v>June</v>
      </c>
      <c r="I3133" t="str">
        <f t="shared" si="194"/>
        <v>Q2</v>
      </c>
      <c r="J3133" t="str">
        <f t="shared" si="195"/>
        <v>Large</v>
      </c>
    </row>
    <row r="3134" spans="1:10" x14ac:dyDescent="0.25">
      <c r="A3134" t="s">
        <v>14</v>
      </c>
      <c r="B3134" t="s">
        <v>7</v>
      </c>
      <c r="C3134" t="s">
        <v>45</v>
      </c>
      <c r="D3134" s="1">
        <v>45522</v>
      </c>
      <c r="E3134" s="2">
        <v>3768.3</v>
      </c>
      <c r="F3134">
        <v>212</v>
      </c>
      <c r="G3134" s="2">
        <f t="shared" si="192"/>
        <v>17.775000000000002</v>
      </c>
      <c r="H3134" t="str">
        <f t="shared" si="193"/>
        <v>August</v>
      </c>
      <c r="I3134" t="str">
        <f t="shared" si="194"/>
        <v>Q3</v>
      </c>
      <c r="J3134" t="str">
        <f t="shared" si="195"/>
        <v>Large</v>
      </c>
    </row>
    <row r="3135" spans="1:10" x14ac:dyDescent="0.25">
      <c r="A3135" t="s">
        <v>41</v>
      </c>
      <c r="B3135" t="s">
        <v>15</v>
      </c>
      <c r="C3135" t="s">
        <v>20</v>
      </c>
      <c r="D3135" s="1">
        <v>45390</v>
      </c>
      <c r="E3135" s="2">
        <v>7962.71</v>
      </c>
      <c r="F3135">
        <v>293</v>
      </c>
      <c r="G3135" s="2">
        <f t="shared" si="192"/>
        <v>27.176484641638226</v>
      </c>
      <c r="H3135" t="str">
        <f t="shared" si="193"/>
        <v>April</v>
      </c>
      <c r="I3135" t="str">
        <f t="shared" si="194"/>
        <v>Q2</v>
      </c>
      <c r="J3135" t="str">
        <f t="shared" si="195"/>
        <v>Large</v>
      </c>
    </row>
    <row r="3136" spans="1:10" x14ac:dyDescent="0.25">
      <c r="A3136" t="s">
        <v>46</v>
      </c>
      <c r="B3136" t="s">
        <v>29</v>
      </c>
      <c r="C3136" t="s">
        <v>42</v>
      </c>
      <c r="D3136" s="1">
        <v>45512</v>
      </c>
      <c r="E3136" s="2">
        <v>3665.13</v>
      </c>
      <c r="F3136">
        <v>191</v>
      </c>
      <c r="G3136" s="2">
        <f t="shared" si="192"/>
        <v>19.189162303664922</v>
      </c>
      <c r="H3136" t="str">
        <f t="shared" si="193"/>
        <v>August</v>
      </c>
      <c r="I3136" t="str">
        <f t="shared" si="194"/>
        <v>Q3</v>
      </c>
      <c r="J3136" t="str">
        <f t="shared" si="195"/>
        <v>Large</v>
      </c>
    </row>
    <row r="3137" spans="1:10" x14ac:dyDescent="0.25">
      <c r="A3137" t="s">
        <v>46</v>
      </c>
      <c r="B3137" t="s">
        <v>7</v>
      </c>
      <c r="C3137" t="s">
        <v>37</v>
      </c>
      <c r="D3137" s="1">
        <v>45530</v>
      </c>
      <c r="E3137" s="2">
        <v>334.81</v>
      </c>
      <c r="F3137">
        <v>66</v>
      </c>
      <c r="G3137" s="2">
        <f t="shared" si="192"/>
        <v>5.0728787878787882</v>
      </c>
      <c r="H3137" t="str">
        <f t="shared" si="193"/>
        <v>August</v>
      </c>
      <c r="I3137" t="str">
        <f t="shared" si="194"/>
        <v>Q3</v>
      </c>
      <c r="J3137" t="str">
        <f t="shared" si="195"/>
        <v>Small</v>
      </c>
    </row>
    <row r="3138" spans="1:10" x14ac:dyDescent="0.25">
      <c r="A3138" t="s">
        <v>17</v>
      </c>
      <c r="B3138" t="s">
        <v>29</v>
      </c>
      <c r="C3138" t="s">
        <v>42</v>
      </c>
      <c r="D3138" s="1">
        <v>45305</v>
      </c>
      <c r="E3138" s="2">
        <v>2187.5</v>
      </c>
      <c r="F3138">
        <v>159</v>
      </c>
      <c r="G3138" s="2">
        <f t="shared" si="192"/>
        <v>13.757861635220126</v>
      </c>
      <c r="H3138" t="str">
        <f t="shared" si="193"/>
        <v>January</v>
      </c>
      <c r="I3138" t="str">
        <f t="shared" si="194"/>
        <v>Q1</v>
      </c>
      <c r="J3138" t="str">
        <f t="shared" si="195"/>
        <v>Large</v>
      </c>
    </row>
    <row r="3139" spans="1:10" x14ac:dyDescent="0.25">
      <c r="A3139" t="s">
        <v>43</v>
      </c>
      <c r="B3139" t="s">
        <v>26</v>
      </c>
      <c r="C3139" t="s">
        <v>56</v>
      </c>
      <c r="D3139" s="1">
        <v>45515</v>
      </c>
      <c r="E3139" s="2">
        <v>18481.73</v>
      </c>
      <c r="F3139">
        <v>295</v>
      </c>
      <c r="G3139" s="2">
        <f t="shared" ref="G3139:G3202" si="196">E3139/F3139</f>
        <v>62.649932203389831</v>
      </c>
      <c r="H3139" t="str">
        <f t="shared" ref="H3139:H3202" si="197">TEXT(D3139, "mmmm")</f>
        <v>August</v>
      </c>
      <c r="I3139" t="str">
        <f t="shared" ref="I3139:I3202" si="198">"Q" &amp; ROUNDUP(MONTH(D3139)/3,0)</f>
        <v>Q3</v>
      </c>
      <c r="J3139" t="str">
        <f t="shared" ref="J3139:J3202" si="199">IF(E3139 &gt; 500, "Large", "Small")</f>
        <v>Large</v>
      </c>
    </row>
    <row r="3140" spans="1:10" x14ac:dyDescent="0.25">
      <c r="A3140" t="s">
        <v>53</v>
      </c>
      <c r="B3140" t="s">
        <v>26</v>
      </c>
      <c r="C3140" t="s">
        <v>47</v>
      </c>
      <c r="D3140" s="1">
        <v>45443</v>
      </c>
      <c r="E3140" s="2">
        <v>11863.69</v>
      </c>
      <c r="F3140">
        <v>24</v>
      </c>
      <c r="G3140" s="2">
        <f t="shared" si="196"/>
        <v>494.32041666666669</v>
      </c>
      <c r="H3140" t="str">
        <f t="shared" si="197"/>
        <v>May</v>
      </c>
      <c r="I3140" t="str">
        <f t="shared" si="198"/>
        <v>Q2</v>
      </c>
      <c r="J3140" t="str">
        <f t="shared" si="199"/>
        <v>Large</v>
      </c>
    </row>
    <row r="3141" spans="1:10" x14ac:dyDescent="0.25">
      <c r="A3141" t="s">
        <v>9</v>
      </c>
      <c r="B3141" t="s">
        <v>21</v>
      </c>
      <c r="C3141" t="s">
        <v>22</v>
      </c>
      <c r="D3141" s="1">
        <v>45484</v>
      </c>
      <c r="E3141" s="2">
        <v>4332.41</v>
      </c>
      <c r="F3141">
        <v>10</v>
      </c>
      <c r="G3141" s="2">
        <f t="shared" si="196"/>
        <v>433.24099999999999</v>
      </c>
      <c r="H3141" t="str">
        <f t="shared" si="197"/>
        <v>July</v>
      </c>
      <c r="I3141" t="str">
        <f t="shared" si="198"/>
        <v>Q3</v>
      </c>
      <c r="J3141" t="str">
        <f t="shared" si="199"/>
        <v>Large</v>
      </c>
    </row>
    <row r="3142" spans="1:10" x14ac:dyDescent="0.25">
      <c r="A3142" t="s">
        <v>31</v>
      </c>
      <c r="B3142" t="s">
        <v>29</v>
      </c>
      <c r="C3142" t="s">
        <v>57</v>
      </c>
      <c r="D3142" s="1">
        <v>45353</v>
      </c>
      <c r="E3142" s="2">
        <v>3653.33</v>
      </c>
      <c r="F3142">
        <v>327</v>
      </c>
      <c r="G3142" s="2">
        <f t="shared" si="196"/>
        <v>11.172262996941896</v>
      </c>
      <c r="H3142" t="str">
        <f t="shared" si="197"/>
        <v>March</v>
      </c>
      <c r="I3142" t="str">
        <f t="shared" si="198"/>
        <v>Q1</v>
      </c>
      <c r="J3142" t="str">
        <f t="shared" si="199"/>
        <v>Large</v>
      </c>
    </row>
    <row r="3143" spans="1:10" x14ac:dyDescent="0.25">
      <c r="A3143" t="s">
        <v>53</v>
      </c>
      <c r="B3143" t="s">
        <v>15</v>
      </c>
      <c r="C3143" t="s">
        <v>51</v>
      </c>
      <c r="D3143" s="1">
        <v>45486</v>
      </c>
      <c r="E3143" s="2">
        <v>7023.94</v>
      </c>
      <c r="F3143">
        <v>89</v>
      </c>
      <c r="G3143" s="2">
        <f t="shared" si="196"/>
        <v>78.920674157303367</v>
      </c>
      <c r="H3143" t="str">
        <f t="shared" si="197"/>
        <v>July</v>
      </c>
      <c r="I3143" t="str">
        <f t="shared" si="198"/>
        <v>Q3</v>
      </c>
      <c r="J3143" t="str">
        <f t="shared" si="199"/>
        <v>Large</v>
      </c>
    </row>
    <row r="3144" spans="1:10" x14ac:dyDescent="0.25">
      <c r="A3144" t="s">
        <v>24</v>
      </c>
      <c r="B3144" t="s">
        <v>7</v>
      </c>
      <c r="C3144" t="s">
        <v>39</v>
      </c>
      <c r="D3144" s="1">
        <v>45507</v>
      </c>
      <c r="E3144" s="2">
        <v>10001.950000000001</v>
      </c>
      <c r="F3144">
        <v>132</v>
      </c>
      <c r="G3144" s="2">
        <f t="shared" si="196"/>
        <v>75.772348484848493</v>
      </c>
      <c r="H3144" t="str">
        <f t="shared" si="197"/>
        <v>August</v>
      </c>
      <c r="I3144" t="str">
        <f t="shared" si="198"/>
        <v>Q3</v>
      </c>
      <c r="J3144" t="str">
        <f t="shared" si="199"/>
        <v>Large</v>
      </c>
    </row>
    <row r="3145" spans="1:10" x14ac:dyDescent="0.25">
      <c r="A3145" t="s">
        <v>38</v>
      </c>
      <c r="B3145" t="s">
        <v>7</v>
      </c>
      <c r="C3145" t="s">
        <v>13</v>
      </c>
      <c r="D3145" s="1">
        <v>45352</v>
      </c>
      <c r="E3145" s="2">
        <v>16460.650000000001</v>
      </c>
      <c r="F3145">
        <v>171</v>
      </c>
      <c r="G3145" s="2">
        <f t="shared" si="196"/>
        <v>96.26111111111112</v>
      </c>
      <c r="H3145" t="str">
        <f t="shared" si="197"/>
        <v>March</v>
      </c>
      <c r="I3145" t="str">
        <f t="shared" si="198"/>
        <v>Q1</v>
      </c>
      <c r="J3145" t="str">
        <f t="shared" si="199"/>
        <v>Large</v>
      </c>
    </row>
    <row r="3146" spans="1:10" x14ac:dyDescent="0.25">
      <c r="A3146" t="s">
        <v>49</v>
      </c>
      <c r="B3146" t="s">
        <v>21</v>
      </c>
      <c r="C3146" t="s">
        <v>44</v>
      </c>
      <c r="D3146" s="1">
        <v>45395</v>
      </c>
      <c r="E3146" s="2">
        <v>8575.27</v>
      </c>
      <c r="F3146">
        <v>165</v>
      </c>
      <c r="G3146" s="2">
        <f t="shared" si="196"/>
        <v>51.971333333333334</v>
      </c>
      <c r="H3146" t="str">
        <f t="shared" si="197"/>
        <v>April</v>
      </c>
      <c r="I3146" t="str">
        <f t="shared" si="198"/>
        <v>Q2</v>
      </c>
      <c r="J3146" t="str">
        <f t="shared" si="199"/>
        <v>Large</v>
      </c>
    </row>
    <row r="3147" spans="1:10" x14ac:dyDescent="0.25">
      <c r="A3147" t="s">
        <v>34</v>
      </c>
      <c r="B3147" t="s">
        <v>29</v>
      </c>
      <c r="C3147" t="s">
        <v>42</v>
      </c>
      <c r="D3147" s="1">
        <v>45336</v>
      </c>
      <c r="E3147" s="2">
        <v>12191.42</v>
      </c>
      <c r="F3147">
        <v>177</v>
      </c>
      <c r="G3147" s="2">
        <f t="shared" si="196"/>
        <v>68.878079096045198</v>
      </c>
      <c r="H3147" t="str">
        <f t="shared" si="197"/>
        <v>February</v>
      </c>
      <c r="I3147" t="str">
        <f t="shared" si="198"/>
        <v>Q1</v>
      </c>
      <c r="J3147" t="str">
        <f t="shared" si="199"/>
        <v>Large</v>
      </c>
    </row>
    <row r="3148" spans="1:10" x14ac:dyDescent="0.25">
      <c r="A3148" t="s">
        <v>28</v>
      </c>
      <c r="B3148" t="s">
        <v>10</v>
      </c>
      <c r="C3148" t="s">
        <v>44</v>
      </c>
      <c r="D3148" s="1">
        <v>45499</v>
      </c>
      <c r="E3148" s="2">
        <v>969.15</v>
      </c>
      <c r="F3148">
        <v>233</v>
      </c>
      <c r="G3148" s="2">
        <f t="shared" si="196"/>
        <v>4.1594420600858371</v>
      </c>
      <c r="H3148" t="str">
        <f t="shared" si="197"/>
        <v>July</v>
      </c>
      <c r="I3148" t="str">
        <f t="shared" si="198"/>
        <v>Q3</v>
      </c>
      <c r="J3148" t="str">
        <f t="shared" si="199"/>
        <v>Large</v>
      </c>
    </row>
    <row r="3149" spans="1:10" x14ac:dyDescent="0.25">
      <c r="A3149" t="s">
        <v>23</v>
      </c>
      <c r="B3149" t="s">
        <v>7</v>
      </c>
      <c r="C3149" t="s">
        <v>32</v>
      </c>
      <c r="D3149" s="1">
        <v>45318</v>
      </c>
      <c r="E3149" s="2">
        <v>6498.96</v>
      </c>
      <c r="F3149">
        <v>143</v>
      </c>
      <c r="G3149" s="2">
        <f t="shared" si="196"/>
        <v>45.447272727272725</v>
      </c>
      <c r="H3149" t="str">
        <f t="shared" si="197"/>
        <v>January</v>
      </c>
      <c r="I3149" t="str">
        <f t="shared" si="198"/>
        <v>Q1</v>
      </c>
      <c r="J3149" t="str">
        <f t="shared" si="199"/>
        <v>Large</v>
      </c>
    </row>
    <row r="3150" spans="1:10" x14ac:dyDescent="0.25">
      <c r="A3150" t="s">
        <v>6</v>
      </c>
      <c r="B3150" t="s">
        <v>10</v>
      </c>
      <c r="C3150" t="s">
        <v>13</v>
      </c>
      <c r="D3150" s="1">
        <v>45396</v>
      </c>
      <c r="E3150" s="2">
        <v>33.68</v>
      </c>
      <c r="F3150">
        <v>487</v>
      </c>
      <c r="G3150" s="2">
        <f t="shared" si="196"/>
        <v>6.9158110882956883E-2</v>
      </c>
      <c r="H3150" t="str">
        <f t="shared" si="197"/>
        <v>April</v>
      </c>
      <c r="I3150" t="str">
        <f t="shared" si="198"/>
        <v>Q2</v>
      </c>
      <c r="J3150" t="str">
        <f t="shared" si="199"/>
        <v>Small</v>
      </c>
    </row>
    <row r="3151" spans="1:10" x14ac:dyDescent="0.25">
      <c r="A3151" t="s">
        <v>17</v>
      </c>
      <c r="B3151" t="s">
        <v>26</v>
      </c>
      <c r="C3151" t="s">
        <v>47</v>
      </c>
      <c r="D3151" s="1">
        <v>45431</v>
      </c>
      <c r="E3151" s="2">
        <v>7640.61</v>
      </c>
      <c r="F3151">
        <v>154</v>
      </c>
      <c r="G3151" s="2">
        <f t="shared" si="196"/>
        <v>49.614350649350648</v>
      </c>
      <c r="H3151" t="str">
        <f t="shared" si="197"/>
        <v>May</v>
      </c>
      <c r="I3151" t="str">
        <f t="shared" si="198"/>
        <v>Q2</v>
      </c>
      <c r="J3151" t="str">
        <f t="shared" si="199"/>
        <v>Large</v>
      </c>
    </row>
    <row r="3152" spans="1:10" x14ac:dyDescent="0.25">
      <c r="A3152" t="s">
        <v>40</v>
      </c>
      <c r="B3152" t="s">
        <v>10</v>
      </c>
      <c r="C3152" t="s">
        <v>30</v>
      </c>
      <c r="D3152" s="1">
        <v>45331</v>
      </c>
      <c r="E3152" s="2">
        <v>5596.93</v>
      </c>
      <c r="F3152">
        <v>62</v>
      </c>
      <c r="G3152" s="2">
        <f t="shared" si="196"/>
        <v>90.27306451612904</v>
      </c>
      <c r="H3152" t="str">
        <f t="shared" si="197"/>
        <v>February</v>
      </c>
      <c r="I3152" t="str">
        <f t="shared" si="198"/>
        <v>Q1</v>
      </c>
      <c r="J3152" t="str">
        <f t="shared" si="199"/>
        <v>Large</v>
      </c>
    </row>
    <row r="3153" spans="1:10" x14ac:dyDescent="0.25">
      <c r="A3153" t="s">
        <v>23</v>
      </c>
      <c r="B3153" t="s">
        <v>7</v>
      </c>
      <c r="C3153" t="s">
        <v>39</v>
      </c>
      <c r="D3153" s="1">
        <v>45437</v>
      </c>
      <c r="E3153" s="2">
        <v>2639.55</v>
      </c>
      <c r="F3153">
        <v>59</v>
      </c>
      <c r="G3153" s="2">
        <f t="shared" si="196"/>
        <v>44.738135593220342</v>
      </c>
      <c r="H3153" t="str">
        <f t="shared" si="197"/>
        <v>May</v>
      </c>
      <c r="I3153" t="str">
        <f t="shared" si="198"/>
        <v>Q2</v>
      </c>
      <c r="J3153" t="str">
        <f t="shared" si="199"/>
        <v>Large</v>
      </c>
    </row>
    <row r="3154" spans="1:10" x14ac:dyDescent="0.25">
      <c r="A3154" t="s">
        <v>17</v>
      </c>
      <c r="B3154" t="s">
        <v>15</v>
      </c>
      <c r="C3154" t="s">
        <v>45</v>
      </c>
      <c r="D3154" s="1">
        <v>45317</v>
      </c>
      <c r="E3154" s="2">
        <v>4626.87</v>
      </c>
      <c r="F3154">
        <v>78</v>
      </c>
      <c r="G3154" s="2">
        <f t="shared" si="196"/>
        <v>59.318846153846152</v>
      </c>
      <c r="H3154" t="str">
        <f t="shared" si="197"/>
        <v>January</v>
      </c>
      <c r="I3154" t="str">
        <f t="shared" si="198"/>
        <v>Q1</v>
      </c>
      <c r="J3154" t="str">
        <f t="shared" si="199"/>
        <v>Large</v>
      </c>
    </row>
    <row r="3155" spans="1:10" x14ac:dyDescent="0.25">
      <c r="A3155" t="s">
        <v>34</v>
      </c>
      <c r="B3155" t="s">
        <v>10</v>
      </c>
      <c r="C3155" t="s">
        <v>44</v>
      </c>
      <c r="D3155" s="1">
        <v>45477</v>
      </c>
      <c r="E3155" s="2">
        <v>1900.09</v>
      </c>
      <c r="F3155">
        <v>297</v>
      </c>
      <c r="G3155" s="2">
        <f t="shared" si="196"/>
        <v>6.3976094276094271</v>
      </c>
      <c r="H3155" t="str">
        <f t="shared" si="197"/>
        <v>July</v>
      </c>
      <c r="I3155" t="str">
        <f t="shared" si="198"/>
        <v>Q3</v>
      </c>
      <c r="J3155" t="str">
        <f t="shared" si="199"/>
        <v>Large</v>
      </c>
    </row>
    <row r="3156" spans="1:10" x14ac:dyDescent="0.25">
      <c r="A3156" t="s">
        <v>55</v>
      </c>
      <c r="B3156" t="s">
        <v>10</v>
      </c>
      <c r="C3156" t="s">
        <v>47</v>
      </c>
      <c r="D3156" s="1">
        <v>45395</v>
      </c>
      <c r="E3156" s="2">
        <v>13315.47</v>
      </c>
      <c r="F3156">
        <v>72</v>
      </c>
      <c r="G3156" s="2">
        <f t="shared" si="196"/>
        <v>184.93708333333333</v>
      </c>
      <c r="H3156" t="str">
        <f t="shared" si="197"/>
        <v>April</v>
      </c>
      <c r="I3156" t="str">
        <f t="shared" si="198"/>
        <v>Q2</v>
      </c>
      <c r="J3156" t="str">
        <f t="shared" si="199"/>
        <v>Large</v>
      </c>
    </row>
    <row r="3157" spans="1:10" x14ac:dyDescent="0.25">
      <c r="A3157" t="s">
        <v>12</v>
      </c>
      <c r="B3157" t="s">
        <v>15</v>
      </c>
      <c r="C3157" t="s">
        <v>16</v>
      </c>
      <c r="D3157" s="1">
        <v>45316</v>
      </c>
      <c r="E3157" s="2">
        <v>6359.09</v>
      </c>
      <c r="F3157">
        <v>121</v>
      </c>
      <c r="G3157" s="2">
        <f t="shared" si="196"/>
        <v>52.554462809917354</v>
      </c>
      <c r="H3157" t="str">
        <f t="shared" si="197"/>
        <v>January</v>
      </c>
      <c r="I3157" t="str">
        <f t="shared" si="198"/>
        <v>Q1</v>
      </c>
      <c r="J3157" t="str">
        <f t="shared" si="199"/>
        <v>Large</v>
      </c>
    </row>
    <row r="3158" spans="1:10" x14ac:dyDescent="0.25">
      <c r="A3158" t="s">
        <v>50</v>
      </c>
      <c r="B3158" t="s">
        <v>26</v>
      </c>
      <c r="C3158" t="s">
        <v>11</v>
      </c>
      <c r="D3158" s="1">
        <v>45407</v>
      </c>
      <c r="E3158" s="2">
        <v>2644.65</v>
      </c>
      <c r="F3158">
        <v>83</v>
      </c>
      <c r="G3158" s="2">
        <f t="shared" si="196"/>
        <v>31.863253012048194</v>
      </c>
      <c r="H3158" t="str">
        <f t="shared" si="197"/>
        <v>April</v>
      </c>
      <c r="I3158" t="str">
        <f t="shared" si="198"/>
        <v>Q2</v>
      </c>
      <c r="J3158" t="str">
        <f t="shared" si="199"/>
        <v>Large</v>
      </c>
    </row>
    <row r="3159" spans="1:10" x14ac:dyDescent="0.25">
      <c r="A3159" t="s">
        <v>50</v>
      </c>
      <c r="B3159" t="s">
        <v>26</v>
      </c>
      <c r="C3159" t="s">
        <v>30</v>
      </c>
      <c r="D3159" s="1">
        <v>45453</v>
      </c>
      <c r="E3159" s="2">
        <v>4879.55</v>
      </c>
      <c r="F3159">
        <v>427</v>
      </c>
      <c r="G3159" s="2">
        <f t="shared" si="196"/>
        <v>11.427517564402811</v>
      </c>
      <c r="H3159" t="str">
        <f t="shared" si="197"/>
        <v>June</v>
      </c>
      <c r="I3159" t="str">
        <f t="shared" si="198"/>
        <v>Q2</v>
      </c>
      <c r="J3159" t="str">
        <f t="shared" si="199"/>
        <v>Large</v>
      </c>
    </row>
    <row r="3160" spans="1:10" x14ac:dyDescent="0.25">
      <c r="A3160" t="s">
        <v>53</v>
      </c>
      <c r="B3160" t="s">
        <v>21</v>
      </c>
      <c r="C3160" t="s">
        <v>44</v>
      </c>
      <c r="D3160" s="1">
        <v>45526</v>
      </c>
      <c r="E3160" s="2">
        <v>11572.5</v>
      </c>
      <c r="F3160">
        <v>51</v>
      </c>
      <c r="G3160" s="2">
        <f t="shared" si="196"/>
        <v>226.91176470588235</v>
      </c>
      <c r="H3160" t="str">
        <f t="shared" si="197"/>
        <v>August</v>
      </c>
      <c r="I3160" t="str">
        <f t="shared" si="198"/>
        <v>Q3</v>
      </c>
      <c r="J3160" t="str">
        <f t="shared" si="199"/>
        <v>Large</v>
      </c>
    </row>
    <row r="3161" spans="1:10" x14ac:dyDescent="0.25">
      <c r="A3161" t="s">
        <v>9</v>
      </c>
      <c r="B3161" t="s">
        <v>10</v>
      </c>
      <c r="C3161" t="s">
        <v>20</v>
      </c>
      <c r="D3161" s="1">
        <v>45470</v>
      </c>
      <c r="E3161" s="2">
        <v>15626.93</v>
      </c>
      <c r="F3161">
        <v>225</v>
      </c>
      <c r="G3161" s="2">
        <f t="shared" si="196"/>
        <v>69.453022222222216</v>
      </c>
      <c r="H3161" t="str">
        <f t="shared" si="197"/>
        <v>June</v>
      </c>
      <c r="I3161" t="str">
        <f t="shared" si="198"/>
        <v>Q2</v>
      </c>
      <c r="J3161" t="str">
        <f t="shared" si="199"/>
        <v>Large</v>
      </c>
    </row>
    <row r="3162" spans="1:10" x14ac:dyDescent="0.25">
      <c r="A3162" t="s">
        <v>40</v>
      </c>
      <c r="B3162" t="s">
        <v>10</v>
      </c>
      <c r="C3162" t="s">
        <v>27</v>
      </c>
      <c r="D3162" s="1">
        <v>45473</v>
      </c>
      <c r="E3162" s="2">
        <v>4781.1400000000003</v>
      </c>
      <c r="F3162">
        <v>38</v>
      </c>
      <c r="G3162" s="2">
        <f t="shared" si="196"/>
        <v>125.81947368421054</v>
      </c>
      <c r="H3162" t="str">
        <f t="shared" si="197"/>
        <v>June</v>
      </c>
      <c r="I3162" t="str">
        <f t="shared" si="198"/>
        <v>Q2</v>
      </c>
      <c r="J3162" t="str">
        <f t="shared" si="199"/>
        <v>Large</v>
      </c>
    </row>
    <row r="3163" spans="1:10" x14ac:dyDescent="0.25">
      <c r="A3163" t="s">
        <v>6</v>
      </c>
      <c r="B3163" t="s">
        <v>10</v>
      </c>
      <c r="C3163" t="s">
        <v>47</v>
      </c>
      <c r="D3163" s="1">
        <v>45534</v>
      </c>
      <c r="E3163" s="2">
        <v>11793.4</v>
      </c>
      <c r="F3163">
        <v>101</v>
      </c>
      <c r="G3163" s="2">
        <f t="shared" si="196"/>
        <v>116.76633663366336</v>
      </c>
      <c r="H3163" t="str">
        <f t="shared" si="197"/>
        <v>August</v>
      </c>
      <c r="I3163" t="str">
        <f t="shared" si="198"/>
        <v>Q3</v>
      </c>
      <c r="J3163" t="str">
        <f t="shared" si="199"/>
        <v>Large</v>
      </c>
    </row>
    <row r="3164" spans="1:10" x14ac:dyDescent="0.25">
      <c r="A3164" t="s">
        <v>31</v>
      </c>
      <c r="B3164" t="s">
        <v>15</v>
      </c>
      <c r="C3164" t="s">
        <v>51</v>
      </c>
      <c r="D3164" s="1">
        <v>45527</v>
      </c>
      <c r="E3164" s="2">
        <v>1061.03</v>
      </c>
      <c r="F3164">
        <v>58</v>
      </c>
      <c r="G3164" s="2">
        <f t="shared" si="196"/>
        <v>18.293620689655171</v>
      </c>
      <c r="H3164" t="str">
        <f t="shared" si="197"/>
        <v>August</v>
      </c>
      <c r="I3164" t="str">
        <f t="shared" si="198"/>
        <v>Q3</v>
      </c>
      <c r="J3164" t="str">
        <f t="shared" si="199"/>
        <v>Large</v>
      </c>
    </row>
    <row r="3165" spans="1:10" x14ac:dyDescent="0.25">
      <c r="A3165" t="s">
        <v>50</v>
      </c>
      <c r="B3165" t="s">
        <v>21</v>
      </c>
      <c r="C3165" t="s">
        <v>18</v>
      </c>
      <c r="D3165" s="1">
        <v>45530</v>
      </c>
      <c r="E3165" s="2">
        <v>2499.92</v>
      </c>
      <c r="F3165">
        <v>44</v>
      </c>
      <c r="G3165" s="2">
        <f t="shared" si="196"/>
        <v>56.81636363636364</v>
      </c>
      <c r="H3165" t="str">
        <f t="shared" si="197"/>
        <v>August</v>
      </c>
      <c r="I3165" t="str">
        <f t="shared" si="198"/>
        <v>Q3</v>
      </c>
      <c r="J3165" t="str">
        <f t="shared" si="199"/>
        <v>Large</v>
      </c>
    </row>
    <row r="3166" spans="1:10" x14ac:dyDescent="0.25">
      <c r="A3166" t="s">
        <v>12</v>
      </c>
      <c r="B3166" t="s">
        <v>15</v>
      </c>
      <c r="C3166" t="s">
        <v>27</v>
      </c>
      <c r="D3166" s="1">
        <v>45360</v>
      </c>
      <c r="E3166" s="2">
        <v>676.29</v>
      </c>
      <c r="F3166">
        <v>158</v>
      </c>
      <c r="G3166" s="2">
        <f t="shared" si="196"/>
        <v>4.2803164556962026</v>
      </c>
      <c r="H3166" t="str">
        <f t="shared" si="197"/>
        <v>March</v>
      </c>
      <c r="I3166" t="str">
        <f t="shared" si="198"/>
        <v>Q1</v>
      </c>
      <c r="J3166" t="str">
        <f t="shared" si="199"/>
        <v>Large</v>
      </c>
    </row>
    <row r="3167" spans="1:10" x14ac:dyDescent="0.25">
      <c r="A3167" t="s">
        <v>49</v>
      </c>
      <c r="B3167" t="s">
        <v>7</v>
      </c>
      <c r="C3167" t="s">
        <v>32</v>
      </c>
      <c r="D3167" s="1">
        <v>45402</v>
      </c>
      <c r="E3167" s="2">
        <v>1886.06</v>
      </c>
      <c r="F3167">
        <v>23</v>
      </c>
      <c r="G3167" s="2">
        <f t="shared" si="196"/>
        <v>82.002608695652171</v>
      </c>
      <c r="H3167" t="str">
        <f t="shared" si="197"/>
        <v>April</v>
      </c>
      <c r="I3167" t="str">
        <f t="shared" si="198"/>
        <v>Q2</v>
      </c>
      <c r="J3167" t="str">
        <f t="shared" si="199"/>
        <v>Large</v>
      </c>
    </row>
    <row r="3168" spans="1:10" x14ac:dyDescent="0.25">
      <c r="A3168" t="s">
        <v>28</v>
      </c>
      <c r="B3168" t="s">
        <v>29</v>
      </c>
      <c r="C3168" t="s">
        <v>57</v>
      </c>
      <c r="D3168" s="1">
        <v>45453</v>
      </c>
      <c r="E3168" s="2">
        <v>5093.92</v>
      </c>
      <c r="F3168">
        <v>524</v>
      </c>
      <c r="G3168" s="2">
        <f t="shared" si="196"/>
        <v>9.7212213740458022</v>
      </c>
      <c r="H3168" t="str">
        <f t="shared" si="197"/>
        <v>June</v>
      </c>
      <c r="I3168" t="str">
        <f t="shared" si="198"/>
        <v>Q2</v>
      </c>
      <c r="J3168" t="str">
        <f t="shared" si="199"/>
        <v>Large</v>
      </c>
    </row>
    <row r="3169" spans="1:10" x14ac:dyDescent="0.25">
      <c r="A3169" t="s">
        <v>40</v>
      </c>
      <c r="B3169" t="s">
        <v>15</v>
      </c>
      <c r="C3169" t="s">
        <v>35</v>
      </c>
      <c r="D3169" s="1">
        <v>45330</v>
      </c>
      <c r="E3169" s="2">
        <v>1018.8</v>
      </c>
      <c r="F3169">
        <v>157</v>
      </c>
      <c r="G3169" s="2">
        <f t="shared" si="196"/>
        <v>6.4891719745222929</v>
      </c>
      <c r="H3169" t="str">
        <f t="shared" si="197"/>
        <v>February</v>
      </c>
      <c r="I3169" t="str">
        <f t="shared" si="198"/>
        <v>Q1</v>
      </c>
      <c r="J3169" t="str">
        <f t="shared" si="199"/>
        <v>Large</v>
      </c>
    </row>
    <row r="3170" spans="1:10" x14ac:dyDescent="0.25">
      <c r="A3170" t="s">
        <v>23</v>
      </c>
      <c r="B3170" t="s">
        <v>15</v>
      </c>
      <c r="C3170" t="s">
        <v>44</v>
      </c>
      <c r="D3170" s="1">
        <v>45529</v>
      </c>
      <c r="E3170" s="2">
        <v>5616.77</v>
      </c>
      <c r="F3170">
        <v>23</v>
      </c>
      <c r="G3170" s="2">
        <f t="shared" si="196"/>
        <v>244.20739130434785</v>
      </c>
      <c r="H3170" t="str">
        <f t="shared" si="197"/>
        <v>August</v>
      </c>
      <c r="I3170" t="str">
        <f t="shared" si="198"/>
        <v>Q3</v>
      </c>
      <c r="J3170" t="str">
        <f t="shared" si="199"/>
        <v>Large</v>
      </c>
    </row>
    <row r="3171" spans="1:10" x14ac:dyDescent="0.25">
      <c r="A3171" t="s">
        <v>54</v>
      </c>
      <c r="B3171" t="s">
        <v>10</v>
      </c>
      <c r="C3171" t="s">
        <v>13</v>
      </c>
      <c r="D3171" s="1">
        <v>45338</v>
      </c>
      <c r="E3171" s="2">
        <v>10461.82</v>
      </c>
      <c r="F3171">
        <v>78</v>
      </c>
      <c r="G3171" s="2">
        <f t="shared" si="196"/>
        <v>134.12589743589743</v>
      </c>
      <c r="H3171" t="str">
        <f t="shared" si="197"/>
        <v>February</v>
      </c>
      <c r="I3171" t="str">
        <f t="shared" si="198"/>
        <v>Q1</v>
      </c>
      <c r="J3171" t="str">
        <f t="shared" si="199"/>
        <v>Large</v>
      </c>
    </row>
    <row r="3172" spans="1:10" x14ac:dyDescent="0.25">
      <c r="A3172" t="s">
        <v>43</v>
      </c>
      <c r="B3172" t="s">
        <v>7</v>
      </c>
      <c r="C3172" t="s">
        <v>18</v>
      </c>
      <c r="D3172" s="1">
        <v>45442</v>
      </c>
      <c r="E3172" s="2">
        <v>12841.79</v>
      </c>
      <c r="F3172">
        <v>26</v>
      </c>
      <c r="G3172" s="2">
        <f t="shared" si="196"/>
        <v>493.91500000000002</v>
      </c>
      <c r="H3172" t="str">
        <f t="shared" si="197"/>
        <v>May</v>
      </c>
      <c r="I3172" t="str">
        <f t="shared" si="198"/>
        <v>Q2</v>
      </c>
      <c r="J3172" t="str">
        <f t="shared" si="199"/>
        <v>Large</v>
      </c>
    </row>
    <row r="3173" spans="1:10" x14ac:dyDescent="0.25">
      <c r="A3173" t="s">
        <v>12</v>
      </c>
      <c r="B3173" t="s">
        <v>21</v>
      </c>
      <c r="C3173" t="s">
        <v>22</v>
      </c>
      <c r="D3173" s="1">
        <v>45472</v>
      </c>
      <c r="E3173" s="2">
        <v>6723.42</v>
      </c>
      <c r="F3173">
        <v>67</v>
      </c>
      <c r="G3173" s="2">
        <f t="shared" si="196"/>
        <v>100.34955223880597</v>
      </c>
      <c r="H3173" t="str">
        <f t="shared" si="197"/>
        <v>June</v>
      </c>
      <c r="I3173" t="str">
        <f t="shared" si="198"/>
        <v>Q2</v>
      </c>
      <c r="J3173" t="str">
        <f t="shared" si="199"/>
        <v>Large</v>
      </c>
    </row>
    <row r="3174" spans="1:10" x14ac:dyDescent="0.25">
      <c r="A3174" t="s">
        <v>12</v>
      </c>
      <c r="B3174" t="s">
        <v>26</v>
      </c>
      <c r="C3174" t="s">
        <v>37</v>
      </c>
      <c r="D3174" s="1">
        <v>45459</v>
      </c>
      <c r="E3174" s="2">
        <v>521.35</v>
      </c>
      <c r="F3174">
        <v>127</v>
      </c>
      <c r="G3174" s="2">
        <f t="shared" si="196"/>
        <v>4.1051181102362211</v>
      </c>
      <c r="H3174" t="str">
        <f t="shared" si="197"/>
        <v>June</v>
      </c>
      <c r="I3174" t="str">
        <f t="shared" si="198"/>
        <v>Q2</v>
      </c>
      <c r="J3174" t="str">
        <f t="shared" si="199"/>
        <v>Large</v>
      </c>
    </row>
    <row r="3175" spans="1:10" x14ac:dyDescent="0.25">
      <c r="A3175" t="s">
        <v>23</v>
      </c>
      <c r="B3175" t="s">
        <v>7</v>
      </c>
      <c r="C3175" t="s">
        <v>57</v>
      </c>
      <c r="D3175" s="1">
        <v>45355</v>
      </c>
      <c r="E3175" s="2">
        <v>3106.11</v>
      </c>
      <c r="F3175">
        <v>159</v>
      </c>
      <c r="G3175" s="2">
        <f t="shared" si="196"/>
        <v>19.535283018867926</v>
      </c>
      <c r="H3175" t="str">
        <f t="shared" si="197"/>
        <v>March</v>
      </c>
      <c r="I3175" t="str">
        <f t="shared" si="198"/>
        <v>Q1</v>
      </c>
      <c r="J3175" t="str">
        <f t="shared" si="199"/>
        <v>Large</v>
      </c>
    </row>
    <row r="3176" spans="1:10" x14ac:dyDescent="0.25">
      <c r="A3176" t="s">
        <v>38</v>
      </c>
      <c r="B3176" t="s">
        <v>21</v>
      </c>
      <c r="C3176" t="s">
        <v>13</v>
      </c>
      <c r="D3176" s="1">
        <v>45366</v>
      </c>
      <c r="E3176" s="2">
        <v>1684.28</v>
      </c>
      <c r="F3176">
        <v>419</v>
      </c>
      <c r="G3176" s="2">
        <f t="shared" si="196"/>
        <v>4.0197613365155132</v>
      </c>
      <c r="H3176" t="str">
        <f t="shared" si="197"/>
        <v>March</v>
      </c>
      <c r="I3176" t="str">
        <f t="shared" si="198"/>
        <v>Q1</v>
      </c>
      <c r="J3176" t="str">
        <f t="shared" si="199"/>
        <v>Large</v>
      </c>
    </row>
    <row r="3177" spans="1:10" x14ac:dyDescent="0.25">
      <c r="A3177" t="s">
        <v>38</v>
      </c>
      <c r="B3177" t="s">
        <v>21</v>
      </c>
      <c r="C3177" t="s">
        <v>22</v>
      </c>
      <c r="D3177" s="1">
        <v>45318</v>
      </c>
      <c r="E3177" s="2">
        <v>11226.14</v>
      </c>
      <c r="F3177">
        <v>84</v>
      </c>
      <c r="G3177" s="2">
        <f t="shared" si="196"/>
        <v>133.6445238095238</v>
      </c>
      <c r="H3177" t="str">
        <f t="shared" si="197"/>
        <v>January</v>
      </c>
      <c r="I3177" t="str">
        <f t="shared" si="198"/>
        <v>Q1</v>
      </c>
      <c r="J3177" t="str">
        <f t="shared" si="199"/>
        <v>Large</v>
      </c>
    </row>
    <row r="3178" spans="1:10" x14ac:dyDescent="0.25">
      <c r="A3178" t="s">
        <v>34</v>
      </c>
      <c r="B3178" t="s">
        <v>29</v>
      </c>
      <c r="C3178" t="s">
        <v>32</v>
      </c>
      <c r="D3178" s="1">
        <v>45478</v>
      </c>
      <c r="E3178" s="2">
        <v>1172.53</v>
      </c>
      <c r="F3178">
        <v>124</v>
      </c>
      <c r="G3178" s="2">
        <f t="shared" si="196"/>
        <v>9.4558870967741928</v>
      </c>
      <c r="H3178" t="str">
        <f t="shared" si="197"/>
        <v>July</v>
      </c>
      <c r="I3178" t="str">
        <f t="shared" si="198"/>
        <v>Q3</v>
      </c>
      <c r="J3178" t="str">
        <f t="shared" si="199"/>
        <v>Large</v>
      </c>
    </row>
    <row r="3179" spans="1:10" x14ac:dyDescent="0.25">
      <c r="A3179" t="s">
        <v>25</v>
      </c>
      <c r="B3179" t="s">
        <v>26</v>
      </c>
      <c r="C3179" t="s">
        <v>57</v>
      </c>
      <c r="D3179" s="1">
        <v>45380</v>
      </c>
      <c r="E3179" s="2">
        <v>3917.13</v>
      </c>
      <c r="F3179">
        <v>287</v>
      </c>
      <c r="G3179" s="2">
        <f t="shared" si="196"/>
        <v>13.648536585365854</v>
      </c>
      <c r="H3179" t="str">
        <f t="shared" si="197"/>
        <v>March</v>
      </c>
      <c r="I3179" t="str">
        <f t="shared" si="198"/>
        <v>Q1</v>
      </c>
      <c r="J3179" t="str">
        <f t="shared" si="199"/>
        <v>Large</v>
      </c>
    </row>
    <row r="3180" spans="1:10" x14ac:dyDescent="0.25">
      <c r="A3180" t="s">
        <v>28</v>
      </c>
      <c r="B3180" t="s">
        <v>29</v>
      </c>
      <c r="C3180" t="s">
        <v>47</v>
      </c>
      <c r="D3180" s="1">
        <v>45424</v>
      </c>
      <c r="E3180" s="2">
        <v>4871.07</v>
      </c>
      <c r="F3180">
        <v>33</v>
      </c>
      <c r="G3180" s="2">
        <f t="shared" si="196"/>
        <v>147.60818181818181</v>
      </c>
      <c r="H3180" t="str">
        <f t="shared" si="197"/>
        <v>May</v>
      </c>
      <c r="I3180" t="str">
        <f t="shared" si="198"/>
        <v>Q2</v>
      </c>
      <c r="J3180" t="str">
        <f t="shared" si="199"/>
        <v>Large</v>
      </c>
    </row>
    <row r="3181" spans="1:10" x14ac:dyDescent="0.25">
      <c r="A3181" t="s">
        <v>17</v>
      </c>
      <c r="B3181" t="s">
        <v>26</v>
      </c>
      <c r="C3181" t="s">
        <v>32</v>
      </c>
      <c r="D3181" s="1">
        <v>45362</v>
      </c>
      <c r="E3181" s="2">
        <v>9306.64</v>
      </c>
      <c r="F3181">
        <v>48</v>
      </c>
      <c r="G3181" s="2">
        <f t="shared" si="196"/>
        <v>193.88833333333332</v>
      </c>
      <c r="H3181" t="str">
        <f t="shared" si="197"/>
        <v>March</v>
      </c>
      <c r="I3181" t="str">
        <f t="shared" si="198"/>
        <v>Q1</v>
      </c>
      <c r="J3181" t="str">
        <f t="shared" si="199"/>
        <v>Large</v>
      </c>
    </row>
    <row r="3182" spans="1:10" x14ac:dyDescent="0.25">
      <c r="A3182" t="s">
        <v>23</v>
      </c>
      <c r="B3182" t="s">
        <v>21</v>
      </c>
      <c r="C3182" t="s">
        <v>30</v>
      </c>
      <c r="D3182" s="1">
        <v>45484</v>
      </c>
      <c r="E3182" s="2">
        <v>5270.33</v>
      </c>
      <c r="F3182">
        <v>323</v>
      </c>
      <c r="G3182" s="2">
        <f t="shared" si="196"/>
        <v>16.316811145510837</v>
      </c>
      <c r="H3182" t="str">
        <f t="shared" si="197"/>
        <v>July</v>
      </c>
      <c r="I3182" t="str">
        <f t="shared" si="198"/>
        <v>Q3</v>
      </c>
      <c r="J3182" t="str">
        <f t="shared" si="199"/>
        <v>Large</v>
      </c>
    </row>
    <row r="3183" spans="1:10" x14ac:dyDescent="0.25">
      <c r="A3183" t="s">
        <v>19</v>
      </c>
      <c r="B3183" t="s">
        <v>21</v>
      </c>
      <c r="C3183" t="s">
        <v>52</v>
      </c>
      <c r="D3183" s="1">
        <v>45505</v>
      </c>
      <c r="E3183" s="2">
        <v>14722.35</v>
      </c>
      <c r="F3183">
        <v>61</v>
      </c>
      <c r="G3183" s="2">
        <f t="shared" si="196"/>
        <v>241.35</v>
      </c>
      <c r="H3183" t="str">
        <f t="shared" si="197"/>
        <v>August</v>
      </c>
      <c r="I3183" t="str">
        <f t="shared" si="198"/>
        <v>Q3</v>
      </c>
      <c r="J3183" t="str">
        <f t="shared" si="199"/>
        <v>Large</v>
      </c>
    </row>
    <row r="3184" spans="1:10" x14ac:dyDescent="0.25">
      <c r="A3184" t="s">
        <v>19</v>
      </c>
      <c r="B3184" t="s">
        <v>7</v>
      </c>
      <c r="C3184" t="s">
        <v>39</v>
      </c>
      <c r="D3184" s="1">
        <v>45338</v>
      </c>
      <c r="E3184" s="2">
        <v>13444.87</v>
      </c>
      <c r="F3184">
        <v>197</v>
      </c>
      <c r="G3184" s="2">
        <f t="shared" si="196"/>
        <v>68.248071065989848</v>
      </c>
      <c r="H3184" t="str">
        <f t="shared" si="197"/>
        <v>February</v>
      </c>
      <c r="I3184" t="str">
        <f t="shared" si="198"/>
        <v>Q1</v>
      </c>
      <c r="J3184" t="str">
        <f t="shared" si="199"/>
        <v>Large</v>
      </c>
    </row>
    <row r="3185" spans="1:10" x14ac:dyDescent="0.25">
      <c r="A3185" t="s">
        <v>38</v>
      </c>
      <c r="B3185" t="s">
        <v>26</v>
      </c>
      <c r="C3185" t="s">
        <v>20</v>
      </c>
      <c r="D3185" s="1">
        <v>45395</v>
      </c>
      <c r="E3185" s="2">
        <v>14885.97</v>
      </c>
      <c r="F3185">
        <v>248</v>
      </c>
      <c r="G3185" s="2">
        <f t="shared" si="196"/>
        <v>60.024072580645161</v>
      </c>
      <c r="H3185" t="str">
        <f t="shared" si="197"/>
        <v>April</v>
      </c>
      <c r="I3185" t="str">
        <f t="shared" si="198"/>
        <v>Q2</v>
      </c>
      <c r="J3185" t="str">
        <f t="shared" si="199"/>
        <v>Large</v>
      </c>
    </row>
    <row r="3186" spans="1:10" x14ac:dyDescent="0.25">
      <c r="A3186" t="s">
        <v>17</v>
      </c>
      <c r="B3186" t="s">
        <v>10</v>
      </c>
      <c r="C3186" t="s">
        <v>52</v>
      </c>
      <c r="D3186" s="1">
        <v>45336</v>
      </c>
      <c r="E3186" s="2">
        <v>53.31</v>
      </c>
      <c r="F3186">
        <v>371</v>
      </c>
      <c r="G3186" s="2">
        <f t="shared" si="196"/>
        <v>0.14369272237196767</v>
      </c>
      <c r="H3186" t="str">
        <f t="shared" si="197"/>
        <v>February</v>
      </c>
      <c r="I3186" t="str">
        <f t="shared" si="198"/>
        <v>Q1</v>
      </c>
      <c r="J3186" t="str">
        <f t="shared" si="199"/>
        <v>Small</v>
      </c>
    </row>
    <row r="3187" spans="1:10" x14ac:dyDescent="0.25">
      <c r="A3187" t="s">
        <v>55</v>
      </c>
      <c r="B3187" t="s">
        <v>15</v>
      </c>
      <c r="C3187" t="s">
        <v>13</v>
      </c>
      <c r="D3187" s="1">
        <v>45365</v>
      </c>
      <c r="E3187" s="2">
        <v>11767.94</v>
      </c>
      <c r="F3187">
        <v>68</v>
      </c>
      <c r="G3187" s="2">
        <f t="shared" si="196"/>
        <v>173.05794117647059</v>
      </c>
      <c r="H3187" t="str">
        <f t="shared" si="197"/>
        <v>March</v>
      </c>
      <c r="I3187" t="str">
        <f t="shared" si="198"/>
        <v>Q1</v>
      </c>
      <c r="J3187" t="str">
        <f t="shared" si="199"/>
        <v>Large</v>
      </c>
    </row>
    <row r="3188" spans="1:10" x14ac:dyDescent="0.25">
      <c r="A3188" t="s">
        <v>17</v>
      </c>
      <c r="B3188" t="s">
        <v>15</v>
      </c>
      <c r="C3188" t="s">
        <v>39</v>
      </c>
      <c r="D3188" s="1">
        <v>45408</v>
      </c>
      <c r="E3188" s="2">
        <v>12897.53</v>
      </c>
      <c r="F3188">
        <v>25</v>
      </c>
      <c r="G3188" s="2">
        <f t="shared" si="196"/>
        <v>515.90120000000002</v>
      </c>
      <c r="H3188" t="str">
        <f t="shared" si="197"/>
        <v>April</v>
      </c>
      <c r="I3188" t="str">
        <f t="shared" si="198"/>
        <v>Q2</v>
      </c>
      <c r="J3188" t="str">
        <f t="shared" si="199"/>
        <v>Large</v>
      </c>
    </row>
    <row r="3189" spans="1:10" x14ac:dyDescent="0.25">
      <c r="A3189" t="s">
        <v>6</v>
      </c>
      <c r="B3189" t="s">
        <v>29</v>
      </c>
      <c r="C3189" t="s">
        <v>45</v>
      </c>
      <c r="D3189" s="1">
        <v>45387</v>
      </c>
      <c r="E3189" s="2">
        <v>3867.62</v>
      </c>
      <c r="F3189">
        <v>214</v>
      </c>
      <c r="G3189" s="2">
        <f t="shared" si="196"/>
        <v>18.072990654205608</v>
      </c>
      <c r="H3189" t="str">
        <f t="shared" si="197"/>
        <v>April</v>
      </c>
      <c r="I3189" t="str">
        <f t="shared" si="198"/>
        <v>Q2</v>
      </c>
      <c r="J3189" t="str">
        <f t="shared" si="199"/>
        <v>Large</v>
      </c>
    </row>
    <row r="3190" spans="1:10" x14ac:dyDescent="0.25">
      <c r="A3190" t="s">
        <v>50</v>
      </c>
      <c r="B3190" t="s">
        <v>29</v>
      </c>
      <c r="C3190" t="s">
        <v>32</v>
      </c>
      <c r="D3190" s="1">
        <v>45354</v>
      </c>
      <c r="E3190" s="2">
        <v>13524.05</v>
      </c>
      <c r="F3190">
        <v>253</v>
      </c>
      <c r="G3190" s="2">
        <f t="shared" si="196"/>
        <v>53.454743083003947</v>
      </c>
      <c r="H3190" t="str">
        <f t="shared" si="197"/>
        <v>March</v>
      </c>
      <c r="I3190" t="str">
        <f t="shared" si="198"/>
        <v>Q1</v>
      </c>
      <c r="J3190" t="str">
        <f t="shared" si="199"/>
        <v>Large</v>
      </c>
    </row>
    <row r="3191" spans="1:10" x14ac:dyDescent="0.25">
      <c r="A3191" t="s">
        <v>41</v>
      </c>
      <c r="B3191" t="s">
        <v>26</v>
      </c>
      <c r="C3191" t="s">
        <v>39</v>
      </c>
      <c r="D3191" s="1">
        <v>45456</v>
      </c>
      <c r="E3191" s="2">
        <v>2319.1</v>
      </c>
      <c r="F3191">
        <v>189</v>
      </c>
      <c r="G3191" s="2">
        <f t="shared" si="196"/>
        <v>12.270370370370371</v>
      </c>
      <c r="H3191" t="str">
        <f t="shared" si="197"/>
        <v>June</v>
      </c>
      <c r="I3191" t="str">
        <f t="shared" si="198"/>
        <v>Q2</v>
      </c>
      <c r="J3191" t="str">
        <f t="shared" si="199"/>
        <v>Large</v>
      </c>
    </row>
    <row r="3192" spans="1:10" x14ac:dyDescent="0.25">
      <c r="A3192" t="s">
        <v>33</v>
      </c>
      <c r="B3192" t="s">
        <v>21</v>
      </c>
      <c r="C3192" t="s">
        <v>58</v>
      </c>
      <c r="D3192" s="1">
        <v>45336</v>
      </c>
      <c r="E3192" s="2">
        <v>9036.58</v>
      </c>
      <c r="F3192">
        <v>377</v>
      </c>
      <c r="G3192" s="2">
        <f t="shared" si="196"/>
        <v>23.969708222811672</v>
      </c>
      <c r="H3192" t="str">
        <f t="shared" si="197"/>
        <v>February</v>
      </c>
      <c r="I3192" t="str">
        <f t="shared" si="198"/>
        <v>Q1</v>
      </c>
      <c r="J3192" t="str">
        <f t="shared" si="199"/>
        <v>Large</v>
      </c>
    </row>
    <row r="3193" spans="1:10" x14ac:dyDescent="0.25">
      <c r="A3193" t="s">
        <v>36</v>
      </c>
      <c r="B3193" t="s">
        <v>21</v>
      </c>
      <c r="C3193" t="s">
        <v>18</v>
      </c>
      <c r="D3193" s="1">
        <v>45400</v>
      </c>
      <c r="E3193" s="2">
        <v>8905.5300000000007</v>
      </c>
      <c r="F3193">
        <v>201</v>
      </c>
      <c r="G3193" s="2">
        <f t="shared" si="196"/>
        <v>44.306119402985075</v>
      </c>
      <c r="H3193" t="str">
        <f t="shared" si="197"/>
        <v>April</v>
      </c>
      <c r="I3193" t="str">
        <f t="shared" si="198"/>
        <v>Q2</v>
      </c>
      <c r="J3193" t="str">
        <f t="shared" si="199"/>
        <v>Large</v>
      </c>
    </row>
    <row r="3194" spans="1:10" x14ac:dyDescent="0.25">
      <c r="A3194" t="s">
        <v>17</v>
      </c>
      <c r="B3194" t="s">
        <v>21</v>
      </c>
      <c r="C3194" t="s">
        <v>11</v>
      </c>
      <c r="D3194" s="1">
        <v>45323</v>
      </c>
      <c r="E3194" s="2">
        <v>4040.65</v>
      </c>
      <c r="F3194">
        <v>423</v>
      </c>
      <c r="G3194" s="2">
        <f t="shared" si="196"/>
        <v>9.5523640661938529</v>
      </c>
      <c r="H3194" t="str">
        <f t="shared" si="197"/>
        <v>February</v>
      </c>
      <c r="I3194" t="str">
        <f t="shared" si="198"/>
        <v>Q1</v>
      </c>
      <c r="J3194" t="str">
        <f t="shared" si="199"/>
        <v>Large</v>
      </c>
    </row>
    <row r="3195" spans="1:10" x14ac:dyDescent="0.25">
      <c r="A3195" t="s">
        <v>54</v>
      </c>
      <c r="B3195" t="s">
        <v>21</v>
      </c>
      <c r="C3195" t="s">
        <v>27</v>
      </c>
      <c r="D3195" s="1">
        <v>45508</v>
      </c>
      <c r="E3195" s="2">
        <v>2204.17</v>
      </c>
      <c r="F3195">
        <v>145</v>
      </c>
      <c r="G3195" s="2">
        <f t="shared" si="196"/>
        <v>15.201172413793104</v>
      </c>
      <c r="H3195" t="str">
        <f t="shared" si="197"/>
        <v>August</v>
      </c>
      <c r="I3195" t="str">
        <f t="shared" si="198"/>
        <v>Q3</v>
      </c>
      <c r="J3195" t="str">
        <f t="shared" si="199"/>
        <v>Large</v>
      </c>
    </row>
    <row r="3196" spans="1:10" x14ac:dyDescent="0.25">
      <c r="A3196" t="s">
        <v>48</v>
      </c>
      <c r="B3196" t="s">
        <v>21</v>
      </c>
      <c r="C3196" t="s">
        <v>47</v>
      </c>
      <c r="D3196" s="1">
        <v>45387</v>
      </c>
      <c r="E3196" s="2">
        <v>7037.21</v>
      </c>
      <c r="F3196">
        <v>172</v>
      </c>
      <c r="G3196" s="2">
        <f t="shared" si="196"/>
        <v>40.91401162790698</v>
      </c>
      <c r="H3196" t="str">
        <f t="shared" si="197"/>
        <v>April</v>
      </c>
      <c r="I3196" t="str">
        <f t="shared" si="198"/>
        <v>Q2</v>
      </c>
      <c r="J3196" t="str">
        <f t="shared" si="199"/>
        <v>Large</v>
      </c>
    </row>
    <row r="3197" spans="1:10" x14ac:dyDescent="0.25">
      <c r="A3197" t="s">
        <v>31</v>
      </c>
      <c r="B3197" t="s">
        <v>15</v>
      </c>
      <c r="C3197" t="s">
        <v>18</v>
      </c>
      <c r="D3197" s="1">
        <v>45317</v>
      </c>
      <c r="E3197" s="2">
        <v>12285.41</v>
      </c>
      <c r="F3197">
        <v>175</v>
      </c>
      <c r="G3197" s="2">
        <f t="shared" si="196"/>
        <v>70.202342857142852</v>
      </c>
      <c r="H3197" t="str">
        <f t="shared" si="197"/>
        <v>January</v>
      </c>
      <c r="I3197" t="str">
        <f t="shared" si="198"/>
        <v>Q1</v>
      </c>
      <c r="J3197" t="str">
        <f t="shared" si="199"/>
        <v>Large</v>
      </c>
    </row>
    <row r="3198" spans="1:10" x14ac:dyDescent="0.25">
      <c r="A3198" t="s">
        <v>41</v>
      </c>
      <c r="B3198" t="s">
        <v>7</v>
      </c>
      <c r="C3198" t="s">
        <v>20</v>
      </c>
      <c r="D3198" s="1">
        <v>45312</v>
      </c>
      <c r="E3198" s="2">
        <v>21812.86</v>
      </c>
      <c r="F3198">
        <v>183</v>
      </c>
      <c r="G3198" s="2">
        <f t="shared" si="196"/>
        <v>119.19595628415301</v>
      </c>
      <c r="H3198" t="str">
        <f t="shared" si="197"/>
        <v>January</v>
      </c>
      <c r="I3198" t="str">
        <f t="shared" si="198"/>
        <v>Q1</v>
      </c>
      <c r="J3198" t="str">
        <f t="shared" si="199"/>
        <v>Large</v>
      </c>
    </row>
    <row r="3199" spans="1:10" x14ac:dyDescent="0.25">
      <c r="A3199" t="s">
        <v>41</v>
      </c>
      <c r="B3199" t="s">
        <v>29</v>
      </c>
      <c r="C3199" t="s">
        <v>20</v>
      </c>
      <c r="D3199" s="1">
        <v>45526</v>
      </c>
      <c r="E3199" s="2">
        <v>6707.97</v>
      </c>
      <c r="F3199">
        <v>187</v>
      </c>
      <c r="G3199" s="2">
        <f t="shared" si="196"/>
        <v>35.871497326203212</v>
      </c>
      <c r="H3199" t="str">
        <f t="shared" si="197"/>
        <v>August</v>
      </c>
      <c r="I3199" t="str">
        <f t="shared" si="198"/>
        <v>Q3</v>
      </c>
      <c r="J3199" t="str">
        <f t="shared" si="199"/>
        <v>Large</v>
      </c>
    </row>
    <row r="3200" spans="1:10" x14ac:dyDescent="0.25">
      <c r="A3200" t="s">
        <v>41</v>
      </c>
      <c r="B3200" t="s">
        <v>7</v>
      </c>
      <c r="C3200" t="s">
        <v>32</v>
      </c>
      <c r="D3200" s="1">
        <v>45318</v>
      </c>
      <c r="E3200" s="2">
        <v>2513.58</v>
      </c>
      <c r="F3200">
        <v>226</v>
      </c>
      <c r="G3200" s="2">
        <f t="shared" si="196"/>
        <v>11.122035398230087</v>
      </c>
      <c r="H3200" t="str">
        <f t="shared" si="197"/>
        <v>January</v>
      </c>
      <c r="I3200" t="str">
        <f t="shared" si="198"/>
        <v>Q1</v>
      </c>
      <c r="J3200" t="str">
        <f t="shared" si="199"/>
        <v>Large</v>
      </c>
    </row>
    <row r="3201" spans="1:10" x14ac:dyDescent="0.25">
      <c r="A3201" t="s">
        <v>24</v>
      </c>
      <c r="B3201" t="s">
        <v>7</v>
      </c>
      <c r="C3201" t="s">
        <v>22</v>
      </c>
      <c r="D3201" s="1">
        <v>45338</v>
      </c>
      <c r="E3201" s="2">
        <v>11491.21</v>
      </c>
      <c r="F3201">
        <v>71</v>
      </c>
      <c r="G3201" s="2">
        <f t="shared" si="196"/>
        <v>161.84802816901407</v>
      </c>
      <c r="H3201" t="str">
        <f t="shared" si="197"/>
        <v>February</v>
      </c>
      <c r="I3201" t="str">
        <f t="shared" si="198"/>
        <v>Q1</v>
      </c>
      <c r="J3201" t="str">
        <f t="shared" si="199"/>
        <v>Large</v>
      </c>
    </row>
    <row r="3202" spans="1:10" x14ac:dyDescent="0.25">
      <c r="A3202" t="s">
        <v>54</v>
      </c>
      <c r="B3202" t="s">
        <v>26</v>
      </c>
      <c r="C3202" t="s">
        <v>51</v>
      </c>
      <c r="D3202" s="1">
        <v>45294</v>
      </c>
      <c r="E3202" s="2">
        <v>3762.58</v>
      </c>
      <c r="F3202">
        <v>49</v>
      </c>
      <c r="G3202" s="2">
        <f t="shared" si="196"/>
        <v>76.787346938775514</v>
      </c>
      <c r="H3202" t="str">
        <f t="shared" si="197"/>
        <v>January</v>
      </c>
      <c r="I3202" t="str">
        <f t="shared" si="198"/>
        <v>Q1</v>
      </c>
      <c r="J3202" t="str">
        <f t="shared" si="199"/>
        <v>Large</v>
      </c>
    </row>
    <row r="3203" spans="1:10" x14ac:dyDescent="0.25">
      <c r="A3203" t="s">
        <v>31</v>
      </c>
      <c r="B3203" t="s">
        <v>26</v>
      </c>
      <c r="C3203" t="s">
        <v>44</v>
      </c>
      <c r="D3203" s="1">
        <v>45528</v>
      </c>
      <c r="E3203" s="2">
        <v>5158.01</v>
      </c>
      <c r="F3203">
        <v>2</v>
      </c>
      <c r="G3203" s="2">
        <f t="shared" ref="G3203:G3266" si="200">E3203/F3203</f>
        <v>2579.0050000000001</v>
      </c>
      <c r="H3203" t="str">
        <f t="shared" ref="H3203:H3266" si="201">TEXT(D3203, "mmmm")</f>
        <v>August</v>
      </c>
      <c r="I3203" t="str">
        <f t="shared" ref="I3203:I3266" si="202">"Q" &amp; ROUNDUP(MONTH(D3203)/3,0)</f>
        <v>Q3</v>
      </c>
      <c r="J3203" t="str">
        <f t="shared" ref="J3203:J3266" si="203">IF(E3203 &gt; 500, "Large", "Small")</f>
        <v>Large</v>
      </c>
    </row>
    <row r="3204" spans="1:10" x14ac:dyDescent="0.25">
      <c r="A3204" t="s">
        <v>17</v>
      </c>
      <c r="B3204" t="s">
        <v>26</v>
      </c>
      <c r="C3204" t="s">
        <v>39</v>
      </c>
      <c r="D3204" s="1">
        <v>45329</v>
      </c>
      <c r="E3204" s="2">
        <v>6660.69</v>
      </c>
      <c r="F3204">
        <v>418</v>
      </c>
      <c r="G3204" s="2">
        <f t="shared" si="200"/>
        <v>15.934665071770334</v>
      </c>
      <c r="H3204" t="str">
        <f t="shared" si="201"/>
        <v>February</v>
      </c>
      <c r="I3204" t="str">
        <f t="shared" si="202"/>
        <v>Q1</v>
      </c>
      <c r="J3204" t="str">
        <f t="shared" si="203"/>
        <v>Large</v>
      </c>
    </row>
    <row r="3205" spans="1:10" x14ac:dyDescent="0.25">
      <c r="A3205" t="s">
        <v>28</v>
      </c>
      <c r="B3205" t="s">
        <v>15</v>
      </c>
      <c r="C3205" t="s">
        <v>16</v>
      </c>
      <c r="D3205" s="1">
        <v>45333</v>
      </c>
      <c r="E3205" s="2">
        <v>4786.05</v>
      </c>
      <c r="F3205">
        <v>107</v>
      </c>
      <c r="G3205" s="2">
        <f t="shared" si="200"/>
        <v>44.729439252336448</v>
      </c>
      <c r="H3205" t="str">
        <f t="shared" si="201"/>
        <v>February</v>
      </c>
      <c r="I3205" t="str">
        <f t="shared" si="202"/>
        <v>Q1</v>
      </c>
      <c r="J3205" t="str">
        <f t="shared" si="203"/>
        <v>Large</v>
      </c>
    </row>
    <row r="3206" spans="1:10" x14ac:dyDescent="0.25">
      <c r="A3206" t="s">
        <v>41</v>
      </c>
      <c r="B3206" t="s">
        <v>29</v>
      </c>
      <c r="C3206" t="s">
        <v>35</v>
      </c>
      <c r="D3206" s="1">
        <v>45380</v>
      </c>
      <c r="E3206" s="2">
        <v>6797.67</v>
      </c>
      <c r="F3206">
        <v>82</v>
      </c>
      <c r="G3206" s="2">
        <f t="shared" si="200"/>
        <v>82.898414634146349</v>
      </c>
      <c r="H3206" t="str">
        <f t="shared" si="201"/>
        <v>March</v>
      </c>
      <c r="I3206" t="str">
        <f t="shared" si="202"/>
        <v>Q1</v>
      </c>
      <c r="J3206" t="str">
        <f t="shared" si="203"/>
        <v>Large</v>
      </c>
    </row>
    <row r="3207" spans="1:10" x14ac:dyDescent="0.25">
      <c r="A3207" t="s">
        <v>33</v>
      </c>
      <c r="B3207" t="s">
        <v>26</v>
      </c>
      <c r="C3207" t="s">
        <v>13</v>
      </c>
      <c r="D3207" s="1">
        <v>45458</v>
      </c>
      <c r="E3207" s="2">
        <v>782.24</v>
      </c>
      <c r="F3207">
        <v>348</v>
      </c>
      <c r="G3207" s="2">
        <f t="shared" si="200"/>
        <v>2.2478160919540229</v>
      </c>
      <c r="H3207" t="str">
        <f t="shared" si="201"/>
        <v>June</v>
      </c>
      <c r="I3207" t="str">
        <f t="shared" si="202"/>
        <v>Q2</v>
      </c>
      <c r="J3207" t="str">
        <f t="shared" si="203"/>
        <v>Large</v>
      </c>
    </row>
    <row r="3208" spans="1:10" x14ac:dyDescent="0.25">
      <c r="A3208" t="s">
        <v>43</v>
      </c>
      <c r="B3208" t="s">
        <v>7</v>
      </c>
      <c r="C3208" t="s">
        <v>16</v>
      </c>
      <c r="D3208" s="1">
        <v>45408</v>
      </c>
      <c r="E3208" s="2">
        <v>653.1</v>
      </c>
      <c r="F3208">
        <v>136</v>
      </c>
      <c r="G3208" s="2">
        <f t="shared" si="200"/>
        <v>4.8022058823529417</v>
      </c>
      <c r="H3208" t="str">
        <f t="shared" si="201"/>
        <v>April</v>
      </c>
      <c r="I3208" t="str">
        <f t="shared" si="202"/>
        <v>Q2</v>
      </c>
      <c r="J3208" t="str">
        <f t="shared" si="203"/>
        <v>Large</v>
      </c>
    </row>
    <row r="3209" spans="1:10" x14ac:dyDescent="0.25">
      <c r="A3209" t="s">
        <v>23</v>
      </c>
      <c r="B3209" t="s">
        <v>15</v>
      </c>
      <c r="C3209" t="s">
        <v>35</v>
      </c>
      <c r="D3209" s="1">
        <v>45488</v>
      </c>
      <c r="E3209" s="2">
        <v>4768.88</v>
      </c>
      <c r="F3209">
        <v>281</v>
      </c>
      <c r="G3209" s="2">
        <f t="shared" si="200"/>
        <v>16.971103202846976</v>
      </c>
      <c r="H3209" t="str">
        <f t="shared" si="201"/>
        <v>July</v>
      </c>
      <c r="I3209" t="str">
        <f t="shared" si="202"/>
        <v>Q3</v>
      </c>
      <c r="J3209" t="str">
        <f t="shared" si="203"/>
        <v>Large</v>
      </c>
    </row>
    <row r="3210" spans="1:10" x14ac:dyDescent="0.25">
      <c r="A3210" t="s">
        <v>34</v>
      </c>
      <c r="B3210" t="s">
        <v>10</v>
      </c>
      <c r="C3210" t="s">
        <v>35</v>
      </c>
      <c r="D3210" s="1">
        <v>45466</v>
      </c>
      <c r="E3210" s="2">
        <v>1123.57</v>
      </c>
      <c r="F3210">
        <v>19</v>
      </c>
      <c r="G3210" s="2">
        <f t="shared" si="200"/>
        <v>59.135263157894734</v>
      </c>
      <c r="H3210" t="str">
        <f t="shared" si="201"/>
        <v>June</v>
      </c>
      <c r="I3210" t="str">
        <f t="shared" si="202"/>
        <v>Q2</v>
      </c>
      <c r="J3210" t="str">
        <f t="shared" si="203"/>
        <v>Large</v>
      </c>
    </row>
    <row r="3211" spans="1:10" x14ac:dyDescent="0.25">
      <c r="A3211" t="s">
        <v>43</v>
      </c>
      <c r="B3211" t="s">
        <v>15</v>
      </c>
      <c r="C3211" t="s">
        <v>56</v>
      </c>
      <c r="D3211" s="1">
        <v>45302</v>
      </c>
      <c r="E3211" s="2">
        <v>16435.38</v>
      </c>
      <c r="F3211">
        <v>425</v>
      </c>
      <c r="G3211" s="2">
        <f t="shared" si="200"/>
        <v>38.671482352941176</v>
      </c>
      <c r="H3211" t="str">
        <f t="shared" si="201"/>
        <v>January</v>
      </c>
      <c r="I3211" t="str">
        <f t="shared" si="202"/>
        <v>Q1</v>
      </c>
      <c r="J3211" t="str">
        <f t="shared" si="203"/>
        <v>Large</v>
      </c>
    </row>
    <row r="3212" spans="1:10" x14ac:dyDescent="0.25">
      <c r="A3212" t="s">
        <v>34</v>
      </c>
      <c r="B3212" t="s">
        <v>7</v>
      </c>
      <c r="C3212" t="s">
        <v>22</v>
      </c>
      <c r="D3212" s="1">
        <v>45331</v>
      </c>
      <c r="E3212" s="2">
        <v>2922.18</v>
      </c>
      <c r="F3212">
        <v>289</v>
      </c>
      <c r="G3212" s="2">
        <f t="shared" si="200"/>
        <v>10.111349480968858</v>
      </c>
      <c r="H3212" t="str">
        <f t="shared" si="201"/>
        <v>February</v>
      </c>
      <c r="I3212" t="str">
        <f t="shared" si="202"/>
        <v>Q1</v>
      </c>
      <c r="J3212" t="str">
        <f t="shared" si="203"/>
        <v>Large</v>
      </c>
    </row>
    <row r="3213" spans="1:10" x14ac:dyDescent="0.25">
      <c r="A3213" t="s">
        <v>9</v>
      </c>
      <c r="B3213" t="s">
        <v>7</v>
      </c>
      <c r="C3213" t="s">
        <v>47</v>
      </c>
      <c r="D3213" s="1">
        <v>45449</v>
      </c>
      <c r="E3213" s="2">
        <v>12123.84</v>
      </c>
      <c r="F3213">
        <v>222</v>
      </c>
      <c r="G3213" s="2">
        <f t="shared" si="200"/>
        <v>54.611891891891894</v>
      </c>
      <c r="H3213" t="str">
        <f t="shared" si="201"/>
        <v>June</v>
      </c>
      <c r="I3213" t="str">
        <f t="shared" si="202"/>
        <v>Q2</v>
      </c>
      <c r="J3213" t="str">
        <f t="shared" si="203"/>
        <v>Large</v>
      </c>
    </row>
    <row r="3214" spans="1:10" x14ac:dyDescent="0.25">
      <c r="A3214" t="s">
        <v>54</v>
      </c>
      <c r="B3214" t="s">
        <v>7</v>
      </c>
      <c r="C3214" t="s">
        <v>57</v>
      </c>
      <c r="D3214" s="1">
        <v>45514</v>
      </c>
      <c r="E3214" s="2">
        <v>6448.87</v>
      </c>
      <c r="F3214">
        <v>244</v>
      </c>
      <c r="G3214" s="2">
        <f t="shared" si="200"/>
        <v>26.429795081967214</v>
      </c>
      <c r="H3214" t="str">
        <f t="shared" si="201"/>
        <v>August</v>
      </c>
      <c r="I3214" t="str">
        <f t="shared" si="202"/>
        <v>Q3</v>
      </c>
      <c r="J3214" t="str">
        <f t="shared" si="203"/>
        <v>Large</v>
      </c>
    </row>
    <row r="3215" spans="1:10" x14ac:dyDescent="0.25">
      <c r="A3215" t="s">
        <v>46</v>
      </c>
      <c r="B3215" t="s">
        <v>15</v>
      </c>
      <c r="C3215" t="s">
        <v>16</v>
      </c>
      <c r="D3215" s="1">
        <v>45295</v>
      </c>
      <c r="E3215" s="2">
        <v>2587.61</v>
      </c>
      <c r="F3215">
        <v>44</v>
      </c>
      <c r="G3215" s="2">
        <f t="shared" si="200"/>
        <v>58.809318181818185</v>
      </c>
      <c r="H3215" t="str">
        <f t="shared" si="201"/>
        <v>January</v>
      </c>
      <c r="I3215" t="str">
        <f t="shared" si="202"/>
        <v>Q1</v>
      </c>
      <c r="J3215" t="str">
        <f t="shared" si="203"/>
        <v>Large</v>
      </c>
    </row>
    <row r="3216" spans="1:10" x14ac:dyDescent="0.25">
      <c r="A3216" t="s">
        <v>48</v>
      </c>
      <c r="B3216" t="s">
        <v>29</v>
      </c>
      <c r="C3216" t="s">
        <v>58</v>
      </c>
      <c r="D3216" s="1">
        <v>45390</v>
      </c>
      <c r="E3216" s="2">
        <v>12109</v>
      </c>
      <c r="F3216">
        <v>16</v>
      </c>
      <c r="G3216" s="2">
        <f t="shared" si="200"/>
        <v>756.8125</v>
      </c>
      <c r="H3216" t="str">
        <f t="shared" si="201"/>
        <v>April</v>
      </c>
      <c r="I3216" t="str">
        <f t="shared" si="202"/>
        <v>Q2</v>
      </c>
      <c r="J3216" t="str">
        <f t="shared" si="203"/>
        <v>Large</v>
      </c>
    </row>
    <row r="3217" spans="1:10" x14ac:dyDescent="0.25">
      <c r="A3217" t="s">
        <v>25</v>
      </c>
      <c r="B3217" t="s">
        <v>7</v>
      </c>
      <c r="C3217" t="s">
        <v>37</v>
      </c>
      <c r="D3217" s="1">
        <v>45353</v>
      </c>
      <c r="E3217" s="2">
        <v>4482.33</v>
      </c>
      <c r="F3217">
        <v>467</v>
      </c>
      <c r="G3217" s="2">
        <f t="shared" si="200"/>
        <v>9.5981370449678796</v>
      </c>
      <c r="H3217" t="str">
        <f t="shared" si="201"/>
        <v>March</v>
      </c>
      <c r="I3217" t="str">
        <f t="shared" si="202"/>
        <v>Q1</v>
      </c>
      <c r="J3217" t="str">
        <f t="shared" si="203"/>
        <v>Large</v>
      </c>
    </row>
    <row r="3218" spans="1:10" x14ac:dyDescent="0.25">
      <c r="A3218" t="s">
        <v>9</v>
      </c>
      <c r="B3218" t="s">
        <v>29</v>
      </c>
      <c r="C3218" t="s">
        <v>32</v>
      </c>
      <c r="D3218" s="1">
        <v>45458</v>
      </c>
      <c r="E3218" s="2">
        <v>5294.88</v>
      </c>
      <c r="F3218">
        <v>679</v>
      </c>
      <c r="G3218" s="2">
        <f t="shared" si="200"/>
        <v>7.7980559646539032</v>
      </c>
      <c r="H3218" t="str">
        <f t="shared" si="201"/>
        <v>June</v>
      </c>
      <c r="I3218" t="str">
        <f t="shared" si="202"/>
        <v>Q2</v>
      </c>
      <c r="J3218" t="str">
        <f t="shared" si="203"/>
        <v>Large</v>
      </c>
    </row>
    <row r="3219" spans="1:10" x14ac:dyDescent="0.25">
      <c r="A3219" t="s">
        <v>6</v>
      </c>
      <c r="B3219" t="s">
        <v>15</v>
      </c>
      <c r="C3219" t="s">
        <v>20</v>
      </c>
      <c r="D3219" s="1">
        <v>45336</v>
      </c>
      <c r="E3219" s="2">
        <v>5512.57</v>
      </c>
      <c r="F3219">
        <v>46</v>
      </c>
      <c r="G3219" s="2">
        <f t="shared" si="200"/>
        <v>119.83847826086956</v>
      </c>
      <c r="H3219" t="str">
        <f t="shared" si="201"/>
        <v>February</v>
      </c>
      <c r="I3219" t="str">
        <f t="shared" si="202"/>
        <v>Q1</v>
      </c>
      <c r="J3219" t="str">
        <f t="shared" si="203"/>
        <v>Large</v>
      </c>
    </row>
    <row r="3220" spans="1:10" x14ac:dyDescent="0.25">
      <c r="A3220" t="s">
        <v>40</v>
      </c>
      <c r="B3220" t="s">
        <v>7</v>
      </c>
      <c r="C3220" t="s">
        <v>20</v>
      </c>
      <c r="D3220" s="1">
        <v>45478</v>
      </c>
      <c r="E3220" s="2">
        <v>3707.27</v>
      </c>
      <c r="F3220">
        <v>392</v>
      </c>
      <c r="G3220" s="2">
        <f t="shared" si="200"/>
        <v>9.4573214285714293</v>
      </c>
      <c r="H3220" t="str">
        <f t="shared" si="201"/>
        <v>July</v>
      </c>
      <c r="I3220" t="str">
        <f t="shared" si="202"/>
        <v>Q3</v>
      </c>
      <c r="J3220" t="str">
        <f t="shared" si="203"/>
        <v>Large</v>
      </c>
    </row>
    <row r="3221" spans="1:10" x14ac:dyDescent="0.25">
      <c r="A3221" t="s">
        <v>25</v>
      </c>
      <c r="B3221" t="s">
        <v>10</v>
      </c>
      <c r="C3221" t="s">
        <v>8</v>
      </c>
      <c r="D3221" s="1">
        <v>45303</v>
      </c>
      <c r="E3221" s="2">
        <v>7899.01</v>
      </c>
      <c r="F3221">
        <v>461</v>
      </c>
      <c r="G3221" s="2">
        <f t="shared" si="200"/>
        <v>17.134511930585685</v>
      </c>
      <c r="H3221" t="str">
        <f t="shared" si="201"/>
        <v>January</v>
      </c>
      <c r="I3221" t="str">
        <f t="shared" si="202"/>
        <v>Q1</v>
      </c>
      <c r="J3221" t="str">
        <f t="shared" si="203"/>
        <v>Large</v>
      </c>
    </row>
    <row r="3222" spans="1:10" x14ac:dyDescent="0.25">
      <c r="A3222" t="s">
        <v>38</v>
      </c>
      <c r="B3222" t="s">
        <v>10</v>
      </c>
      <c r="C3222" t="s">
        <v>8</v>
      </c>
      <c r="D3222" s="1">
        <v>45354</v>
      </c>
      <c r="E3222" s="2">
        <v>9813.42</v>
      </c>
      <c r="F3222">
        <v>100</v>
      </c>
      <c r="G3222" s="2">
        <f t="shared" si="200"/>
        <v>98.134200000000007</v>
      </c>
      <c r="H3222" t="str">
        <f t="shared" si="201"/>
        <v>March</v>
      </c>
      <c r="I3222" t="str">
        <f t="shared" si="202"/>
        <v>Q1</v>
      </c>
      <c r="J3222" t="str">
        <f t="shared" si="203"/>
        <v>Large</v>
      </c>
    </row>
    <row r="3223" spans="1:10" x14ac:dyDescent="0.25">
      <c r="A3223" t="s">
        <v>6</v>
      </c>
      <c r="B3223" t="s">
        <v>21</v>
      </c>
      <c r="C3223" t="s">
        <v>37</v>
      </c>
      <c r="D3223" s="1">
        <v>45430</v>
      </c>
      <c r="E3223" s="2">
        <v>2845.74</v>
      </c>
      <c r="F3223">
        <v>197</v>
      </c>
      <c r="G3223" s="2">
        <f t="shared" si="200"/>
        <v>14.445380710659897</v>
      </c>
      <c r="H3223" t="str">
        <f t="shared" si="201"/>
        <v>May</v>
      </c>
      <c r="I3223" t="str">
        <f t="shared" si="202"/>
        <v>Q2</v>
      </c>
      <c r="J3223" t="str">
        <f t="shared" si="203"/>
        <v>Large</v>
      </c>
    </row>
    <row r="3224" spans="1:10" x14ac:dyDescent="0.25">
      <c r="A3224" t="s">
        <v>19</v>
      </c>
      <c r="B3224" t="s">
        <v>10</v>
      </c>
      <c r="C3224" t="s">
        <v>57</v>
      </c>
      <c r="D3224" s="1">
        <v>45501</v>
      </c>
      <c r="E3224" s="2">
        <v>2941.72</v>
      </c>
      <c r="F3224">
        <v>220</v>
      </c>
      <c r="G3224" s="2">
        <f t="shared" si="200"/>
        <v>13.371454545454544</v>
      </c>
      <c r="H3224" t="str">
        <f t="shared" si="201"/>
        <v>July</v>
      </c>
      <c r="I3224" t="str">
        <f t="shared" si="202"/>
        <v>Q3</v>
      </c>
      <c r="J3224" t="str">
        <f t="shared" si="203"/>
        <v>Large</v>
      </c>
    </row>
    <row r="3225" spans="1:10" x14ac:dyDescent="0.25">
      <c r="A3225" t="s">
        <v>38</v>
      </c>
      <c r="B3225" t="s">
        <v>7</v>
      </c>
      <c r="C3225" t="s">
        <v>45</v>
      </c>
      <c r="D3225" s="1">
        <v>45329</v>
      </c>
      <c r="E3225" s="2">
        <v>1969.62</v>
      </c>
      <c r="F3225">
        <v>114</v>
      </c>
      <c r="G3225" s="2">
        <f t="shared" si="200"/>
        <v>17.277368421052632</v>
      </c>
      <c r="H3225" t="str">
        <f t="shared" si="201"/>
        <v>February</v>
      </c>
      <c r="I3225" t="str">
        <f t="shared" si="202"/>
        <v>Q1</v>
      </c>
      <c r="J3225" t="str">
        <f t="shared" si="203"/>
        <v>Large</v>
      </c>
    </row>
    <row r="3226" spans="1:10" x14ac:dyDescent="0.25">
      <c r="A3226" t="s">
        <v>48</v>
      </c>
      <c r="B3226" t="s">
        <v>10</v>
      </c>
      <c r="C3226" t="s">
        <v>27</v>
      </c>
      <c r="D3226" s="1">
        <v>45442</v>
      </c>
      <c r="E3226" s="2">
        <v>339.64</v>
      </c>
      <c r="F3226">
        <v>452</v>
      </c>
      <c r="G3226" s="2">
        <f t="shared" si="200"/>
        <v>0.75141592920353983</v>
      </c>
      <c r="H3226" t="str">
        <f t="shared" si="201"/>
        <v>May</v>
      </c>
      <c r="I3226" t="str">
        <f t="shared" si="202"/>
        <v>Q2</v>
      </c>
      <c r="J3226" t="str">
        <f t="shared" si="203"/>
        <v>Small</v>
      </c>
    </row>
    <row r="3227" spans="1:10" x14ac:dyDescent="0.25">
      <c r="A3227" t="s">
        <v>28</v>
      </c>
      <c r="B3227" t="s">
        <v>15</v>
      </c>
      <c r="C3227" t="s">
        <v>51</v>
      </c>
      <c r="D3227" s="1">
        <v>45407</v>
      </c>
      <c r="E3227" s="2">
        <v>8818.17</v>
      </c>
      <c r="F3227">
        <v>29</v>
      </c>
      <c r="G3227" s="2">
        <f t="shared" si="200"/>
        <v>304.07482758620688</v>
      </c>
      <c r="H3227" t="str">
        <f t="shared" si="201"/>
        <v>April</v>
      </c>
      <c r="I3227" t="str">
        <f t="shared" si="202"/>
        <v>Q2</v>
      </c>
      <c r="J3227" t="str">
        <f t="shared" si="203"/>
        <v>Large</v>
      </c>
    </row>
    <row r="3228" spans="1:10" x14ac:dyDescent="0.25">
      <c r="A3228" t="s">
        <v>34</v>
      </c>
      <c r="B3228" t="s">
        <v>29</v>
      </c>
      <c r="C3228" t="s">
        <v>11</v>
      </c>
      <c r="D3228" s="1">
        <v>45338</v>
      </c>
      <c r="E3228" s="2">
        <v>6829.86</v>
      </c>
      <c r="F3228">
        <v>46</v>
      </c>
      <c r="G3228" s="2">
        <f t="shared" si="200"/>
        <v>148.47521739130434</v>
      </c>
      <c r="H3228" t="str">
        <f t="shared" si="201"/>
        <v>February</v>
      </c>
      <c r="I3228" t="str">
        <f t="shared" si="202"/>
        <v>Q1</v>
      </c>
      <c r="J3228" t="str">
        <f t="shared" si="203"/>
        <v>Large</v>
      </c>
    </row>
    <row r="3229" spans="1:10" x14ac:dyDescent="0.25">
      <c r="A3229" t="s">
        <v>49</v>
      </c>
      <c r="B3229" t="s">
        <v>15</v>
      </c>
      <c r="C3229" t="s">
        <v>32</v>
      </c>
      <c r="D3229" s="1">
        <v>45416</v>
      </c>
      <c r="E3229" s="2">
        <v>1370.19</v>
      </c>
      <c r="F3229">
        <v>58</v>
      </c>
      <c r="G3229" s="2">
        <f t="shared" si="200"/>
        <v>23.62396551724138</v>
      </c>
      <c r="H3229" t="str">
        <f t="shared" si="201"/>
        <v>May</v>
      </c>
      <c r="I3229" t="str">
        <f t="shared" si="202"/>
        <v>Q2</v>
      </c>
      <c r="J3229" t="str">
        <f t="shared" si="203"/>
        <v>Large</v>
      </c>
    </row>
    <row r="3230" spans="1:10" x14ac:dyDescent="0.25">
      <c r="A3230" t="s">
        <v>9</v>
      </c>
      <c r="B3230" t="s">
        <v>29</v>
      </c>
      <c r="C3230" t="s">
        <v>58</v>
      </c>
      <c r="D3230" s="1">
        <v>45445</v>
      </c>
      <c r="E3230" s="2">
        <v>7731.47</v>
      </c>
      <c r="F3230">
        <v>77</v>
      </c>
      <c r="G3230" s="2">
        <f t="shared" si="200"/>
        <v>100.4087012987013</v>
      </c>
      <c r="H3230" t="str">
        <f t="shared" si="201"/>
        <v>June</v>
      </c>
      <c r="I3230" t="str">
        <f t="shared" si="202"/>
        <v>Q2</v>
      </c>
      <c r="J3230" t="str">
        <f t="shared" si="203"/>
        <v>Large</v>
      </c>
    </row>
    <row r="3231" spans="1:10" x14ac:dyDescent="0.25">
      <c r="A3231" t="s">
        <v>43</v>
      </c>
      <c r="B3231" t="s">
        <v>26</v>
      </c>
      <c r="C3231" t="s">
        <v>57</v>
      </c>
      <c r="D3231" s="1">
        <v>45484</v>
      </c>
      <c r="E3231" s="2">
        <v>2757.16</v>
      </c>
      <c r="F3231">
        <v>463</v>
      </c>
      <c r="G3231" s="2">
        <f t="shared" si="200"/>
        <v>5.9549892008639302</v>
      </c>
      <c r="H3231" t="str">
        <f t="shared" si="201"/>
        <v>July</v>
      </c>
      <c r="I3231" t="str">
        <f t="shared" si="202"/>
        <v>Q3</v>
      </c>
      <c r="J3231" t="str">
        <f t="shared" si="203"/>
        <v>Large</v>
      </c>
    </row>
    <row r="3232" spans="1:10" x14ac:dyDescent="0.25">
      <c r="A3232" t="s">
        <v>34</v>
      </c>
      <c r="B3232" t="s">
        <v>21</v>
      </c>
      <c r="C3232" t="s">
        <v>39</v>
      </c>
      <c r="D3232" s="1">
        <v>45450</v>
      </c>
      <c r="E3232" s="2">
        <v>70.19</v>
      </c>
      <c r="F3232">
        <v>63</v>
      </c>
      <c r="G3232" s="2">
        <f t="shared" si="200"/>
        <v>1.1141269841269841</v>
      </c>
      <c r="H3232" t="str">
        <f t="shared" si="201"/>
        <v>June</v>
      </c>
      <c r="I3232" t="str">
        <f t="shared" si="202"/>
        <v>Q2</v>
      </c>
      <c r="J3232" t="str">
        <f t="shared" si="203"/>
        <v>Small</v>
      </c>
    </row>
    <row r="3233" spans="1:10" x14ac:dyDescent="0.25">
      <c r="A3233" t="s">
        <v>14</v>
      </c>
      <c r="B3233" t="s">
        <v>7</v>
      </c>
      <c r="C3233" t="s">
        <v>47</v>
      </c>
      <c r="D3233" s="1">
        <v>45479</v>
      </c>
      <c r="E3233" s="2">
        <v>10817.45</v>
      </c>
      <c r="F3233">
        <v>151</v>
      </c>
      <c r="G3233" s="2">
        <f t="shared" si="200"/>
        <v>71.638741721854316</v>
      </c>
      <c r="H3233" t="str">
        <f t="shared" si="201"/>
        <v>July</v>
      </c>
      <c r="I3233" t="str">
        <f t="shared" si="202"/>
        <v>Q3</v>
      </c>
      <c r="J3233" t="str">
        <f t="shared" si="203"/>
        <v>Large</v>
      </c>
    </row>
    <row r="3234" spans="1:10" x14ac:dyDescent="0.25">
      <c r="A3234" t="s">
        <v>40</v>
      </c>
      <c r="B3234" t="s">
        <v>10</v>
      </c>
      <c r="C3234" t="s">
        <v>51</v>
      </c>
      <c r="D3234" s="1">
        <v>45458</v>
      </c>
      <c r="E3234" s="2">
        <v>11595.41</v>
      </c>
      <c r="F3234">
        <v>153</v>
      </c>
      <c r="G3234" s="2">
        <f t="shared" si="200"/>
        <v>75.786993464052287</v>
      </c>
      <c r="H3234" t="str">
        <f t="shared" si="201"/>
        <v>June</v>
      </c>
      <c r="I3234" t="str">
        <f t="shared" si="202"/>
        <v>Q2</v>
      </c>
      <c r="J3234" t="str">
        <f t="shared" si="203"/>
        <v>Large</v>
      </c>
    </row>
    <row r="3235" spans="1:10" x14ac:dyDescent="0.25">
      <c r="A3235" t="s">
        <v>54</v>
      </c>
      <c r="B3235" t="s">
        <v>10</v>
      </c>
      <c r="C3235" t="s">
        <v>8</v>
      </c>
      <c r="D3235" s="1">
        <v>45396</v>
      </c>
      <c r="E3235" s="2">
        <v>1375.22</v>
      </c>
      <c r="F3235">
        <v>231</v>
      </c>
      <c r="G3235" s="2">
        <f t="shared" si="200"/>
        <v>5.9533333333333331</v>
      </c>
      <c r="H3235" t="str">
        <f t="shared" si="201"/>
        <v>April</v>
      </c>
      <c r="I3235" t="str">
        <f t="shared" si="202"/>
        <v>Q2</v>
      </c>
      <c r="J3235" t="str">
        <f t="shared" si="203"/>
        <v>Large</v>
      </c>
    </row>
    <row r="3236" spans="1:10" x14ac:dyDescent="0.25">
      <c r="A3236" t="s">
        <v>50</v>
      </c>
      <c r="B3236" t="s">
        <v>10</v>
      </c>
      <c r="C3236" t="s">
        <v>32</v>
      </c>
      <c r="D3236" s="1">
        <v>45512</v>
      </c>
      <c r="E3236" s="2">
        <v>503.52</v>
      </c>
      <c r="F3236">
        <v>167</v>
      </c>
      <c r="G3236" s="2">
        <f t="shared" si="200"/>
        <v>3.0150898203592815</v>
      </c>
      <c r="H3236" t="str">
        <f t="shared" si="201"/>
        <v>August</v>
      </c>
      <c r="I3236" t="str">
        <f t="shared" si="202"/>
        <v>Q3</v>
      </c>
      <c r="J3236" t="str">
        <f t="shared" si="203"/>
        <v>Large</v>
      </c>
    </row>
    <row r="3237" spans="1:10" x14ac:dyDescent="0.25">
      <c r="A3237" t="s">
        <v>33</v>
      </c>
      <c r="B3237" t="s">
        <v>7</v>
      </c>
      <c r="C3237" t="s">
        <v>32</v>
      </c>
      <c r="D3237" s="1">
        <v>45380</v>
      </c>
      <c r="E3237" s="2">
        <v>1135.1600000000001</v>
      </c>
      <c r="F3237">
        <v>27</v>
      </c>
      <c r="G3237" s="2">
        <f t="shared" si="200"/>
        <v>42.042962962962967</v>
      </c>
      <c r="H3237" t="str">
        <f t="shared" si="201"/>
        <v>March</v>
      </c>
      <c r="I3237" t="str">
        <f t="shared" si="202"/>
        <v>Q1</v>
      </c>
      <c r="J3237" t="str">
        <f t="shared" si="203"/>
        <v>Large</v>
      </c>
    </row>
    <row r="3238" spans="1:10" x14ac:dyDescent="0.25">
      <c r="A3238" t="s">
        <v>36</v>
      </c>
      <c r="B3238" t="s">
        <v>15</v>
      </c>
      <c r="C3238" t="s">
        <v>35</v>
      </c>
      <c r="D3238" s="1">
        <v>45477</v>
      </c>
      <c r="E3238" s="2">
        <v>4375.45</v>
      </c>
      <c r="F3238">
        <v>79</v>
      </c>
      <c r="G3238" s="2">
        <f t="shared" si="200"/>
        <v>55.385443037974682</v>
      </c>
      <c r="H3238" t="str">
        <f t="shared" si="201"/>
        <v>July</v>
      </c>
      <c r="I3238" t="str">
        <f t="shared" si="202"/>
        <v>Q3</v>
      </c>
      <c r="J3238" t="str">
        <f t="shared" si="203"/>
        <v>Large</v>
      </c>
    </row>
    <row r="3239" spans="1:10" x14ac:dyDescent="0.25">
      <c r="A3239" t="s">
        <v>55</v>
      </c>
      <c r="B3239" t="s">
        <v>10</v>
      </c>
      <c r="C3239" t="s">
        <v>18</v>
      </c>
      <c r="D3239" s="1">
        <v>45338</v>
      </c>
      <c r="E3239" s="2">
        <v>536.74</v>
      </c>
      <c r="F3239">
        <v>102</v>
      </c>
      <c r="G3239" s="2">
        <f t="shared" si="200"/>
        <v>5.2621568627450985</v>
      </c>
      <c r="H3239" t="str">
        <f t="shared" si="201"/>
        <v>February</v>
      </c>
      <c r="I3239" t="str">
        <f t="shared" si="202"/>
        <v>Q1</v>
      </c>
      <c r="J3239" t="str">
        <f t="shared" si="203"/>
        <v>Large</v>
      </c>
    </row>
    <row r="3240" spans="1:10" x14ac:dyDescent="0.25">
      <c r="A3240" t="s">
        <v>24</v>
      </c>
      <c r="B3240" t="s">
        <v>29</v>
      </c>
      <c r="C3240" t="s">
        <v>39</v>
      </c>
      <c r="D3240" s="1">
        <v>45414</v>
      </c>
      <c r="E3240" s="2">
        <v>2702.08</v>
      </c>
      <c r="F3240">
        <v>164</v>
      </c>
      <c r="G3240" s="2">
        <f t="shared" si="200"/>
        <v>16.47609756097561</v>
      </c>
      <c r="H3240" t="str">
        <f t="shared" si="201"/>
        <v>May</v>
      </c>
      <c r="I3240" t="str">
        <f t="shared" si="202"/>
        <v>Q2</v>
      </c>
      <c r="J3240" t="str">
        <f t="shared" si="203"/>
        <v>Large</v>
      </c>
    </row>
    <row r="3241" spans="1:10" x14ac:dyDescent="0.25">
      <c r="A3241" t="s">
        <v>9</v>
      </c>
      <c r="B3241" t="s">
        <v>10</v>
      </c>
      <c r="C3241" t="s">
        <v>30</v>
      </c>
      <c r="D3241" s="1">
        <v>45494</v>
      </c>
      <c r="E3241" s="2">
        <v>11064.27</v>
      </c>
      <c r="F3241">
        <v>104</v>
      </c>
      <c r="G3241" s="2">
        <f t="shared" si="200"/>
        <v>106.38721153846154</v>
      </c>
      <c r="H3241" t="str">
        <f t="shared" si="201"/>
        <v>July</v>
      </c>
      <c r="I3241" t="str">
        <f t="shared" si="202"/>
        <v>Q3</v>
      </c>
      <c r="J3241" t="str">
        <f t="shared" si="203"/>
        <v>Large</v>
      </c>
    </row>
    <row r="3242" spans="1:10" x14ac:dyDescent="0.25">
      <c r="A3242" t="s">
        <v>19</v>
      </c>
      <c r="B3242" t="s">
        <v>15</v>
      </c>
      <c r="C3242" t="s">
        <v>18</v>
      </c>
      <c r="D3242" s="1">
        <v>45522</v>
      </c>
      <c r="E3242" s="2">
        <v>8861.83</v>
      </c>
      <c r="F3242">
        <v>226</v>
      </c>
      <c r="G3242" s="2">
        <f t="shared" si="200"/>
        <v>39.211637168141593</v>
      </c>
      <c r="H3242" t="str">
        <f t="shared" si="201"/>
        <v>August</v>
      </c>
      <c r="I3242" t="str">
        <f t="shared" si="202"/>
        <v>Q3</v>
      </c>
      <c r="J3242" t="str">
        <f t="shared" si="203"/>
        <v>Large</v>
      </c>
    </row>
    <row r="3243" spans="1:10" x14ac:dyDescent="0.25">
      <c r="A3243" t="s">
        <v>41</v>
      </c>
      <c r="B3243" t="s">
        <v>26</v>
      </c>
      <c r="C3243" t="s">
        <v>11</v>
      </c>
      <c r="D3243" s="1">
        <v>45465</v>
      </c>
      <c r="E3243" s="2">
        <v>564.66999999999996</v>
      </c>
      <c r="F3243">
        <v>256</v>
      </c>
      <c r="G3243" s="2">
        <f t="shared" si="200"/>
        <v>2.2057421874999998</v>
      </c>
      <c r="H3243" t="str">
        <f t="shared" si="201"/>
        <v>June</v>
      </c>
      <c r="I3243" t="str">
        <f t="shared" si="202"/>
        <v>Q2</v>
      </c>
      <c r="J3243" t="str">
        <f t="shared" si="203"/>
        <v>Large</v>
      </c>
    </row>
    <row r="3244" spans="1:10" x14ac:dyDescent="0.25">
      <c r="A3244" t="s">
        <v>50</v>
      </c>
      <c r="B3244" t="s">
        <v>7</v>
      </c>
      <c r="C3244" t="s">
        <v>13</v>
      </c>
      <c r="D3244" s="1">
        <v>45492</v>
      </c>
      <c r="E3244" s="2">
        <v>5267.69</v>
      </c>
      <c r="F3244">
        <v>120</v>
      </c>
      <c r="G3244" s="2">
        <f t="shared" si="200"/>
        <v>43.897416666666665</v>
      </c>
      <c r="H3244" t="str">
        <f t="shared" si="201"/>
        <v>July</v>
      </c>
      <c r="I3244" t="str">
        <f t="shared" si="202"/>
        <v>Q3</v>
      </c>
      <c r="J3244" t="str">
        <f t="shared" si="203"/>
        <v>Large</v>
      </c>
    </row>
    <row r="3245" spans="1:10" x14ac:dyDescent="0.25">
      <c r="A3245" t="s">
        <v>53</v>
      </c>
      <c r="B3245" t="s">
        <v>7</v>
      </c>
      <c r="C3245" t="s">
        <v>13</v>
      </c>
      <c r="D3245" s="1">
        <v>45516</v>
      </c>
      <c r="E3245" s="2">
        <v>8698.4699999999993</v>
      </c>
      <c r="F3245">
        <v>89</v>
      </c>
      <c r="G3245" s="2">
        <f t="shared" si="200"/>
        <v>97.735617977528079</v>
      </c>
      <c r="H3245" t="str">
        <f t="shared" si="201"/>
        <v>August</v>
      </c>
      <c r="I3245" t="str">
        <f t="shared" si="202"/>
        <v>Q3</v>
      </c>
      <c r="J3245" t="str">
        <f t="shared" si="203"/>
        <v>Large</v>
      </c>
    </row>
    <row r="3246" spans="1:10" x14ac:dyDescent="0.25">
      <c r="A3246" t="s">
        <v>53</v>
      </c>
      <c r="B3246" t="s">
        <v>26</v>
      </c>
      <c r="C3246" t="s">
        <v>52</v>
      </c>
      <c r="D3246" s="1">
        <v>45450</v>
      </c>
      <c r="E3246" s="2">
        <v>6025.6</v>
      </c>
      <c r="F3246">
        <v>137</v>
      </c>
      <c r="G3246" s="2">
        <f t="shared" si="200"/>
        <v>43.982481751824821</v>
      </c>
      <c r="H3246" t="str">
        <f t="shared" si="201"/>
        <v>June</v>
      </c>
      <c r="I3246" t="str">
        <f t="shared" si="202"/>
        <v>Q2</v>
      </c>
      <c r="J3246" t="str">
        <f t="shared" si="203"/>
        <v>Large</v>
      </c>
    </row>
    <row r="3247" spans="1:10" x14ac:dyDescent="0.25">
      <c r="A3247" t="s">
        <v>33</v>
      </c>
      <c r="B3247" t="s">
        <v>29</v>
      </c>
      <c r="C3247" t="s">
        <v>13</v>
      </c>
      <c r="D3247" s="1">
        <v>45359</v>
      </c>
      <c r="E3247" s="2">
        <v>7032.54</v>
      </c>
      <c r="F3247">
        <v>87</v>
      </c>
      <c r="G3247" s="2">
        <f t="shared" si="200"/>
        <v>80.833793103448272</v>
      </c>
      <c r="H3247" t="str">
        <f t="shared" si="201"/>
        <v>March</v>
      </c>
      <c r="I3247" t="str">
        <f t="shared" si="202"/>
        <v>Q1</v>
      </c>
      <c r="J3247" t="str">
        <f t="shared" si="203"/>
        <v>Large</v>
      </c>
    </row>
    <row r="3248" spans="1:10" x14ac:dyDescent="0.25">
      <c r="A3248" t="s">
        <v>55</v>
      </c>
      <c r="B3248" t="s">
        <v>15</v>
      </c>
      <c r="C3248" t="s">
        <v>52</v>
      </c>
      <c r="D3248" s="1">
        <v>45390</v>
      </c>
      <c r="E3248" s="2">
        <v>1572.79</v>
      </c>
      <c r="F3248">
        <v>176</v>
      </c>
      <c r="G3248" s="2">
        <f t="shared" si="200"/>
        <v>8.9363068181818175</v>
      </c>
      <c r="H3248" t="str">
        <f t="shared" si="201"/>
        <v>April</v>
      </c>
      <c r="I3248" t="str">
        <f t="shared" si="202"/>
        <v>Q2</v>
      </c>
      <c r="J3248" t="str">
        <f t="shared" si="203"/>
        <v>Large</v>
      </c>
    </row>
    <row r="3249" spans="1:10" x14ac:dyDescent="0.25">
      <c r="A3249" t="s">
        <v>38</v>
      </c>
      <c r="B3249" t="s">
        <v>29</v>
      </c>
      <c r="C3249" t="s">
        <v>30</v>
      </c>
      <c r="D3249" s="1">
        <v>45418</v>
      </c>
      <c r="E3249" s="2">
        <v>857.34</v>
      </c>
      <c r="F3249">
        <v>197</v>
      </c>
      <c r="G3249" s="2">
        <f t="shared" si="200"/>
        <v>4.3519796954314725</v>
      </c>
      <c r="H3249" t="str">
        <f t="shared" si="201"/>
        <v>May</v>
      </c>
      <c r="I3249" t="str">
        <f t="shared" si="202"/>
        <v>Q2</v>
      </c>
      <c r="J3249" t="str">
        <f t="shared" si="203"/>
        <v>Large</v>
      </c>
    </row>
    <row r="3250" spans="1:10" x14ac:dyDescent="0.25">
      <c r="A3250" t="s">
        <v>36</v>
      </c>
      <c r="B3250" t="s">
        <v>10</v>
      </c>
      <c r="C3250" t="s">
        <v>32</v>
      </c>
      <c r="D3250" s="1">
        <v>45443</v>
      </c>
      <c r="E3250" s="2">
        <v>4899.47</v>
      </c>
      <c r="F3250">
        <v>11</v>
      </c>
      <c r="G3250" s="2">
        <f t="shared" si="200"/>
        <v>445.40636363636366</v>
      </c>
      <c r="H3250" t="str">
        <f t="shared" si="201"/>
        <v>May</v>
      </c>
      <c r="I3250" t="str">
        <f t="shared" si="202"/>
        <v>Q2</v>
      </c>
      <c r="J3250" t="str">
        <f t="shared" si="203"/>
        <v>Large</v>
      </c>
    </row>
    <row r="3251" spans="1:10" x14ac:dyDescent="0.25">
      <c r="A3251" t="s">
        <v>9</v>
      </c>
      <c r="B3251" t="s">
        <v>15</v>
      </c>
      <c r="C3251" t="s">
        <v>8</v>
      </c>
      <c r="D3251" s="1">
        <v>45304</v>
      </c>
      <c r="E3251" s="2">
        <v>2924.06</v>
      </c>
      <c r="F3251">
        <v>295</v>
      </c>
      <c r="G3251" s="2">
        <f t="shared" si="200"/>
        <v>9.9120677966101685</v>
      </c>
      <c r="H3251" t="str">
        <f t="shared" si="201"/>
        <v>January</v>
      </c>
      <c r="I3251" t="str">
        <f t="shared" si="202"/>
        <v>Q1</v>
      </c>
      <c r="J3251" t="str">
        <f t="shared" si="203"/>
        <v>Large</v>
      </c>
    </row>
    <row r="3252" spans="1:10" x14ac:dyDescent="0.25">
      <c r="A3252" t="s">
        <v>43</v>
      </c>
      <c r="B3252" t="s">
        <v>26</v>
      </c>
      <c r="C3252" t="s">
        <v>58</v>
      </c>
      <c r="D3252" s="1">
        <v>45366</v>
      </c>
      <c r="E3252" s="2">
        <v>730.06</v>
      </c>
      <c r="F3252">
        <v>78</v>
      </c>
      <c r="G3252" s="2">
        <f t="shared" si="200"/>
        <v>9.359743589743589</v>
      </c>
      <c r="H3252" t="str">
        <f t="shared" si="201"/>
        <v>March</v>
      </c>
      <c r="I3252" t="str">
        <f t="shared" si="202"/>
        <v>Q1</v>
      </c>
      <c r="J3252" t="str">
        <f t="shared" si="203"/>
        <v>Large</v>
      </c>
    </row>
    <row r="3253" spans="1:10" x14ac:dyDescent="0.25">
      <c r="A3253" t="s">
        <v>48</v>
      </c>
      <c r="B3253" t="s">
        <v>29</v>
      </c>
      <c r="C3253" t="s">
        <v>13</v>
      </c>
      <c r="D3253" s="1">
        <v>45338</v>
      </c>
      <c r="E3253" s="2">
        <v>1348.05</v>
      </c>
      <c r="F3253">
        <v>332</v>
      </c>
      <c r="G3253" s="2">
        <f t="shared" si="200"/>
        <v>4.0603915662650598</v>
      </c>
      <c r="H3253" t="str">
        <f t="shared" si="201"/>
        <v>February</v>
      </c>
      <c r="I3253" t="str">
        <f t="shared" si="202"/>
        <v>Q1</v>
      </c>
      <c r="J3253" t="str">
        <f t="shared" si="203"/>
        <v>Large</v>
      </c>
    </row>
    <row r="3254" spans="1:10" x14ac:dyDescent="0.25">
      <c r="A3254" t="s">
        <v>12</v>
      </c>
      <c r="B3254" t="s">
        <v>26</v>
      </c>
      <c r="C3254" t="s">
        <v>58</v>
      </c>
      <c r="D3254" s="1">
        <v>45305</v>
      </c>
      <c r="E3254" s="2">
        <v>8561.59</v>
      </c>
      <c r="F3254">
        <v>204</v>
      </c>
      <c r="G3254" s="2">
        <f t="shared" si="200"/>
        <v>41.968578431372549</v>
      </c>
      <c r="H3254" t="str">
        <f t="shared" si="201"/>
        <v>January</v>
      </c>
      <c r="I3254" t="str">
        <f t="shared" si="202"/>
        <v>Q1</v>
      </c>
      <c r="J3254" t="str">
        <f t="shared" si="203"/>
        <v>Large</v>
      </c>
    </row>
    <row r="3255" spans="1:10" x14ac:dyDescent="0.25">
      <c r="A3255" t="s">
        <v>24</v>
      </c>
      <c r="B3255" t="s">
        <v>15</v>
      </c>
      <c r="C3255" t="s">
        <v>44</v>
      </c>
      <c r="D3255" s="1">
        <v>45372</v>
      </c>
      <c r="E3255" s="2">
        <v>7326.91</v>
      </c>
      <c r="F3255">
        <v>102</v>
      </c>
      <c r="G3255" s="2">
        <f t="shared" si="200"/>
        <v>71.832450980392153</v>
      </c>
      <c r="H3255" t="str">
        <f t="shared" si="201"/>
        <v>March</v>
      </c>
      <c r="I3255" t="str">
        <f t="shared" si="202"/>
        <v>Q1</v>
      </c>
      <c r="J3255" t="str">
        <f t="shared" si="203"/>
        <v>Large</v>
      </c>
    </row>
    <row r="3256" spans="1:10" x14ac:dyDescent="0.25">
      <c r="A3256" t="s">
        <v>36</v>
      </c>
      <c r="B3256" t="s">
        <v>29</v>
      </c>
      <c r="C3256" t="s">
        <v>32</v>
      </c>
      <c r="D3256" s="1">
        <v>45429</v>
      </c>
      <c r="E3256" s="2">
        <v>8196.93</v>
      </c>
      <c r="F3256">
        <v>340</v>
      </c>
      <c r="G3256" s="2">
        <f t="shared" si="200"/>
        <v>24.108617647058825</v>
      </c>
      <c r="H3256" t="str">
        <f t="shared" si="201"/>
        <v>May</v>
      </c>
      <c r="I3256" t="str">
        <f t="shared" si="202"/>
        <v>Q2</v>
      </c>
      <c r="J3256" t="str">
        <f t="shared" si="203"/>
        <v>Large</v>
      </c>
    </row>
    <row r="3257" spans="1:10" x14ac:dyDescent="0.25">
      <c r="A3257" t="s">
        <v>50</v>
      </c>
      <c r="B3257" t="s">
        <v>21</v>
      </c>
      <c r="C3257" t="s">
        <v>11</v>
      </c>
      <c r="D3257" s="1">
        <v>45512</v>
      </c>
      <c r="E3257" s="2">
        <v>17841.919999999998</v>
      </c>
      <c r="F3257">
        <v>53</v>
      </c>
      <c r="G3257" s="2">
        <f t="shared" si="200"/>
        <v>336.64</v>
      </c>
      <c r="H3257" t="str">
        <f t="shared" si="201"/>
        <v>August</v>
      </c>
      <c r="I3257" t="str">
        <f t="shared" si="202"/>
        <v>Q3</v>
      </c>
      <c r="J3257" t="str">
        <f t="shared" si="203"/>
        <v>Large</v>
      </c>
    </row>
    <row r="3258" spans="1:10" x14ac:dyDescent="0.25">
      <c r="A3258" t="s">
        <v>53</v>
      </c>
      <c r="B3258" t="s">
        <v>29</v>
      </c>
      <c r="C3258" t="s">
        <v>37</v>
      </c>
      <c r="D3258" s="1">
        <v>45408</v>
      </c>
      <c r="E3258" s="2">
        <v>4285.13</v>
      </c>
      <c r="F3258">
        <v>87</v>
      </c>
      <c r="G3258" s="2">
        <f t="shared" si="200"/>
        <v>49.254367816091957</v>
      </c>
      <c r="H3258" t="str">
        <f t="shared" si="201"/>
        <v>April</v>
      </c>
      <c r="I3258" t="str">
        <f t="shared" si="202"/>
        <v>Q2</v>
      </c>
      <c r="J3258" t="str">
        <f t="shared" si="203"/>
        <v>Large</v>
      </c>
    </row>
    <row r="3259" spans="1:10" x14ac:dyDescent="0.25">
      <c r="A3259" t="s">
        <v>53</v>
      </c>
      <c r="B3259" t="s">
        <v>15</v>
      </c>
      <c r="C3259" t="s">
        <v>58</v>
      </c>
      <c r="D3259" s="1">
        <v>45397</v>
      </c>
      <c r="E3259" s="2">
        <v>4196.2299999999996</v>
      </c>
      <c r="F3259">
        <v>256</v>
      </c>
      <c r="G3259" s="2">
        <f t="shared" si="200"/>
        <v>16.391523437499998</v>
      </c>
      <c r="H3259" t="str">
        <f t="shared" si="201"/>
        <v>April</v>
      </c>
      <c r="I3259" t="str">
        <f t="shared" si="202"/>
        <v>Q2</v>
      </c>
      <c r="J3259" t="str">
        <f t="shared" si="203"/>
        <v>Large</v>
      </c>
    </row>
    <row r="3260" spans="1:10" x14ac:dyDescent="0.25">
      <c r="A3260" t="s">
        <v>17</v>
      </c>
      <c r="B3260" t="s">
        <v>29</v>
      </c>
      <c r="C3260" t="s">
        <v>30</v>
      </c>
      <c r="D3260" s="1">
        <v>45431</v>
      </c>
      <c r="E3260" s="2">
        <v>6409.31</v>
      </c>
      <c r="F3260">
        <v>621</v>
      </c>
      <c r="G3260" s="2">
        <f t="shared" si="200"/>
        <v>10.320950080515299</v>
      </c>
      <c r="H3260" t="str">
        <f t="shared" si="201"/>
        <v>May</v>
      </c>
      <c r="I3260" t="str">
        <f t="shared" si="202"/>
        <v>Q2</v>
      </c>
      <c r="J3260" t="str">
        <f t="shared" si="203"/>
        <v>Large</v>
      </c>
    </row>
    <row r="3261" spans="1:10" x14ac:dyDescent="0.25">
      <c r="A3261" t="s">
        <v>43</v>
      </c>
      <c r="B3261" t="s">
        <v>29</v>
      </c>
      <c r="C3261" t="s">
        <v>32</v>
      </c>
      <c r="D3261" s="1">
        <v>45301</v>
      </c>
      <c r="E3261" s="2">
        <v>3010.07</v>
      </c>
      <c r="F3261">
        <v>24</v>
      </c>
      <c r="G3261" s="2">
        <f t="shared" si="200"/>
        <v>125.41958333333334</v>
      </c>
      <c r="H3261" t="str">
        <f t="shared" si="201"/>
        <v>January</v>
      </c>
      <c r="I3261" t="str">
        <f t="shared" si="202"/>
        <v>Q1</v>
      </c>
      <c r="J3261" t="str">
        <f t="shared" si="203"/>
        <v>Large</v>
      </c>
    </row>
    <row r="3262" spans="1:10" x14ac:dyDescent="0.25">
      <c r="A3262" t="s">
        <v>28</v>
      </c>
      <c r="B3262" t="s">
        <v>21</v>
      </c>
      <c r="C3262" t="s">
        <v>20</v>
      </c>
      <c r="D3262" s="1">
        <v>45416</v>
      </c>
      <c r="E3262" s="2">
        <v>567.91</v>
      </c>
      <c r="F3262">
        <v>225</v>
      </c>
      <c r="G3262" s="2">
        <f t="shared" si="200"/>
        <v>2.5240444444444443</v>
      </c>
      <c r="H3262" t="str">
        <f t="shared" si="201"/>
        <v>May</v>
      </c>
      <c r="I3262" t="str">
        <f t="shared" si="202"/>
        <v>Q2</v>
      </c>
      <c r="J3262" t="str">
        <f t="shared" si="203"/>
        <v>Large</v>
      </c>
    </row>
    <row r="3263" spans="1:10" x14ac:dyDescent="0.25">
      <c r="A3263" t="s">
        <v>36</v>
      </c>
      <c r="B3263" t="s">
        <v>29</v>
      </c>
      <c r="C3263" t="s">
        <v>44</v>
      </c>
      <c r="D3263" s="1">
        <v>45387</v>
      </c>
      <c r="E3263" s="2">
        <v>6948.79</v>
      </c>
      <c r="F3263">
        <v>292</v>
      </c>
      <c r="G3263" s="2">
        <f t="shared" si="200"/>
        <v>23.797226027397262</v>
      </c>
      <c r="H3263" t="str">
        <f t="shared" si="201"/>
        <v>April</v>
      </c>
      <c r="I3263" t="str">
        <f t="shared" si="202"/>
        <v>Q2</v>
      </c>
      <c r="J3263" t="str">
        <f t="shared" si="203"/>
        <v>Large</v>
      </c>
    </row>
    <row r="3264" spans="1:10" x14ac:dyDescent="0.25">
      <c r="A3264" t="s">
        <v>48</v>
      </c>
      <c r="B3264" t="s">
        <v>10</v>
      </c>
      <c r="C3264" t="s">
        <v>20</v>
      </c>
      <c r="D3264" s="1">
        <v>45308</v>
      </c>
      <c r="E3264" s="2">
        <v>1009.28</v>
      </c>
      <c r="F3264">
        <v>69</v>
      </c>
      <c r="G3264" s="2">
        <f t="shared" si="200"/>
        <v>14.627246376811593</v>
      </c>
      <c r="H3264" t="str">
        <f t="shared" si="201"/>
        <v>January</v>
      </c>
      <c r="I3264" t="str">
        <f t="shared" si="202"/>
        <v>Q1</v>
      </c>
      <c r="J3264" t="str">
        <f t="shared" si="203"/>
        <v>Large</v>
      </c>
    </row>
    <row r="3265" spans="1:10" x14ac:dyDescent="0.25">
      <c r="A3265" t="s">
        <v>36</v>
      </c>
      <c r="B3265" t="s">
        <v>10</v>
      </c>
      <c r="C3265" t="s">
        <v>39</v>
      </c>
      <c r="D3265" s="1">
        <v>45373</v>
      </c>
      <c r="E3265" s="2">
        <v>12049.05</v>
      </c>
      <c r="F3265">
        <v>180</v>
      </c>
      <c r="G3265" s="2">
        <f t="shared" si="200"/>
        <v>66.939166666666665</v>
      </c>
      <c r="H3265" t="str">
        <f t="shared" si="201"/>
        <v>March</v>
      </c>
      <c r="I3265" t="str">
        <f t="shared" si="202"/>
        <v>Q1</v>
      </c>
      <c r="J3265" t="str">
        <f t="shared" si="203"/>
        <v>Large</v>
      </c>
    </row>
    <row r="3266" spans="1:10" x14ac:dyDescent="0.25">
      <c r="A3266" t="s">
        <v>54</v>
      </c>
      <c r="B3266" t="s">
        <v>15</v>
      </c>
      <c r="C3266" t="s">
        <v>44</v>
      </c>
      <c r="D3266" s="1">
        <v>45478</v>
      </c>
      <c r="E3266" s="2">
        <v>6969.38</v>
      </c>
      <c r="F3266">
        <v>102</v>
      </c>
      <c r="G3266" s="2">
        <f t="shared" si="200"/>
        <v>68.327254901960785</v>
      </c>
      <c r="H3266" t="str">
        <f t="shared" si="201"/>
        <v>July</v>
      </c>
      <c r="I3266" t="str">
        <f t="shared" si="202"/>
        <v>Q3</v>
      </c>
      <c r="J3266" t="str">
        <f t="shared" si="203"/>
        <v>Large</v>
      </c>
    </row>
    <row r="3267" spans="1:10" x14ac:dyDescent="0.25">
      <c r="A3267" t="s">
        <v>17</v>
      </c>
      <c r="B3267" t="s">
        <v>29</v>
      </c>
      <c r="C3267" t="s">
        <v>27</v>
      </c>
      <c r="D3267" s="1">
        <v>45409</v>
      </c>
      <c r="E3267" s="2">
        <v>10257.74</v>
      </c>
      <c r="F3267">
        <v>328</v>
      </c>
      <c r="G3267" s="2">
        <f t="shared" ref="G3267:G3275" si="204">E3267/F3267</f>
        <v>31.27359756097561</v>
      </c>
      <c r="H3267" t="str">
        <f t="shared" ref="H3267:H3283" si="205">TEXT(D3267, "mmmm")</f>
        <v>April</v>
      </c>
      <c r="I3267" t="str">
        <f t="shared" ref="I3267:I3283" si="206">"Q" &amp; ROUNDUP(MONTH(D3267)/3,0)</f>
        <v>Q2</v>
      </c>
      <c r="J3267" t="str">
        <f t="shared" ref="J3267:J3283" si="207">IF(E3267 &gt; 500, "Large", "Small")</f>
        <v>Large</v>
      </c>
    </row>
    <row r="3268" spans="1:10" x14ac:dyDescent="0.25">
      <c r="A3268" t="s">
        <v>41</v>
      </c>
      <c r="B3268" t="s">
        <v>29</v>
      </c>
      <c r="C3268" t="s">
        <v>47</v>
      </c>
      <c r="D3268" s="1">
        <v>45516</v>
      </c>
      <c r="E3268" s="2">
        <v>7220.35</v>
      </c>
      <c r="F3268">
        <v>71</v>
      </c>
      <c r="G3268" s="2">
        <f t="shared" si="204"/>
        <v>101.69507042253521</v>
      </c>
      <c r="H3268" t="str">
        <f t="shared" si="205"/>
        <v>August</v>
      </c>
      <c r="I3268" t="str">
        <f t="shared" si="206"/>
        <v>Q3</v>
      </c>
      <c r="J3268" t="str">
        <f t="shared" si="207"/>
        <v>Large</v>
      </c>
    </row>
    <row r="3269" spans="1:10" x14ac:dyDescent="0.25">
      <c r="A3269" t="s">
        <v>14</v>
      </c>
      <c r="B3269" t="s">
        <v>7</v>
      </c>
      <c r="C3269" t="s">
        <v>56</v>
      </c>
      <c r="D3269" s="1">
        <v>45362</v>
      </c>
      <c r="E3269" s="2">
        <v>783.35</v>
      </c>
      <c r="F3269">
        <v>273</v>
      </c>
      <c r="G3269" s="2">
        <f t="shared" si="204"/>
        <v>2.8694139194139194</v>
      </c>
      <c r="H3269" t="str">
        <f t="shared" si="205"/>
        <v>March</v>
      </c>
      <c r="I3269" t="str">
        <f t="shared" si="206"/>
        <v>Q1</v>
      </c>
      <c r="J3269" t="str">
        <f t="shared" si="207"/>
        <v>Large</v>
      </c>
    </row>
    <row r="3270" spans="1:10" x14ac:dyDescent="0.25">
      <c r="A3270" t="s">
        <v>6</v>
      </c>
      <c r="B3270" t="s">
        <v>7</v>
      </c>
      <c r="C3270" t="s">
        <v>42</v>
      </c>
      <c r="D3270" s="1">
        <v>45425</v>
      </c>
      <c r="E3270" s="2">
        <v>9434.44</v>
      </c>
      <c r="F3270">
        <v>221</v>
      </c>
      <c r="G3270" s="2">
        <f t="shared" si="204"/>
        <v>42.689773755656113</v>
      </c>
      <c r="H3270" t="str">
        <f t="shared" si="205"/>
        <v>May</v>
      </c>
      <c r="I3270" t="str">
        <f t="shared" si="206"/>
        <v>Q2</v>
      </c>
      <c r="J3270" t="str">
        <f t="shared" si="207"/>
        <v>Large</v>
      </c>
    </row>
    <row r="3271" spans="1:10" x14ac:dyDescent="0.25">
      <c r="A3271" t="s">
        <v>43</v>
      </c>
      <c r="B3271" t="s">
        <v>26</v>
      </c>
      <c r="C3271" t="s">
        <v>16</v>
      </c>
      <c r="D3271" s="1">
        <v>45424</v>
      </c>
      <c r="E3271" s="2">
        <v>12755.99</v>
      </c>
      <c r="F3271">
        <v>99</v>
      </c>
      <c r="G3271" s="2">
        <f t="shared" si="204"/>
        <v>128.84838383838382</v>
      </c>
      <c r="H3271" t="str">
        <f t="shared" si="205"/>
        <v>May</v>
      </c>
      <c r="I3271" t="str">
        <f t="shared" si="206"/>
        <v>Q2</v>
      </c>
      <c r="J3271" t="str">
        <f t="shared" si="207"/>
        <v>Large</v>
      </c>
    </row>
    <row r="3272" spans="1:10" x14ac:dyDescent="0.25">
      <c r="A3272" t="s">
        <v>23</v>
      </c>
      <c r="B3272" t="s">
        <v>26</v>
      </c>
      <c r="C3272" t="s">
        <v>51</v>
      </c>
      <c r="D3272" s="1">
        <v>45303</v>
      </c>
      <c r="E3272" s="2">
        <v>807.26</v>
      </c>
      <c r="F3272">
        <v>198</v>
      </c>
      <c r="G3272" s="2">
        <f t="shared" si="204"/>
        <v>4.0770707070707068</v>
      </c>
      <c r="H3272" t="str">
        <f t="shared" si="205"/>
        <v>January</v>
      </c>
      <c r="I3272" t="str">
        <f t="shared" si="206"/>
        <v>Q1</v>
      </c>
      <c r="J3272" t="str">
        <f t="shared" si="207"/>
        <v>Large</v>
      </c>
    </row>
    <row r="3273" spans="1:10" x14ac:dyDescent="0.25">
      <c r="A3273" t="s">
        <v>53</v>
      </c>
      <c r="B3273" t="s">
        <v>21</v>
      </c>
      <c r="C3273" t="s">
        <v>37</v>
      </c>
      <c r="D3273" s="1">
        <v>45380</v>
      </c>
      <c r="E3273" s="2">
        <v>13541.21</v>
      </c>
      <c r="F3273">
        <v>434</v>
      </c>
      <c r="G3273" s="2">
        <f t="shared" si="204"/>
        <v>31.200944700460827</v>
      </c>
      <c r="H3273" t="str">
        <f t="shared" si="205"/>
        <v>March</v>
      </c>
      <c r="I3273" t="str">
        <f t="shared" si="206"/>
        <v>Q1</v>
      </c>
      <c r="J3273" t="str">
        <f t="shared" si="207"/>
        <v>Large</v>
      </c>
    </row>
    <row r="3274" spans="1:10" x14ac:dyDescent="0.25">
      <c r="A3274" t="s">
        <v>36</v>
      </c>
      <c r="B3274" t="s">
        <v>10</v>
      </c>
      <c r="C3274" t="s">
        <v>22</v>
      </c>
      <c r="D3274" s="1">
        <v>45365</v>
      </c>
      <c r="E3274" s="2">
        <v>9976.2199999999993</v>
      </c>
      <c r="F3274">
        <v>12</v>
      </c>
      <c r="G3274" s="2">
        <f t="shared" si="204"/>
        <v>831.35166666666657</v>
      </c>
      <c r="H3274" t="str">
        <f t="shared" si="205"/>
        <v>March</v>
      </c>
      <c r="I3274" t="str">
        <f t="shared" si="206"/>
        <v>Q1</v>
      </c>
      <c r="J3274" t="str">
        <f t="shared" si="207"/>
        <v>Large</v>
      </c>
    </row>
    <row r="3275" spans="1:10" x14ac:dyDescent="0.25">
      <c r="A3275" t="s">
        <v>25</v>
      </c>
      <c r="B3275" t="s">
        <v>21</v>
      </c>
      <c r="C3275" t="s">
        <v>18</v>
      </c>
      <c r="D3275" s="1">
        <v>45436</v>
      </c>
      <c r="E3275" s="2">
        <v>9152.7199999999993</v>
      </c>
      <c r="F3275">
        <v>208</v>
      </c>
      <c r="G3275" s="2">
        <f t="shared" si="204"/>
        <v>44.003461538461536</v>
      </c>
      <c r="H3275" t="str">
        <f t="shared" si="205"/>
        <v>May</v>
      </c>
      <c r="I3275" t="str">
        <f t="shared" si="206"/>
        <v>Q2</v>
      </c>
      <c r="J3275" t="str">
        <f t="shared" si="207"/>
        <v>Large</v>
      </c>
    </row>
    <row r="3276" spans="1:10" x14ac:dyDescent="0.25">
      <c r="A3276" t="s">
        <v>43</v>
      </c>
      <c r="B3276" t="s">
        <v>29</v>
      </c>
      <c r="C3276" t="s">
        <v>35</v>
      </c>
      <c r="D3276" s="1">
        <v>45319</v>
      </c>
      <c r="E3276" s="2">
        <v>9251.3700000000008</v>
      </c>
      <c r="F3276">
        <v>79</v>
      </c>
      <c r="G3276" s="2">
        <f>E3276/F3276</f>
        <v>117.10594936708861</v>
      </c>
      <c r="H3276" t="str">
        <f t="shared" si="205"/>
        <v>January</v>
      </c>
      <c r="I3276" t="str">
        <f t="shared" si="206"/>
        <v>Q1</v>
      </c>
      <c r="J3276" t="str">
        <f t="shared" si="207"/>
        <v>Large</v>
      </c>
    </row>
    <row r="3277" spans="1:10" x14ac:dyDescent="0.25">
      <c r="A3277" t="s">
        <v>34</v>
      </c>
      <c r="B3277" t="s">
        <v>10</v>
      </c>
      <c r="C3277" t="s">
        <v>47</v>
      </c>
      <c r="D3277" s="1">
        <v>45436</v>
      </c>
      <c r="E3277" s="2">
        <v>3634.26</v>
      </c>
      <c r="F3277">
        <v>100</v>
      </c>
      <c r="G3277" s="2">
        <f t="shared" ref="G3277:G3283" si="208">E3277/F3277</f>
        <v>36.342600000000004</v>
      </c>
      <c r="H3277" t="str">
        <f t="shared" si="205"/>
        <v>May</v>
      </c>
      <c r="I3277" t="str">
        <f t="shared" si="206"/>
        <v>Q2</v>
      </c>
      <c r="J3277" t="str">
        <f t="shared" si="207"/>
        <v>Large</v>
      </c>
    </row>
    <row r="3278" spans="1:10" x14ac:dyDescent="0.25">
      <c r="A3278" t="s">
        <v>23</v>
      </c>
      <c r="B3278" t="s">
        <v>15</v>
      </c>
      <c r="C3278" t="s">
        <v>13</v>
      </c>
      <c r="D3278" s="1">
        <v>45523</v>
      </c>
      <c r="E3278" s="2">
        <v>352.51</v>
      </c>
      <c r="F3278">
        <v>196</v>
      </c>
      <c r="G3278" s="2">
        <f t="shared" si="208"/>
        <v>1.7985204081632653</v>
      </c>
      <c r="H3278" t="str">
        <f t="shared" si="205"/>
        <v>August</v>
      </c>
      <c r="I3278" t="str">
        <f t="shared" si="206"/>
        <v>Q3</v>
      </c>
      <c r="J3278" t="str">
        <f t="shared" si="207"/>
        <v>Small</v>
      </c>
    </row>
    <row r="3279" spans="1:10" x14ac:dyDescent="0.25">
      <c r="A3279" t="s">
        <v>31</v>
      </c>
      <c r="B3279" t="s">
        <v>15</v>
      </c>
      <c r="C3279" t="s">
        <v>39</v>
      </c>
      <c r="D3279" s="1">
        <v>45429</v>
      </c>
      <c r="E3279" s="2">
        <v>5303.58</v>
      </c>
      <c r="F3279">
        <v>354</v>
      </c>
      <c r="G3279" s="2">
        <f t="shared" si="208"/>
        <v>14.98186440677966</v>
      </c>
      <c r="H3279" t="str">
        <f t="shared" si="205"/>
        <v>May</v>
      </c>
      <c r="I3279" t="str">
        <f t="shared" si="206"/>
        <v>Q2</v>
      </c>
      <c r="J3279" t="str">
        <f t="shared" si="207"/>
        <v>Large</v>
      </c>
    </row>
    <row r="3280" spans="1:10" x14ac:dyDescent="0.25">
      <c r="A3280" t="s">
        <v>6</v>
      </c>
      <c r="B3280" t="s">
        <v>26</v>
      </c>
      <c r="C3280" t="s">
        <v>44</v>
      </c>
      <c r="D3280" s="1">
        <v>45450</v>
      </c>
      <c r="E3280" s="2">
        <v>7339.32</v>
      </c>
      <c r="F3280">
        <v>121</v>
      </c>
      <c r="G3280" s="2">
        <f t="shared" si="208"/>
        <v>60.65553719008264</v>
      </c>
      <c r="H3280" t="str">
        <f t="shared" si="205"/>
        <v>June</v>
      </c>
      <c r="I3280" t="str">
        <f t="shared" si="206"/>
        <v>Q2</v>
      </c>
      <c r="J3280" t="str">
        <f t="shared" si="207"/>
        <v>Large</v>
      </c>
    </row>
    <row r="3281" spans="1:10" x14ac:dyDescent="0.25">
      <c r="A3281" t="s">
        <v>55</v>
      </c>
      <c r="B3281" t="s">
        <v>29</v>
      </c>
      <c r="C3281" t="s">
        <v>35</v>
      </c>
      <c r="D3281" s="1">
        <v>45499</v>
      </c>
      <c r="E3281" s="2">
        <v>616.09</v>
      </c>
      <c r="F3281">
        <v>238</v>
      </c>
      <c r="G3281" s="2">
        <f t="shared" si="208"/>
        <v>2.5886134453781513</v>
      </c>
      <c r="H3281" t="str">
        <f t="shared" si="205"/>
        <v>July</v>
      </c>
      <c r="I3281" t="str">
        <f t="shared" si="206"/>
        <v>Q3</v>
      </c>
      <c r="J3281" t="str">
        <f t="shared" si="207"/>
        <v>Large</v>
      </c>
    </row>
    <row r="3282" spans="1:10" x14ac:dyDescent="0.25">
      <c r="A3282" t="s">
        <v>54</v>
      </c>
      <c r="B3282" t="s">
        <v>10</v>
      </c>
      <c r="C3282" t="s">
        <v>30</v>
      </c>
      <c r="D3282" s="1">
        <v>45501</v>
      </c>
      <c r="E3282" s="2">
        <v>2504.62</v>
      </c>
      <c r="F3282">
        <v>397</v>
      </c>
      <c r="G3282" s="2">
        <f t="shared" si="208"/>
        <v>6.3088664987405538</v>
      </c>
      <c r="H3282" t="str">
        <f t="shared" si="205"/>
        <v>July</v>
      </c>
      <c r="I3282" t="str">
        <f t="shared" si="206"/>
        <v>Q3</v>
      </c>
      <c r="J3282" t="str">
        <f t="shared" si="207"/>
        <v>Large</v>
      </c>
    </row>
    <row r="3283" spans="1:10" x14ac:dyDescent="0.25">
      <c r="A3283" t="s">
        <v>31</v>
      </c>
      <c r="B3283" t="s">
        <v>10</v>
      </c>
      <c r="C3283" t="s">
        <v>58</v>
      </c>
      <c r="D3283" s="1">
        <v>45435</v>
      </c>
      <c r="E3283" s="2">
        <v>5915.87</v>
      </c>
      <c r="F3283">
        <v>355</v>
      </c>
      <c r="G3283" s="2">
        <f t="shared" si="208"/>
        <v>16.664422535211266</v>
      </c>
      <c r="H3283" t="str">
        <f t="shared" si="205"/>
        <v>May</v>
      </c>
      <c r="I3283" t="str">
        <f t="shared" si="206"/>
        <v>Q2</v>
      </c>
      <c r="J3283" t="str">
        <f t="shared" si="207"/>
        <v>Large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5 Products</vt:lpstr>
      <vt:lpstr>Moving Avg</vt:lpstr>
      <vt:lpstr>Country Analysis</vt:lpstr>
      <vt:lpstr>Sellers rate</vt:lpstr>
      <vt:lpstr>Sales Dynamic</vt:lpstr>
      <vt:lpstr>Chocolate Sales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xatia</dc:creator>
  <cp:lastModifiedBy>chubinidzekhatia6@gmail.com</cp:lastModifiedBy>
  <dcterms:created xsi:type="dcterms:W3CDTF">2026-02-06T22:06:03Z</dcterms:created>
  <dcterms:modified xsi:type="dcterms:W3CDTF">2026-02-18T09:49:29Z</dcterms:modified>
</cp:coreProperties>
</file>